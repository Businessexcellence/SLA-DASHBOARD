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>
    <definedName name="_xlnm._FilterDatabase" localSheetId="0" hidden="1">'FY 24-25 Summary'!$A$1:$AD$48</definedName>
    <definedName name="_xlnm._FilterDatabase" localSheetId="1" hidden="1">'FY 25-26 Summary'!$A$1:$AB$49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&quot;₹&quot;\ * #,##0.00_ ;_ &quot;₹&quot;\ * \-#,##0.00_ ;_ &quot;₹&quot;\ * &quot;-&quot;??_ ;_ @_ 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0"/>
      <sz val="11"/>
    </font>
    <font>
      <name val="Calibri"/>
      <family val="2"/>
      <color rgb="FF0D0D0D"/>
      <sz val="11"/>
    </font>
    <font>
      <name val="Calibri"/>
      <family val="2"/>
      <b val="1"/>
      <color theme="1"/>
      <sz val="11"/>
    </font>
    <font>
      <name val="Calibri"/>
      <family val="2"/>
      <sz val="11"/>
      <scheme val="minor"/>
    </font>
    <font>
      <name val="Aptos Narrow"/>
      <family val="2"/>
      <color rgb="FF000000"/>
      <sz val="11"/>
    </font>
    <font>
      <name val="Calibri"/>
      <family val="2"/>
      <color theme="0"/>
      <sz val="11"/>
      <scheme val="minor"/>
    </font>
    <font>
      <name val="Calibri"/>
      <family val="2"/>
      <color rgb="FF000000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4472C4"/>
        <bgColor rgb="004472C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4" fillId="0" borderId="0"/>
    <xf numFmtId="9" fontId="4" fillId="0" borderId="0"/>
    <xf numFmtId="44" fontId="4" fillId="0" borderId="0"/>
  </cellStyleXfs>
  <cellXfs count="28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 vertical="center"/>
    </xf>
    <xf numFmtId="1" fontId="5" fillId="0" borderId="1" applyAlignment="1" pivotButton="0" quotePrefix="0" xfId="1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1">
      <alignment horizontal="center" vertical="center"/>
    </xf>
    <xf numFmtId="2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9" fontId="5" fillId="0" borderId="1" applyAlignment="1" pivotButton="0" quotePrefix="0" xfId="1">
      <alignment vertical="center"/>
    </xf>
    <xf numFmtId="9" fontId="5" fillId="0" borderId="1" applyAlignment="1" pivotButton="0" quotePrefix="0" xfId="1">
      <alignment horizontal="center" vertical="center"/>
    </xf>
    <xf numFmtId="0" fontId="5" fillId="0" borderId="1" applyAlignment="1" pivotButton="0" quotePrefix="0" xfId="0">
      <alignment vertical="center"/>
    </xf>
    <xf numFmtId="2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9" fontId="5" fillId="0" borderId="1" applyAlignment="1" pivotButton="0" quotePrefix="1" xfId="0">
      <alignment horizontal="center" vertical="center"/>
    </xf>
    <xf numFmtId="164" fontId="5" fillId="0" borderId="1" applyAlignment="1" pivotButton="0" quotePrefix="0" xfId="2">
      <alignment horizontal="center" vertical="center" wrapText="1"/>
    </xf>
    <xf numFmtId="9" fontId="5" fillId="0" borderId="1" applyAlignment="1" pivotButton="0" quotePrefix="0" xfId="2">
      <alignment horizontal="center" vertical="center" wrapText="1"/>
    </xf>
    <xf numFmtId="10" fontId="5" fillId="0" borderId="1" applyAlignment="1" pivotButton="0" quotePrefix="0" xfId="2">
      <alignment horizontal="center" vertical="center" wrapText="1"/>
    </xf>
    <xf numFmtId="20" fontId="5" fillId="0" borderId="1" applyAlignment="1" pivotButton="0" quotePrefix="0" xfId="1">
      <alignment horizontal="center" vertical="center"/>
    </xf>
    <xf numFmtId="20" fontId="5" fillId="0" borderId="1" applyAlignment="1" pivotButton="0" quotePrefix="0" xfId="2">
      <alignment horizontal="center" vertical="center" wrapText="1"/>
    </xf>
    <xf numFmtId="9" fontId="3" fillId="0" borderId="1" applyAlignment="1" pivotButton="0" quotePrefix="0" xfId="1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vertical="center"/>
    </xf>
    <xf numFmtId="0" fontId="5" fillId="0" borderId="1" applyAlignment="1" pivotButton="0" quotePrefix="0" xfId="1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5" fillId="0" borderId="1" applyAlignment="1" pivotButton="0" quotePrefix="0" xfId="0">
      <alignment horizontal="left" vertical="center"/>
    </xf>
    <xf numFmtId="9" fontId="6" fillId="0" borderId="1" applyAlignment="1" pivotButton="0" quotePrefix="0" xfId="1">
      <alignment horizontal="center" vertical="center"/>
    </xf>
    <xf numFmtId="0" fontId="5" fillId="0" borderId="1" applyAlignment="1" pivotButton="0" quotePrefix="1" xfId="0">
      <alignment horizontal="center" vertical="center"/>
    </xf>
    <xf numFmtId="9" fontId="5" fillId="0" borderId="1" applyAlignment="1" pivotButton="0" quotePrefix="1" xfId="1">
      <alignment horizontal="center" vertical="center"/>
    </xf>
    <xf numFmtId="0" fontId="6" fillId="0" borderId="1" applyAlignment="1" pivotButton="0" quotePrefix="0" xfId="0">
      <alignment vertical="center" readingOrder="1"/>
    </xf>
    <xf numFmtId="20" fontId="3" fillId="0" borderId="1" applyAlignment="1" pivotButton="0" quotePrefix="0" xfId="0">
      <alignment horizontal="center" vertical="center"/>
    </xf>
    <xf numFmtId="9" fontId="3" fillId="5" borderId="1" applyAlignment="1" pivotButton="0" quotePrefix="0" xfId="1">
      <alignment horizontal="center" vertical="center"/>
    </xf>
    <xf numFmtId="20" fontId="5" fillId="0" borderId="1" applyAlignment="1" pivotButton="0" quotePrefix="0" xfId="1">
      <alignment horizontal="center" vertical="center"/>
    </xf>
    <xf numFmtId="9" fontId="3" fillId="0" borderId="1" applyAlignment="1" pivotButton="0" quotePrefix="0" xfId="1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2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20" fontId="5" fillId="6" borderId="1" applyAlignment="1" pivotButton="0" quotePrefix="0" xfId="0">
      <alignment horizontal="center" vertical="center"/>
    </xf>
    <xf numFmtId="20" fontId="5" fillId="6" borderId="1" applyAlignment="1" pivotButton="0" quotePrefix="0" xfId="1">
      <alignment horizontal="center" vertical="center"/>
    </xf>
    <xf numFmtId="10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9" fontId="5" fillId="0" borderId="1" applyAlignment="1" pivotButton="0" quotePrefix="0" xfId="1">
      <alignment horizontal="center" vertical="center" wrapText="1"/>
    </xf>
    <xf numFmtId="9" fontId="6" fillId="5" borderId="1" applyAlignment="1" pivotButton="0" quotePrefix="0" xfId="1">
      <alignment horizontal="center" vertical="center"/>
    </xf>
    <xf numFmtId="9" fontId="6" fillId="0" borderId="1" applyAlignment="1" pivotButton="0" quotePrefix="1" xfId="1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1" fontId="3" fillId="0" borderId="1" applyAlignment="1" pivotButton="0" quotePrefix="0" xfId="1">
      <alignment horizontal="center" vertical="center"/>
    </xf>
    <xf numFmtId="20" fontId="6" fillId="0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9" fontId="11" fillId="0" borderId="1" applyAlignment="1" pivotButton="0" quotePrefix="0" xfId="1">
      <alignment horizontal="center" vertical="center"/>
    </xf>
    <xf numFmtId="9" fontId="6" fillId="5" borderId="1" applyAlignment="1" pivotButton="0" quotePrefix="1" xfId="1">
      <alignment horizontal="center" vertical="center"/>
    </xf>
    <xf numFmtId="20" fontId="5" fillId="5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9" fontId="0" fillId="0" borderId="1" applyAlignment="1" pivotButton="0" quotePrefix="0" xfId="1">
      <alignment horizontal="center" vertical="center"/>
    </xf>
    <xf numFmtId="0" fontId="13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9" fontId="0" fillId="0" borderId="1" applyAlignment="1" pivotButton="0" quotePrefix="0" xfId="1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9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applyProtection="1" pivotButton="0" quotePrefix="0" xfId="0">
      <alignment vertical="center"/>
      <protection locked="0" hidden="0"/>
    </xf>
    <xf numFmtId="0" fontId="12" fillId="0" borderId="1" applyAlignment="1" applyProtection="1" pivotButton="0" quotePrefix="0" xfId="0">
      <alignment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9" fontId="0" fillId="0" borderId="1" applyAlignment="1" applyProtection="1" pivotButton="0" quotePrefix="0" xfId="1">
      <alignment horizontal="center" vertical="center"/>
      <protection locked="0" hidden="0"/>
    </xf>
    <xf numFmtId="0" fontId="12" fillId="0" borderId="1" applyAlignment="1" pivotButton="0" quotePrefix="0" xfId="0">
      <alignment horizontal="center" vertical="center"/>
    </xf>
    <xf numFmtId="9" fontId="15" fillId="0" borderId="1" applyAlignment="1" pivotButton="0" quotePrefix="0" xfId="0">
      <alignment horizontal="center" vertical="center"/>
    </xf>
    <xf numFmtId="0" fontId="12" fillId="0" borderId="1" applyAlignment="1" applyProtection="1" pivotButton="0" quotePrefix="0" xfId="0">
      <alignment horizontal="center" vertical="center"/>
      <protection locked="0" hidden="0"/>
    </xf>
    <xf numFmtId="9" fontId="12" fillId="0" borderId="1" applyAlignment="1" applyProtection="1" pivotButton="0" quotePrefix="0" xfId="0">
      <alignment horizontal="center" vertical="center"/>
      <protection locked="0" hidden="0"/>
    </xf>
    <xf numFmtId="1" fontId="0" fillId="5" borderId="1" applyAlignment="1" pivotButton="0" quotePrefix="0" xfId="0">
      <alignment horizontal="center"/>
    </xf>
    <xf numFmtId="9" fontId="0" fillId="5" borderId="1" applyAlignment="1" pivotButton="0" quotePrefix="0" xfId="0">
      <alignment horizontal="center"/>
    </xf>
    <xf numFmtId="0" fontId="12" fillId="0" borderId="1" applyAlignment="1" pivotButton="0" quotePrefix="1" xfId="0">
      <alignment horizontal="center" vertical="center"/>
    </xf>
    <xf numFmtId="9" fontId="12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9" fontId="0" fillId="0" borderId="1" applyAlignment="1" applyProtection="1" pivotButton="0" quotePrefix="0" xfId="0">
      <alignment horizontal="center" vertical="center"/>
      <protection locked="0" hidden="0"/>
    </xf>
    <xf numFmtId="20" fontId="12" fillId="0" borderId="1" applyAlignment="1" pivotButton="0" quotePrefix="0" xfId="0">
      <alignment horizontal="center" vertical="center"/>
    </xf>
    <xf numFmtId="9" fontId="13" fillId="4" borderId="1" applyAlignment="1" pivotButton="0" quotePrefix="0" xfId="1">
      <alignment horizontal="center" vertical="center"/>
    </xf>
    <xf numFmtId="0" fontId="13" fillId="0" borderId="1" applyAlignment="1" applyProtection="1" pivotButton="0" quotePrefix="0" xfId="0">
      <alignment horizontal="center" vertical="center"/>
      <protection locked="0" hidden="0"/>
    </xf>
    <xf numFmtId="9" fontId="12" fillId="0" borderId="1" applyAlignment="1" pivotButton="0" quotePrefix="0" xfId="1">
      <alignment horizontal="center" vertical="center"/>
    </xf>
    <xf numFmtId="0" fontId="15" fillId="0" borderId="1" applyAlignment="1" applyProtection="1" pivotButton="0" quotePrefix="0" xfId="0">
      <alignment horizontal="center" vertical="center"/>
      <protection locked="0" hidden="0"/>
    </xf>
    <xf numFmtId="0" fontId="15" fillId="8" borderId="1" applyAlignment="1" pivotButton="0" quotePrefix="0" xfId="0">
      <alignment horizontal="center" vertical="center"/>
    </xf>
    <xf numFmtId="9" fontId="15" fillId="8" borderId="1" applyAlignment="1" pivotButton="0" quotePrefix="0" xfId="0">
      <alignment horizontal="center" vertical="center"/>
    </xf>
    <xf numFmtId="20" fontId="0" fillId="5" borderId="1" applyAlignment="1" pivotButton="0" quotePrefix="0" xfId="0">
      <alignment horizontal="center" vertical="center"/>
    </xf>
    <xf numFmtId="20" fontId="0" fillId="0" borderId="1" applyAlignment="1" pivotButton="0" quotePrefix="0" xfId="0">
      <alignment horizontal="center" vertical="center"/>
    </xf>
    <xf numFmtId="0" fontId="12" fillId="7" borderId="1" applyAlignment="1" pivotButton="0" quotePrefix="0" xfId="1">
      <alignment horizontal="center" vertical="center"/>
    </xf>
    <xf numFmtId="0" fontId="12" fillId="0" borderId="1" applyAlignment="1" pivotButton="0" quotePrefix="0" xfId="1">
      <alignment horizontal="center" vertical="center"/>
    </xf>
    <xf numFmtId="9" fontId="12" fillId="0" borderId="1" applyAlignment="1" pivotButton="0" quotePrefix="0" xfId="1">
      <alignment horizontal="center" vertical="center"/>
    </xf>
    <xf numFmtId="1" fontId="0" fillId="0" borderId="1" applyAlignment="1" pivotButton="0" quotePrefix="0" xfId="0">
      <alignment horizontal="center"/>
    </xf>
    <xf numFmtId="9" fontId="0" fillId="0" borderId="1" applyAlignment="1" pivotButton="0" quotePrefix="0" xfId="1">
      <alignment horizontal="center"/>
    </xf>
    <xf numFmtId="9" fontId="12" fillId="5" borderId="1" applyAlignment="1" pivotButton="0" quotePrefix="0" xfId="1">
      <alignment horizontal="center" vertical="center"/>
    </xf>
    <xf numFmtId="9" fontId="0" fillId="0" borderId="1" applyAlignment="1" pivotButton="0" quotePrefix="0" xfId="0">
      <alignment horizontal="center"/>
    </xf>
    <xf numFmtId="20" fontId="0" fillId="0" borderId="1" applyAlignment="1" pivotButton="0" quotePrefix="0" xfId="1">
      <alignment horizontal="center" vertical="center"/>
    </xf>
    <xf numFmtId="20" fontId="12" fillId="5" borderId="1" applyAlignment="1" pivotButton="0" quotePrefix="0" xfId="0">
      <alignment horizontal="center" vertical="center"/>
    </xf>
    <xf numFmtId="20" fontId="0" fillId="0" borderId="1" applyAlignment="1" pivotButton="0" quotePrefix="1" xfId="0">
      <alignment horizontal="center" vertical="center"/>
    </xf>
    <xf numFmtId="20" fontId="4" fillId="0" borderId="1" applyAlignment="1" pivotButton="0" quotePrefix="0" xfId="0">
      <alignment horizontal="center"/>
    </xf>
    <xf numFmtId="1" fontId="4" fillId="0" borderId="1" applyAlignment="1" applyProtection="1" pivotButton="0" quotePrefix="0" xfId="1">
      <alignment horizontal="center" vertical="center"/>
      <protection locked="0" hidden="0"/>
    </xf>
    <xf numFmtId="9" fontId="4" fillId="0" borderId="1" applyAlignment="1" applyProtection="1" pivotButton="0" quotePrefix="0" xfId="1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/>
      <protection locked="0" hidden="0"/>
    </xf>
    <xf numFmtId="9" fontId="4" fillId="0" borderId="1" applyAlignment="1" applyProtection="1" pivotButton="0" quotePrefix="0" xfId="0">
      <alignment horizontal="center"/>
      <protection locked="0" hidden="0"/>
    </xf>
    <xf numFmtId="9" fontId="4" fillId="0" borderId="1" applyAlignment="1" applyProtection="1" pivotButton="0" quotePrefix="0" xfId="0">
      <alignment horizontal="center" vertical="center"/>
      <protection locked="0" hidden="0"/>
    </xf>
    <xf numFmtId="9" fontId="15" fillId="0" borderId="1" applyAlignment="1" pivotButton="0" quotePrefix="0" xfId="1">
      <alignment horizontal="center" vertical="center"/>
    </xf>
    <xf numFmtId="9" fontId="15" fillId="5" borderId="1" applyAlignment="1" pivotButton="0" quotePrefix="0" xfId="1">
      <alignment horizontal="center" vertical="center"/>
    </xf>
    <xf numFmtId="9" fontId="15" fillId="5" borderId="1" applyAlignment="1" pivotButton="0" quotePrefix="1" xfId="1">
      <alignment horizontal="center" vertical="center"/>
    </xf>
    <xf numFmtId="1" fontId="15" fillId="0" borderId="1" applyAlignment="1" pivotButton="0" quotePrefix="0" xfId="0">
      <alignment horizontal="center" vertical="center"/>
    </xf>
    <xf numFmtId="0" fontId="12" fillId="9" borderId="1" applyAlignment="1" applyProtection="1" pivotButton="0" quotePrefix="0" xfId="0">
      <alignment horizontal="center" vertical="center"/>
      <protection locked="0" hidden="0"/>
    </xf>
    <xf numFmtId="9" fontId="4" fillId="0" borderId="1" applyAlignment="1" pivotButton="0" quotePrefix="0" xfId="0">
      <alignment horizontal="center" vertical="center"/>
    </xf>
    <xf numFmtId="9" fontId="15" fillId="10" borderId="1" applyAlignment="1" pivotButton="0" quotePrefix="0" xfId="1">
      <alignment horizontal="center" vertical="center"/>
    </xf>
    <xf numFmtId="9" fontId="12" fillId="0" borderId="3" applyAlignment="1" applyProtection="1" pivotButton="0" quotePrefix="0" xfId="0">
      <alignment horizontal="center" vertical="center"/>
      <protection locked="0" hidden="0"/>
    </xf>
    <xf numFmtId="0" fontId="12" fillId="0" borderId="3" applyAlignment="1" applyProtection="1" pivotButton="0" quotePrefix="0" xfId="0">
      <alignment horizontal="center" vertical="center"/>
      <protection locked="0" hidden="0"/>
    </xf>
    <xf numFmtId="9" fontId="4" fillId="0" borderId="3" applyAlignment="1" applyProtection="1" pivotButton="0" quotePrefix="0" xfId="1">
      <alignment horizontal="center" vertical="center"/>
      <protection locked="0" hidden="0"/>
    </xf>
    <xf numFmtId="9" fontId="4" fillId="0" borderId="1" applyAlignment="1" pivotButton="0" quotePrefix="0" xfId="1">
      <alignment horizontal="center" vertical="center"/>
    </xf>
    <xf numFmtId="20" fontId="4" fillId="0" borderId="1" applyAlignment="1" pivotButton="0" quotePrefix="0" xfId="0">
      <alignment horizontal="center" vertical="center"/>
    </xf>
    <xf numFmtId="9" fontId="4" fillId="0" borderId="3" applyAlignment="1" pivotButton="0" quotePrefix="0" xfId="1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9" fontId="4" fillId="0" borderId="3" applyAlignment="1" pivotButton="0" quotePrefix="0" xfId="0">
      <alignment horizontal="center" vertical="center"/>
    </xf>
    <xf numFmtId="9" fontId="4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9" fontId="4" fillId="0" borderId="1" applyAlignment="1" pivotButton="0" quotePrefix="0" xfId="1">
      <alignment horizontal="center" vertical="center"/>
    </xf>
    <xf numFmtId="20" fontId="15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1">
      <alignment horizontal="center"/>
    </xf>
    <xf numFmtId="9" fontId="4" fillId="0" borderId="1" applyAlignment="1" pivotButton="0" quotePrefix="0" xfId="0">
      <alignment horizontal="center"/>
    </xf>
    <xf numFmtId="9" fontId="4" fillId="0" borderId="5" applyAlignment="1" pivotButton="0" quotePrefix="0" xfId="1">
      <alignment horizontal="center"/>
    </xf>
    <xf numFmtId="0" fontId="12" fillId="0" borderId="6" applyAlignment="1" applyProtection="1" pivotButton="0" quotePrefix="0" xfId="0">
      <alignment horizontal="center" vertical="center"/>
      <protection locked="0" hidden="0"/>
    </xf>
    <xf numFmtId="9" fontId="4" fillId="7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9" fontId="4" fillId="5" borderId="1" applyAlignment="1" pivotButton="0" quotePrefix="0" xfId="1">
      <alignment horizontal="center" vertical="center"/>
    </xf>
    <xf numFmtId="0" fontId="4" fillId="5" borderId="1" applyAlignment="1" pivotButton="0" quotePrefix="0" xfId="1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2" fillId="0" borderId="5" applyAlignment="1" applyProtection="1" pivotButton="0" quotePrefix="0" xfId="0">
      <alignment horizontal="center" vertical="center"/>
      <protection locked="0" hidden="0"/>
    </xf>
    <xf numFmtId="0" fontId="5" fillId="0" borderId="6" applyAlignment="1" pivotButton="0" quotePrefix="0" xfId="0">
      <alignment vertical="center"/>
    </xf>
    <xf numFmtId="0" fontId="0" fillId="0" borderId="6" pivotButton="0" quotePrefix="0" xfId="0"/>
    <xf numFmtId="0" fontId="3" fillId="0" borderId="6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9" fontId="5" fillId="0" borderId="6" applyAlignment="1" pivotButton="0" quotePrefix="0" xfId="1">
      <alignment horizontal="center" vertical="center"/>
    </xf>
    <xf numFmtId="9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9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9" fontId="6" fillId="0" borderId="6" applyAlignment="1" pivotButton="0" quotePrefix="0" xfId="1">
      <alignment horizontal="center" vertical="center"/>
    </xf>
    <xf numFmtId="9" fontId="3" fillId="0" borderId="6" applyAlignment="1" pivotButton="0" quotePrefix="0" xfId="1">
      <alignment horizontal="center" vertical="center"/>
    </xf>
    <xf numFmtId="9" fontId="4" fillId="0" borderId="6" applyAlignment="1" applyProtection="1" pivotButton="0" quotePrefix="0" xfId="1">
      <alignment horizontal="center" vertical="center"/>
      <protection locked="0" hidden="0"/>
    </xf>
    <xf numFmtId="0" fontId="0" fillId="0" borderId="6" applyAlignment="1" pivotButton="0" quotePrefix="0" xfId="0">
      <alignment horizontal="center" vertical="center"/>
    </xf>
    <xf numFmtId="9" fontId="5" fillId="0" borderId="6" applyAlignment="1" pivotButton="0" quotePrefix="0" xfId="0">
      <alignment horizontal="center" vertical="center" wrapText="1"/>
    </xf>
    <xf numFmtId="9" fontId="12" fillId="0" borderId="7" applyAlignment="1" applyProtection="1" pivotButton="0" quotePrefix="0" xfId="0">
      <alignment horizontal="center" vertical="center"/>
      <protection locked="0" hidden="0"/>
    </xf>
    <xf numFmtId="9" fontId="0" fillId="0" borderId="6" applyAlignment="1" pivotButton="0" quotePrefix="0" xfId="1">
      <alignment horizontal="center" vertical="center"/>
    </xf>
    <xf numFmtId="9" fontId="4" fillId="0" borderId="6" applyAlignment="1" pivotButton="0" quotePrefix="0" xfId="1">
      <alignment horizontal="center" vertical="center"/>
    </xf>
    <xf numFmtId="0" fontId="12" fillId="0" borderId="6" applyAlignment="1" pivotButton="0" quotePrefix="0" xfId="0">
      <alignment vertical="center"/>
    </xf>
    <xf numFmtId="9" fontId="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" fontId="5" fillId="0" borderId="6" applyAlignment="1" pivotButton="0" quotePrefix="0" xfId="1">
      <alignment horizontal="center" vertical="center"/>
    </xf>
    <xf numFmtId="1" fontId="5" fillId="0" borderId="6" applyAlignment="1" pivotButton="0" quotePrefix="0" xfId="0">
      <alignment horizontal="center" vertical="center"/>
    </xf>
    <xf numFmtId="1" fontId="6" fillId="0" borderId="6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10" fontId="5" fillId="0" borderId="6" applyAlignment="1" pivotButton="0" quotePrefix="0" xfId="0">
      <alignment horizontal="center" vertical="center"/>
    </xf>
    <xf numFmtId="9" fontId="5" fillId="0" borderId="6" applyAlignment="1" pivotButton="0" quotePrefix="0" xfId="1">
      <alignment horizontal="center" vertical="center"/>
    </xf>
    <xf numFmtId="9" fontId="0" fillId="0" borderId="6" applyAlignment="1" pivotButton="0" quotePrefix="0" xfId="1">
      <alignment horizontal="center" vertical="center"/>
    </xf>
    <xf numFmtId="9" fontId="4" fillId="0" borderId="6" applyAlignment="1" pivotButton="0" quotePrefix="0" xfId="0">
      <alignment horizontal="center"/>
    </xf>
    <xf numFmtId="9" fontId="12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5" applyAlignment="1" applyProtection="1" pivotButton="0" quotePrefix="0" xfId="0">
      <alignment vertical="center"/>
      <protection locked="0" hidden="0"/>
    </xf>
    <xf numFmtId="0" fontId="12" fillId="0" borderId="5" applyAlignment="1" applyProtection="1" pivotButton="0" quotePrefix="0" xfId="0">
      <alignment vertical="center"/>
      <protection locked="0" hidden="0"/>
    </xf>
    <xf numFmtId="0" fontId="12" fillId="0" borderId="5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9" fontId="5" fillId="0" borderId="5" applyAlignment="1" pivotButton="0" quotePrefix="0" xfId="1">
      <alignment horizontal="center" vertical="center"/>
    </xf>
    <xf numFmtId="1" fontId="4" fillId="0" borderId="5" applyAlignment="1" applyProtection="1" pivotButton="0" quotePrefix="0" xfId="1">
      <alignment horizontal="center" vertical="center"/>
      <protection locked="0" hidden="0"/>
    </xf>
    <xf numFmtId="0" fontId="3" fillId="0" borderId="5" applyAlignment="1" pivotButton="0" quotePrefix="0" xfId="0">
      <alignment horizontal="center" vertical="center"/>
    </xf>
    <xf numFmtId="9" fontId="4" fillId="0" borderId="5" applyAlignment="1" applyProtection="1" pivotButton="0" quotePrefix="0" xfId="1">
      <alignment horizontal="center" vertical="center"/>
      <protection locked="0" hidden="0"/>
    </xf>
    <xf numFmtId="0" fontId="5" fillId="0" borderId="5" applyAlignment="1" pivotButton="0" quotePrefix="0" xfId="0">
      <alignment vertical="center"/>
    </xf>
    <xf numFmtId="0" fontId="0" fillId="0" borderId="5" pivotButton="0" quotePrefix="0" xfId="0"/>
    <xf numFmtId="0" fontId="3" fillId="0" borderId="5" applyAlignment="1" pivotButton="0" quotePrefix="0" xfId="0">
      <alignment vertical="center"/>
    </xf>
    <xf numFmtId="9" fontId="5" fillId="0" borderId="5" applyAlignment="1" pivotButton="0" quotePrefix="0" xfId="0">
      <alignment horizontal="center" vertical="center"/>
    </xf>
    <xf numFmtId="0" fontId="3" fillId="0" borderId="5" applyAlignment="1" pivotButton="0" quotePrefix="0" xfId="1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9" fontId="5" fillId="0" borderId="5" applyAlignment="1" pivotButton="0" quotePrefix="0" xfId="1">
      <alignment horizontal="center" vertical="center" wrapText="1"/>
    </xf>
    <xf numFmtId="9" fontId="3" fillId="0" borderId="5" applyAlignment="1" pivotButton="0" quotePrefix="0" xfId="1">
      <alignment horizontal="center" vertical="center"/>
    </xf>
    <xf numFmtId="9" fontId="6" fillId="0" borderId="5" applyAlignment="1" pivotButton="0" quotePrefix="0" xfId="1">
      <alignment horizontal="center" vertical="center"/>
    </xf>
    <xf numFmtId="9" fontId="3" fillId="0" borderId="5" applyAlignment="1" pivotButton="0" quotePrefix="0" xfId="0">
      <alignment horizontal="center" vertical="center"/>
    </xf>
    <xf numFmtId="9" fontId="12" fillId="0" borderId="9" applyAlignment="1" applyProtection="1" pivotButton="0" quotePrefix="0" xfId="0">
      <alignment horizontal="center" vertical="center"/>
      <protection locked="0" hidden="0"/>
    </xf>
    <xf numFmtId="0" fontId="0" fillId="0" borderId="2" pivotButton="0" quotePrefix="0" xfId="0"/>
    <xf numFmtId="0" fontId="3" fillId="0" borderId="2" applyAlignment="1" pivotButton="0" quotePrefix="0" xfId="0">
      <alignment vertical="center"/>
    </xf>
    <xf numFmtId="9" fontId="5" fillId="0" borderId="2" applyAlignment="1" pivotButton="0" quotePrefix="0" xfId="0">
      <alignment horizontal="center" vertical="center"/>
    </xf>
    <xf numFmtId="9" fontId="5" fillId="0" borderId="2" applyAlignment="1" pivotButton="0" quotePrefix="0" xfId="1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9" fontId="5" fillId="0" borderId="2" applyAlignment="1" pivotButton="0" quotePrefix="0" xfId="1">
      <alignment horizontal="center" vertical="center"/>
    </xf>
    <xf numFmtId="9" fontId="3" fillId="0" borderId="2" applyAlignment="1" pivotButton="0" quotePrefix="0" xfId="1">
      <alignment horizontal="center" vertical="center"/>
    </xf>
    <xf numFmtId="9" fontId="3" fillId="0" borderId="2" applyAlignment="1" pivotButton="0" quotePrefix="0" xfId="0">
      <alignment horizontal="center" vertical="center"/>
    </xf>
    <xf numFmtId="9" fontId="6" fillId="0" borderId="2" applyAlignment="1" pivotButton="0" quotePrefix="0" xfId="1">
      <alignment horizontal="center" vertical="center"/>
    </xf>
    <xf numFmtId="0" fontId="12" fillId="0" borderId="2" applyAlignment="1" applyProtection="1" pivotButton="0" quotePrefix="0" xfId="0">
      <alignment horizontal="center" vertical="center"/>
      <protection locked="0" hidden="0"/>
    </xf>
    <xf numFmtId="0" fontId="0" fillId="0" borderId="2" applyAlignment="1" pivotButton="0" quotePrefix="0" xfId="0">
      <alignment horizontal="center" vertical="center"/>
    </xf>
    <xf numFmtId="9" fontId="12" fillId="0" borderId="10" applyAlignment="1" applyProtection="1" pivotButton="0" quotePrefix="0" xfId="0">
      <alignment horizontal="center" vertical="center"/>
      <protection locked="0" hidden="0"/>
    </xf>
    <xf numFmtId="1" fontId="5" fillId="0" borderId="5" applyAlignment="1" pivotButton="0" quotePrefix="0" xfId="2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9" fontId="5" fillId="4" borderId="5" applyAlignment="1" pivotButton="0" quotePrefix="0" xfId="1">
      <alignment horizontal="center" vertical="center"/>
    </xf>
    <xf numFmtId="1" fontId="3" fillId="4" borderId="5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12" fillId="0" borderId="2" applyAlignment="1" pivotButton="0" quotePrefix="0" xfId="0">
      <alignment horizontal="center" vertical="center"/>
    </xf>
    <xf numFmtId="9" fontId="4" fillId="0" borderId="2" applyAlignment="1" applyProtection="1" pivotButton="0" quotePrefix="0" xfId="1">
      <alignment horizontal="center" vertical="center"/>
      <protection locked="0" hidden="0"/>
    </xf>
    <xf numFmtId="1" fontId="6" fillId="0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1" fontId="5" fillId="0" borderId="5" applyAlignment="1" pivotButton="0" quotePrefix="0" xfId="0">
      <alignment horizontal="center" vertical="center"/>
    </xf>
    <xf numFmtId="0" fontId="5" fillId="0" borderId="5" applyAlignment="1" pivotButton="0" quotePrefix="0" xfId="1">
      <alignment horizontal="center" vertical="center"/>
    </xf>
    <xf numFmtId="9" fontId="4" fillId="0" borderId="9" applyAlignment="1" applyProtection="1" pivotButton="0" quotePrefix="0" xfId="1">
      <alignment horizontal="center" vertical="center"/>
      <protection locked="0" hidden="0"/>
    </xf>
    <xf numFmtId="9" fontId="12" fillId="0" borderId="5" applyAlignment="1" pivotButton="0" quotePrefix="0" xfId="0">
      <alignment horizontal="center" vertical="center"/>
    </xf>
    <xf numFmtId="9" fontId="4" fillId="0" borderId="5" applyAlignment="1" pivotButton="0" quotePrefix="0" xfId="0">
      <alignment horizontal="center" vertical="center"/>
    </xf>
    <xf numFmtId="0" fontId="12" fillId="0" borderId="11" applyAlignment="1" applyProtection="1" pivotButton="0" quotePrefix="0" xfId="0">
      <alignment horizontal="center" vertical="center"/>
      <protection locked="0" hidden="0"/>
    </xf>
    <xf numFmtId="0" fontId="1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indent="1"/>
    </xf>
    <xf numFmtId="0" fontId="0" fillId="0" borderId="1" applyAlignment="1" pivotButton="0" quotePrefix="0" xfId="0">
      <alignment horizontal="left" indent="1"/>
    </xf>
    <xf numFmtId="0" fontId="0" fillId="0" borderId="1" applyAlignment="1" pivotButton="0" quotePrefix="0" xfId="0">
      <alignment horizontal="left" vertical="center" indent="1"/>
    </xf>
    <xf numFmtId="0" fontId="12" fillId="5" borderId="5" applyAlignment="1" pivotButton="0" quotePrefix="0" xfId="0">
      <alignment horizontal="center" vertical="center"/>
    </xf>
    <xf numFmtId="9" fontId="13" fillId="0" borderId="5" applyAlignment="1" pivotButton="0" quotePrefix="0" xfId="0">
      <alignment horizontal="center" vertical="center"/>
    </xf>
    <xf numFmtId="1" fontId="12" fillId="0" borderId="1" applyAlignment="1" pivotButton="0" quotePrefix="0" xfId="1">
      <alignment horizontal="center" vertical="center"/>
    </xf>
    <xf numFmtId="2" fontId="4" fillId="0" borderId="1" applyAlignment="1" applyProtection="1" pivotButton="0" quotePrefix="0" xfId="1">
      <alignment horizontal="center" vertical="center"/>
      <protection locked="0" hidden="0"/>
    </xf>
    <xf numFmtId="0" fontId="12" fillId="4" borderId="1" applyAlignment="1" pivotButton="0" quotePrefix="0" xfId="0">
      <alignment horizontal="center" vertical="center"/>
    </xf>
    <xf numFmtId="9" fontId="12" fillId="0" borderId="3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20" fontId="15" fillId="0" borderId="1" applyAlignment="1" pivotButton="0" quotePrefix="0" xfId="0">
      <alignment horizontal="center" wrapText="1" readingOrder="1"/>
    </xf>
    <xf numFmtId="0" fontId="4" fillId="0" borderId="5" applyAlignment="1" applyProtection="1" pivotButton="0" quotePrefix="0" xfId="1">
      <alignment horizontal="center" vertical="center"/>
      <protection locked="0" hidden="0"/>
    </xf>
    <xf numFmtId="0" fontId="4" fillId="0" borderId="1" applyAlignment="1" applyProtection="1" pivotButton="0" quotePrefix="0" xfId="1">
      <alignment horizontal="center" vertical="center"/>
      <protection locked="0" hidden="0"/>
    </xf>
    <xf numFmtId="1" fontId="12" fillId="0" borderId="1" applyAlignment="1" pivotButton="0" quotePrefix="0" xfId="1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9" fontId="13" fillId="0" borderId="3" applyAlignment="1" pivotButton="0" quotePrefix="0" xfId="0">
      <alignment horizontal="center" vertical="center"/>
    </xf>
    <xf numFmtId="9" fontId="13" fillId="0" borderId="1" applyAlignment="1" pivotButton="0" quotePrefix="0" xfId="1">
      <alignment horizontal="center" vertical="center"/>
    </xf>
    <xf numFmtId="1" fontId="4" fillId="0" borderId="1" applyAlignment="1" pivotButton="0" quotePrefix="0" xfId="1">
      <alignment horizontal="center" vertical="center"/>
    </xf>
    <xf numFmtId="1" fontId="4" fillId="0" borderId="1" applyAlignment="1" pivotButton="0" quotePrefix="0" xfId="1">
      <alignment horizontal="center" vertical="center"/>
    </xf>
    <xf numFmtId="20" fontId="4" fillId="0" borderId="1" applyAlignment="1" pivotButton="0" quotePrefix="0" xfId="1">
      <alignment horizontal="center" vertical="center"/>
    </xf>
    <xf numFmtId="9" fontId="12" fillId="5" borderId="3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9" fontId="4" fillId="0" borderId="5" applyAlignment="1" pivotButton="0" quotePrefix="0" xfId="1">
      <alignment horizontal="center" vertical="center"/>
    </xf>
    <xf numFmtId="9" fontId="12" fillId="0" borderId="5" applyAlignment="1" applyProtection="1" pivotButton="0" quotePrefix="0" xfId="0">
      <alignment horizontal="center" vertical="center"/>
      <protection locked="0" hidden="0"/>
    </xf>
    <xf numFmtId="0" fontId="0" fillId="0" borderId="5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9" fontId="4" fillId="0" borderId="0" applyAlignment="1" pivotButton="0" quotePrefix="0" xfId="1">
      <alignment horizontal="center" vertical="center"/>
    </xf>
    <xf numFmtId="9" fontId="0" fillId="0" borderId="0" pivotButton="0" quotePrefix="0" xfId="1"/>
    <xf numFmtId="0" fontId="16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5" fillId="0" borderId="1" applyAlignment="1" pivotButton="0" quotePrefix="0" xfId="2">
      <alignment horizontal="center" vertical="center" wrapText="1"/>
    </xf>
  </cellXfs>
  <cellStyles count="3">
    <cellStyle name="Normal" xfId="0" builtinId="0"/>
    <cellStyle name="Percent" xfId="1" builtinId="5"/>
    <cellStyle name="Currency 2" xfId="2"/>
  </cellStyles>
  <dxfs count="1651"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tc={BE66B7EB-1174-4C05-BA23-9B252216F247}</author>
    <author>tc={5F9B2C80-8C01-4E7C-B9A7-E798BB77D0B7}</author>
    <author>tc={A0C5AC97-D0E5-4815-81D0-7D20BCD528B7}</author>
    <author>tc={97917BEB-36FE-4ACA-8D73-8A5C1BCD8D36}</author>
    <author>tc={39FE8226-AF04-4575-B410-8DC2A26F838C}</author>
    <author>tc={251CB09A-00C5-4C73-8434-AE894AD6022B}</author>
    <author>tc={128205FD-0ADD-4A21-A191-749B144607C9}</author>
    <author>tc={F2955197-42C5-44D9-8598-7FF665A1AE18}</author>
    <author>tc={F6BC492C-25B8-42CC-A2B3-0692F33403B1}</author>
    <author>tc={C136B01B-B0B4-4589-BC6D-EEA050A56D39}</author>
    <author>tc={D58A700E-683D-4965-BBAF-257AAC0447D6}</author>
    <author>tc={79177503-DA4D-44DD-9528-C2ACE0868176}</author>
    <author>tc={2EBFA44C-28B3-40F2-8C00-FA97E266C7D6}</author>
    <author>tc={EA663C64-3D2F-4ECA-8F65-96F9860FBB4D}</author>
    <author>tc={5A8DF23D-056D-4F5A-AD9F-BC9200A517E2}</author>
    <author>tc={79CCD198-304B-4F06-91A2-3F400D3AAFC7}</author>
    <author>tc={6809E1A8-04ED-429A-A485-1827DE430319}</author>
    <author>tc={800F4D36-0FD9-4696-8548-AB232EAF41EA}</author>
    <author>tc={C4F10919-2F55-4A0B-901B-F38B4F2F1DA1}</author>
    <author>tc={7702CBD5-E14D-41C8-8544-5EDAB69DED8B}</author>
    <author>tc={1D010F53-D4CD-4D14-B4FF-5F3BD22B8637}</author>
    <author>tc={AD76F86A-FF9B-41E6-B196-6CCC108A629E}</author>
    <author>tc={3921DF08-160B-41DC-A7F6-63C9657E7DB2}</author>
    <author>tc={890EAAC2-70A4-4922-86E1-27909D11F34C}</author>
    <author>tc={4DDBA288-3D5F-45A5-9E0B-0D6F23E99E1D}</author>
    <author>tc={F7D55C9F-45EF-43D5-916A-385535A94D8C}</author>
    <author>tc={607CE74A-66EF-49AF-A423-D15AD6807E6A}</author>
    <author>tc={E1DA76CC-C269-4B59-9F12-FF19AA1266FB}</author>
    <author>tc={6D2D4A80-0A27-4D58-B5F9-FC2C6FF62F65}</author>
    <author>tc={5B217283-0ED3-4D06-8859-3694B88946C9}</author>
    <author>tc={BA21F6F1-E313-4207-9E1D-F1BFA0FFE8E8}</author>
    <author>tc={5B2C2BE4-F01A-4D62-A415-775B96EBA8E7}</author>
    <author>tc={60004511-9CDE-45F1-8DE0-54E2910C1871}</author>
    <author>tc={5092A264-D0DD-4D85-9306-A01F9F14DBE4}</author>
    <author>tc={B7A2E25A-D1F9-4401-ACC8-6AA5B77E9447}</author>
    <author>tc={DA4D60C6-B2CF-42EA-A070-85DC6BD8F150}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tc={136DB154-1B3C-40CD-8AE6-E634ADFC0F72}</author>
    <author>tc={1901FA0B-9095-4A4D-ADCD-63B284464844}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tc={0C753714-E255-472B-B3D9-7B7DCCC05CEA}</author>
    <author>tc={4455BE66-9121-4172-A40A-87E1D607EE11}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tc={5D6F07EC-20AC-4FA1-90A3-2734D3D055A0}</author>
    <author>tc={9B13738D-0B32-46ED-93C4-48696A43E847}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tc={22D110CC-E567-4887-8771-35B637822E1E}</author>
    <author>tc={CEEF37D3-FB12-4E6C-9C75-6DFF40697E75}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tc={737E264C-3E54-4B85-BAC8-9F33C3C4D0A2}</author>
    <author>tc={29693776-7223-4FED-A1C1-E415073A7C46}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tc={C7ADDD7C-9F82-4185-B094-238F00F4E13F}</author>
    <author>tc={F0D78132-EB5D-4CFE-B83A-A3F4D9741F39}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tc={DD4D1134-C5A2-47CA-9CD7-D39751EBB461}</author>
    <author>tc={A22910A6-2FC7-44EC-A85C-33CBC1FB111C}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tc={6B8734C4-EBD0-42C6-A267-FE8D02D0A32B}</author>
    <author>tc={F59AAE9C-4BA5-487B-A93A-432EFF46F337}</author>
    <author>tc={5776F887-48EF-43D7-830D-6348F8F0E211}</author>
    <author>tc={9243FFEC-C107-484C-B4B5-DBF663AE45F4}</author>
    <author>tc={EB6651B9-22DC-4EEA-A2E6-EF81554F12DB}</author>
    <author>tc={BB55117F-F8B3-41C5-A9B6-577E7D2A5D3A}</author>
    <author>tc={23709891-F585-4A36-B417-852E80E652A9}</author>
    <author>tc={4655DB27-B8F7-4FA2-BCD6-06C0FC77C5E9}</author>
    <author>tc={124CBC8D-8138-454B-BFB8-98A1D50F708C}</author>
    <author>tc={F39FEC1C-926C-4E71-86E9-ED99DBEABCA5}</author>
    <author>tc={D6563B19-ABCB-4FA1-90FC-16014C217C62}</author>
    <author>tc={37C6465B-3DFF-47C6-8AB5-452A2E91D71E}</author>
    <author>tc={8191D01E-2934-46CD-9A57-C2AD9DA29139}</author>
    <author>tc={9B28A159-3285-45B1-BCB7-7F66189F7860}</author>
    <author>tc={3962EEC8-6591-4B00-BD60-DF5DD896DB80}</author>
    <author>tc={CFED3394-5724-48D1-98A0-EFE43258DD74}</author>
    <author>tc={23F84AA8-57B0-4EA5-BF4E-0C61E5924914}</author>
    <author>tc={D054197F-CB26-4F79-B44F-4CE67AFD38AF}</author>
    <author>tc={239EF028-2740-440A-A68F-643EADB4EA52}</author>
    <author>tc={4AAD2555-5438-4D77-82F0-159F57B7EAE3}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tc={4D90FF23-A3FB-4785-A25C-92E77362DC45}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tc={9335B184-E681-4271-8FA7-13D7006529CD}</author>
    <author>tc={093CA3ED-27E8-4B57-B578-95ED76AFBD24}</author>
    <author>tc={062BBC72-553A-4AFC-A5AE-26D0C7600F0C}</author>
    <author>tc={CD8DFD3D-2160-4FA6-916E-CD39D1ECAC00}</author>
    <author>tc={B6F0B622-9AF7-4259-92EE-E002E1581392}</author>
    <author>tc={C32D0E39-A6F9-42FB-B18D-512C5D1A3C7A}</author>
    <author>tc={7AFA49AF-365C-43BD-B25E-9D3B5D73FC19}</author>
    <author>tc={48F42022-91D7-45BA-835B-D65F34ECCAED}</author>
    <author>tc={F4DCA2F6-990E-4723-AC47-6A627CA65A0B}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tc={1047F362-F0A4-487F-9184-82130164CEE4}</author>
    <author>tc={0C7A3A34-D5FF-411E-B4BC-699D22624001}</author>
    <author>tc={8027F21F-49C3-4CAD-BC75-B66D5ACA78BE}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tc={91981767-2449-4202-91A8-5C473201C349}</author>
    <author>tc={9961F120-CCD8-4780-B07A-78BF83FD795F}</author>
    <author>tc={C24F3626-6276-47B9-B813-DDB55D900706}</author>
    <author>tc={D18DA98C-CC1C-4BCF-918D-916B04A2A251}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tc={2C766EFE-F5C5-4B56-8D78-A53A7A9C7A3A}</author>
    <author>tc={6829AD9E-8663-42B6-99CC-BF3626F73880}</author>
    <author>tc={FE834689-F73B-42FB-BC6D-58520EDA2580}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tc={C69A3290-4BB3-4097-8E9C-C27FB8F5483A}</author>
    <author>tc={D1A33E18-5F5F-4E6E-B4B3-591734C0A1E6}</author>
    <author>tc={205D486F-22AF-4F6B-B462-2EF20D24CACD}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tc={15D8CF3B-D3E6-4C51-92EF-5A3897E1073D}</author>
    <author>tc={AE4BB25F-A8B4-4593-9D6C-DB6DF7504918}</author>
    <author>tc={79082137-8FFC-4217-935D-F8F7FF7B78AF}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tc={A76A1B7F-82C7-4D62-90C9-69767FDD7F7E}</author>
    <author>tc={B51C8642-8677-4F78-A5E3-2FFE53054740}</author>
    <author>tc={96906340-B7A3-4CC9-B0B9-38594C5AE0A5}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tc={7281133C-82E6-46D9-8B0D-CDA084729BD3}</author>
    <author>tc={ABBC02E6-C187-4CDA-84F8-986C9081B9A7}</author>
    <author>tc={56AAA2AB-BBCA-4733-9589-02468AEB597E}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tc={5862B365-1787-4F7A-AF5B-D0856169081C}</author>
    <author>tc={D9F811BB-830A-4478-9624-794BF9A31787}</author>
    <author>tc={3D57D503-177C-4E9D-B1EC-FEC2119E67BA}</author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tc={4243A67A-12E2-4B76-B096-EF82C11B9E5D}</author>
    <author>tc={F7F6AFA3-DABA-4832-A6DB-17FBD3EEBE44}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tc={88B6D999-85C2-4E2A-B571-3B14FDF95F0C}</author>
    <author>tc={A84A1433-68E3-4B0E-9BB8-3424387AB3DC}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tc={4240638E-8AE7-4548-8A18-30A7208A0ACA}</author>
    <author>tc={6800BAE8-56D9-4ECC-B8B9-873BEFA3DC4B}</author>
    <author>tc={94DA86E5-3BD6-4692-9C50-9F24E4454BAA}</author>
    <author>tc={2C4F90C1-B0CA-479A-8785-970D8767BEDF}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tc={4EE06BA5-83CF-4946-8543-94DD435D0AFD}</author>
    <author>tc={7955038F-D97A-4D45-9FEB-955D381F6FED}</author>
    <author>tc={D05B7C4E-624D-45F9-8EA6-92BE60AB4E31}</author>
    <author>tc={07681612-7E75-470D-AB16-63C08DB1D2A8}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tc={B95246FF-13A3-4589-BD9A-72958DF668EF}</author>
    <author>tc={6F991FA3-B1E0-48D7-8B35-C8AF5B745EC6}</author>
    <author>tc={6D459372-F429-4DB5-9403-154898CC4A46}</author>
    <author>tc={EF863A51-C1E6-4635-94F2-FAA012D2D219}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tc={F11A6651-830F-4423-B4E0-163F5DAFDC76}</author>
    <author>tc={40DB71FD-795B-4CC1-A7CE-C0E221C343CA}</author>
    <author>tc={62B5D616-6022-420F-BE7B-C3900EC83AD4}</author>
    <author>tc={558626D0-6D67-4371-8FB6-064BFA7956FC}</author>
    <author>tc={D9D24098-CA12-41B3-B422-E111B21B2245}</author>
    <author>tc={DA770123-EC1A-48EF-AD8E-A34A9C546DCD}</author>
    <author>tc={F3475B61-4122-4E04-B2BE-BA9CD2CB3ED7}</author>
    <author>tc={1D628D86-1E23-4C19-B52F-0DFD3F930AB0}</author>
    <author>tc={7C71DD5A-0932-4D91-8C4C-1001E6104232}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tc={75B0FAB0-0A86-4F56-98DC-88A49CBAA642}</author>
    <author>tc={496F0FAD-5B44-4857-B84E-607F30C2C376}</author>
    <author>tc={9077832B-98AB-4E2A-B1FC-D23E4DBFF94C}</author>
    <author>tc={33280624-7510-4C38-832B-52222B85263E}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tc={01DFE941-298B-4230-9E40-84B6DDBF45FE}</author>
    <author>tc={158B70D7-8B59-463F-96C8-701DEA98EC24}</author>
    <author>tc={0ABBE9DD-FBEE-437E-9AE7-9400BAED0E0D}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tc={9CE37AC9-E49D-49C0-9D17-5709B22549FB}</author>
    <author>tc={7815D147-0C9A-4A42-B734-82E7660A9FEF}</author>
    <author>tc={08D9EDE3-23C8-4439-B90B-496403974891}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tc={8E8B19F0-09F3-4E64-9D3D-856D87563E05}</author>
    <author>tc={5A852616-1E83-4195-A11D-162E20562A14}</author>
    <author>tc={C65EF6AE-0B10-4770-82E7-3FA73A1F4D0F}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tc={77AB2246-DF48-4A39-B616-71094B95AEBF}</author>
    <author>tc={1C247675-BD66-47D0-9928-F22239767687}</author>
    <author>tc={EE3A6B3E-94FC-4F7A-9BB6-28391610D923}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tc={14457961-B1B2-4266-9C4F-514ED8F4044B}</author>
    <author>tc={DB336F74-B043-44EA-BCBC-A4BA8D6B76A6}</author>
    <author>tc={C14A2F8F-67B8-43AE-9AFD-9E365AEA8230}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tc={BE501730-01D6-4E1C-A84D-4CEB262C8B52}</author>
    <author>tc={4B6BD5EE-E71C-4EF6-AD8E-C5E317F6FCE6}</author>
    <author>tc={0C95DFBC-D228-4960-94CD-6CE2E8D22501}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tc={99EC727E-0075-4E52-A64B-F1C5AA050D08}</author>
    <author>tc={FA8D1A66-A38C-48AE-8363-B77D5B2F2486}</author>
    <author>tc={92777818-21AE-4E18-8EF6-7C0EC8E79ACD}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tc={16231EA6-97E2-40C9-B215-49B36942595F}</author>
    <author>tc={2A05906A-964E-44CC-860D-9AEAE7047770}</author>
    <author>tc={75DD9EFF-25BB-4696-9730-9812DAF459B4}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tc={94898222-4964-4733-9DCC-C5019C201A72}</author>
    <author>tc={173AF980-D14F-4583-AA01-BF010795B90E}</author>
    <author>tc={30BCA2E9-8CB2-459C-BA32-7A3F79C0A802}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tc={ED2D3AA5-9781-4959-944C-DCA795BC096C}</author>
    <author>tc={1768DD20-351F-4C54-8BEE-F422B3855F30}</author>
    <author>tc={9F2B998A-FDE8-451F-B947-91A61ECFCEA6}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tc={A5696871-B1F6-4C3B-8643-20A5716F416C}</author>
    <author>tc={4C4914E0-6B65-4B96-A626-05BF0116EA43}</author>
    <author>tc={D3E61551-FF34-4F90-BD63-395AB31C895F}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tc={F339C22D-3B94-4355-AF88-FDE2E2EDDC1C}</author>
    <author>tc={3D9E2EAB-EA1B-4C27-8888-40DF1210E56C}</author>
    <author>tc={526ED95A-CF74-46D0-9126-9BB4C9A80EF3}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tc={F4AEA74B-93E7-45F8-9554-477CF441BDE1}</author>
    <author>tc={87988DF6-E520-47BD-8E67-FAE27EE4FED6}</author>
    <author>tc={479A127F-C6E7-48DE-924F-24A62CC40E28}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tc={DF7EF101-55A9-4C88-9307-F0D12D09B95E}</author>
    <author>tc={7E421059-79DC-4811-AD6F-50ABC448C88A}</author>
    <author>tc={CD7647BC-6D78-4FAB-B185-1608C53413FC}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tc={341C54C5-7718-4057-955A-3E54A9B01F40}</author>
    <author>tc={EA2997BD-1E00-4409-9FFB-D2F09D106557}</author>
    <author>tc={04982A85-842B-42F9-BB96-AFEDF9479099}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tc={8049D139-40F5-4567-BBBE-F827A9CB6D12}</author>
    <author>tc={B63965E1-399D-45F2-93FC-A4FC42A2983B}</author>
    <author>tc={7925B298-FDF3-4C32-8296-E7DAF4A6862C}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tc={79C1FA28-11D7-4E9B-804D-21C8052742F0}</author>
    <author>tc={CA4C9B30-CE05-44B6-9A57-81542CACB81B}</author>
    <author>tc={F6174A2B-34E7-4DEF-A7F0-7BA6CA392CAD}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tc={48985C3C-E480-4B7F-9DF5-4B267D4D0635}</author>
    <author>tc={B30F6976-7D76-4B49-BBDF-2A467C4959D0}</author>
    <author>tc={F91D786D-466A-458D-86D4-72A3E8F507BC}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tc={EE7F3A1F-4B13-4709-8065-731943573081}</author>
    <author>tc={60EEE4E5-FD08-454C-B9EF-64F1420045F2}</author>
    <author>tc={5DA0C19C-B384-4334-934C-6D551FB14368}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tc={D6A5CB3E-0C48-4F39-968B-7E596D917A5A}</author>
    <author>tc={93E4CC2D-696C-4652-9640-D23FEB606EDE}</author>
    <author>tc={44B52E8C-BE21-4F1D-900C-242BB7D6FD19}</author>
    <author>tc={2BB24AF4-D3A2-4C25-8CF4-6B02C6A3B6AA}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tc={FA059B4A-A394-4C67-971B-15B10EC51946}</author>
    <author>tc={77DBF4C7-6A78-4B1C-88CE-398F09B51F25}</author>
    <author>tc={E32E4C96-9917-4840-AFB0-32C0FEE8E751}</author>
    <author>tc={07D5F4E9-0E70-498B-8732-89794BD7AFEF}</author>
    <author>tc={0A4F2071-0365-46B7-8689-2496F69D51F9}</author>
    <author>tc={A03D633B-D832-4DDE-8772-E39A34ED19AF}</author>
    <author>tc={95586C86-519A-4C03-9881-511582B054BC}</author>
    <author>tc={4B252AAC-2940-458B-A887-9F3CB44B54CC}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tc={BCB8B8A7-58DC-4B6A-AD39-088DA5842567}</author>
    <author>tc={3DEB0F59-399D-4DB2-AF3D-D43C1A1E9C24}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tc={6A662BBA-3A5A-4DA7-B09F-8F815C514CF9}</author>
    <author>tc={BAF2040B-5295-478B-8FFC-F883E8E68A6E}</author>
    <author>tc={747E6BC7-F6E8-48C8-8590-CEE5158F4749}</author>
    <author>tc={2338BD1B-1A1C-4980-B62E-8F57CBA7D7B9}</author>
    <author>tc={E4CDEED5-B3EF-4931-AD76-311B58C91A8E}</author>
    <author>tc={5452C671-8091-4482-9DF8-263B742167FC}</author>
    <author>tc={41A56E66-D8BA-4DD6-858A-8E0ADA0AD54A}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tc={749FFB6F-F7F4-46DD-8F95-E39E62659844}</author>
    <author>tc={55F8306B-8DE2-4C94-B1B1-8B0B19CEA222}</author>
    <author>tc={B0E7D9D9-26AD-4CD2-A6E0-0EEB18261CE4}</author>
    <author>tc={08D4B18A-C1AA-4732-86F6-CD2E3B78A395}</author>
    <author>tc={B0CF3F1F-B2EF-47EB-9A58-10C64ED86452}</author>
    <author>tc={6483B071-352B-4157-B76D-01B801E06964}</author>
    <author>tc={92FE8146-4BD2-44E0-A774-14367FFD0E7E}</author>
    <author>tc={A1B008B5-A641-485E-8E69-662EEEE88BBA}</author>
    <author>tc={50E07AE9-E3B2-49EA-B18C-3F29DFEC88A6}</author>
    <author>tc={A61C3AFE-6A76-48DA-AEF6-672C1CA3474B}</author>
    <author>tc={1F1889D9-BF74-421C-9EFE-61E422AE5D1E}</author>
    <author>tc={537F7578-405D-48A9-A011-E2A264C49B39}</author>
    <author>tc={9B3644D6-E840-46DE-B1A3-75B965B343B9}</author>
    <author>tc={973C7651-9B77-43C6-B48F-03C7ED360718}</author>
    <author>tc={D13006ED-C82C-43A2-A494-A26E68264246}</author>
    <author>tc={064B0E43-7BD3-4542-9CF0-4E41DE297B42}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tc={48706896-B1EE-489D-9AA0-B24778C60FE3}</author>
    <author>tc={78A8CFFB-7768-49E5-A39E-0009C1077820}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tc={C4671212-7E0E-4BFF-B53D-8D7312E9F031}</author>
    <author>tc={76F3F3BA-1A37-486D-AB69-FFEDB40AEF5D}</author>
    <author>tc={38490D9E-A0AC-40C9-91DD-AED48B42D680}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tc={2E702787-F065-4398-98FD-FC0125C102D6}</author>
    <author>tc={20DE3601-0E84-4728-94C2-2612A2C18068}</author>
    <author>tc={A2B73EFE-F10C-40C7-8C6A-DF56C478EF58}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tc={792FA950-ADE3-49F2-95D9-E4184F5CEC40}</author>
    <author>tc={095CFFF6-1204-438C-BC36-1A04FE8E0051}</author>
    <author>tc={CBC52BC8-B221-46C3-954E-C5F40990ADAE}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tc={EFE72FDB-879B-40F2-A07C-E8CE252AC3E3}</author>
    <author>tc={11DE3AE9-2E2F-4CEE-97E1-76A7D0EFF16F}</author>
    <author>tc={FF3292E3-323E-48A4-A64E-2A747382633F}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tc={DBB48B00-ED47-4508-9BDD-99E84C851769}</author>
    <author>tc={13D7664F-778E-4DE2-B96F-3AA407BF7607}</author>
    <author>tc={32808C51-4482-4126-B18B-6057FE94E3F7}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tc={BEDD8E24-E5EA-4517-9E71-5E6BFB638542}</author>
    <author>tc={FF328F5C-412A-4BC6-BD64-EE30C2C71E51}</author>
    <author>tc={FABB312B-27C6-4DBF-8203-2E7471912AE0}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tc={62C5123D-EE5A-479E-97F4-B9BD4E54C8A6}</author>
    <author>tc={A6AB81DB-D34A-4220-BE4B-10E87FCC7397}</author>
    <author>tc={E85F6E93-7136-49FA-B641-BE0ED507F490}</author>
    <author>tc={00DDC7CB-7542-44BA-9731-B0B47B0E0B21}</author>
    <author>tc={283A7720-8A79-49A1-8E7D-700A913E1E23}</author>
    <author>tc={782FFE2F-8D88-4739-8E9A-E41CF430FB7D}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tc={DE4C002F-1433-40C8-8C95-1B976E8ECC7B}</author>
    <author>tc={60D54766-6A6D-4871-A8D0-EB3076F3EC33}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tc={EDFDEC14-5B33-4730-8D94-8AECD80E13A4}</author>
    <author>tc={B47DC3AE-C64B-4B35-84F7-BAD4CB0D483B}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tc={94ED5E0C-EDC2-4140-BBA3-4537EA481F81}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tc={5C5850B9-AFAC-4C43-B885-D319BE80C96F}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tc={7F943D2C-18B0-42C3-9844-5318AE7BCD53}</author>
    <author>tc={811E5C17-0ABD-40EE-A063-929510D9DDDA}</author>
    <author>tc={6794F02F-B5C7-4A6B-A80E-F646D99B64B9}</author>
    <author>tc={A71F0E2F-9ADB-47E5-858D-F261447539AB}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tc={0BBE2631-5385-4864-8B82-BD5C4676C2D0}</author>
    <author>tc={9AACF866-3835-4BD9-9295-7F18B883A124}</author>
    <author>tc={63A48C45-A42B-4DD4-B828-8E12085596F3}</author>
    <author>tc={C0D81A7C-3825-4499-BE33-8C3ED954B19E}</author>
    <author>tc={B9BD7590-E77F-47BD-8EC3-420EC890A7F4}</author>
    <author>tc={D84B3A2F-85A6-4D20-A5C6-26F0E94ECC64}</author>
    <author>tc={E85F2EA6-110E-4397-A9BB-636C91FD0512}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tc={8AFAAD78-4DBD-4659-8AD5-8F2551BA86C9}</author>
    <author>tc={2BD41418-FE9C-4368-B06C-EB381A347CF8}</author>
    <author>tc={65A97838-3521-4D61-AE8D-09885B17C06E}</author>
    <author>tc={86A4D3A8-DAD2-4176-9994-2893D0A77692}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tc={2560F414-3469-4E8D-A91A-8A6360DEC9BD}</author>
    <author>tc={B4C6D9B6-285A-499F-8861-958778B977E1}</author>
    <author>tc={8AD41FBD-0115-4379-AA7F-99F5D5CA34E6}</author>
    <author>tc={6396EA77-1AAF-4D39-839F-F812E5C9D4ED}</author>
    <author>tc={647DA4A7-EAF3-4940-9C35-4ABE30BB8472}</author>
    <author>tc={28575C00-EC5D-4FE6-BFC0-0FAAA700C706}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tc={A86C718B-85B9-48F2-BED1-A4A668311BA1}</author>
    <author>tc={8C543A5D-D2D4-44C5-BB04-E17F9ADBAC84}</author>
    <author>tc={AC8791ED-3A0C-47AC-A176-7B545E23725D}</author>
    <author>tc={CEE481FE-2595-4914-B07D-C94787DD7BB5}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tc={5B324C1C-3217-433A-9239-B064F76E0F29}</author>
    <author>tc={822489F1-7CCC-46C6-9522-B54B6DAE5EEE}</author>
    <author>tc={666DDB52-2866-41D0-B4D7-ACFB6925723E}</author>
    <author>tc={89152931-CCF7-432E-96D2-75540ADBD7BB}</author>
    <author>tc={4707CE78-1AEB-465D-9B2A-93CB967E6445}</author>
    <author>tc={C44A5188-CE73-4746-A79E-EEC124CCFA6F}</author>
    <author>tc={A76D871C-08AB-4B47-A9A2-0568EF0890FB}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tc={E511B237-05BB-4EF6-BFD3-AE8902CAB816}</author>
    <author>tc={F14C7500-FBBC-41E2-8638-6050DD641095}</author>
    <author>tc={1ECE1D89-1527-4B96-8964-8E9CDEEAAB48}</author>
    <author>tc={76E3217E-6F8C-49A0-899C-B61708471F2C}</author>
    <author>tc={C9F7AFA1-5010-4EA1-8A06-000A096F018E}</author>
    <author>tc={9A390F9E-C15D-4C2E-9DFF-86135ADF9B44}</author>
    <author>tc={DCC3A749-EE09-4586-96D0-FB5B29F1FFCF}</author>
    <author>tc={2C8266E0-5818-4BB2-A165-17651F28B2B9}</author>
    <author>tc={2DDB12AE-DE7A-4103-AB2C-A7EF6DC45C9D}</author>
    <author>tc={BF9A1E3D-87E8-4062-A2BA-3BAB1B8D06C5}</author>
    <author>tc={5C7F682C-7961-412C-953D-D1051ADB4867}</author>
    <author>tc={4701B8A1-E71F-4E22-AD98-F8333C0C8436}</author>
    <author>tc={967DF69E-60D3-4A59-AC20-9BC32D739C29}</author>
    <author>tc={B6964143-2E77-4942-9E14-942237F0C558}</author>
    <author>tc={06D14515-17EF-4274-A86F-1F39B2DB332D}</author>
    <author>tc={65F86366-27F7-4680-9AE0-56907EF7B49E}</author>
    <author>tc={D85BF841-BA41-4142-8598-1B260C7B873F}</author>
    <author>tc={FB1522CC-B93F-4D07-A962-624853CB0BD1}</author>
    <author>tc={E51F3FA0-0FD1-4B0F-9FEA-D024ED5CC57F}</author>
    <author>tc={7F4690B4-78B7-4F08-A77E-FB45B80F489D}</author>
    <author>tc={FECFFA45-6DF1-4C44-8D89-9AC6B806F55C}</author>
    <author>tc={293D9570-312C-438C-A833-75D3E370BC21}</author>
    <author>tc={0F1F614D-A24A-4D90-B888-C2A981CD6813}</author>
    <author>tc={1CC5BEE7-8C3B-48A0-A790-636255E39ACF}</author>
    <author>tc={FAFBF061-7DAD-49BF-A51A-EE6092BA9F48}</author>
    <author>tc={BE8FA0CE-230C-4C13-B09B-79591843E1DB}</author>
    <author>tc={76B33B94-095D-48A6-81EA-7BB0435BA927}</author>
    <author>tc={D7B139A4-308E-4CF4-92DB-9BEAC87CFA4F}</author>
    <author>tc={DBCC4252-3DA8-4907-A9C6-640D751E2B6B}</author>
    <author>tc={00F89B5B-E625-4CF4-859E-90E08EE24B10}</author>
    <author>tc={540A5045-2FF1-4B7B-BEFF-3E45F43B1A1C}</author>
    <author>tc={F98631E3-3315-4973-93B6-AA9AE00013E3}</author>
    <author>tc={E452933A-EE94-40AD-B165-7F0129C2CC36}</author>
    <author>tc={256FB7F4-9FE2-4516-8690-CE644D4636D6}</author>
    <author>tc={74A96E5E-239D-4C65-A079-F372D304A409}</author>
    <author>tc={3087AEFF-008C-4DF6-90D0-7619E5C21EDC}</author>
    <author>tc={04E2E234-6B15-4383-914C-CB4C1BC80924}</author>
    <author>tc={30F1DFE7-DBB2-4714-9F86-87D17C4CADAE}</author>
    <author>tc={F0961160-AD0A-4303-A944-DEFD8C28B094}</author>
    <author>tc={7991CA43-A8C5-402A-866C-BC766F639149}</author>
    <author>tc={6C484694-22AD-48BF-85A7-9348C747731F}</author>
    <author>tc={FB0A2A44-1422-426B-92A7-64A1FD01CF16}</author>
    <author>tc={DC1B7188-D082-4A5D-B5B4-8217B27E6B40}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  <author>tc={C9BDA993-AF36-47AF-BD49-F8AC9FB9B573}</author>
    <author>tc={8C25480B-1EAE-400B-81C7-5489F3FFA559}</author>
    <author>tc={75BAB875-21D4-4173-B90B-D096DD8BB4D4}</author>
    <author>tc={2E78C84C-6B97-4E90-BE1D-75DC65393911}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tc={18DEB0DE-8FC5-46A2-B8C2-30E0CABB8078}</author>
    <author>tc={D7C3F9B6-7AA5-49ED-B911-6DE36ECA7237}</author>
    <author>tc={0F306F80-F8FF-4EDE-9F3E-E30906AF0A56}</author>
    <author>tc={0FF5059A-7A8C-44AA-AA7C-7DCBF9BBE54A}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tc={061F690F-C6CD-449F-BCB1-D72EE36F776B}</author>
    <author>tc={DC68CD5E-5CDB-4D53-A9EF-4ED5DA774B10}</author>
    <author>tc={11C827ED-1B1C-47F4-90E7-38C2C7AC874D}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tc={638E9196-272C-4389-B49F-6419E0E5E97E}</author>
    <author>tc={AE0502EF-50A1-4FDD-BE01-1E219BE2324E}</author>
    <author>tc={8B8B341D-9924-4404-8D4F-5708FCC8AB18}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tc={CEBD5AA7-19E8-44DA-A25D-E2C3F000A291}</author>
    <author>tc={4F18D24D-9A8D-4A53-99CA-10B9B2D71B3B}</author>
    <author>tc={5D73F327-022F-48B3-8024-F9C21FB3D78D}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tc={4FC5AB9F-D5BF-48CE-8729-F0FD5F4A8D32}</author>
    <author>tc={71B6139A-1051-4D83-B5EC-2C1D036FF1E1}</author>
    <author>tc={BA5F145C-DF17-4933-8DEF-8F514310DEAB}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tc={D937F11B-FC4D-4E4B-AAF7-EB33DE3F7430}</author>
    <author>tc={4C796C11-9A9D-4A8E-93FC-92BE43E74ACA}</author>
    <author>tc={08AEDD13-D3F2-4FCF-8C18-F7CB368D19D8}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tc={702EA0E1-743F-4CDE-BCF7-79CFDE339874}</author>
    <author>tc={679B0A3B-DD08-44B8-AFB8-3814C5658695}</author>
    <author>tc={8148247D-0EB1-4CB6-BEB3-4D0D71AE46D6}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tc={2548E9F2-E909-4CDA-A47C-319A9CEA1B38}</author>
    <author>tc={4A7DA3B9-16DB-41A1-9F3E-AB114B41E3AA}</author>
    <author>tc={42D7BE6B-1AFB-4C9D-9B28-92E49DD26E4B}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tc={336E172A-5129-45C4-8D7A-F4393CB50B58}</author>
    <author>tc={5E1182EC-6E9D-4E82-9E28-E2A8861DF949}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tc={473ED8BA-9FDB-4247-A737-A57FAAC8A6EC}</author>
    <author>tc={7A9BFE2D-B6DA-4A42-906D-C834C2F63706}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tc={204CBF72-7FAA-484B-B418-7AE607047463}</author>
    <author>tc={266DCFFF-B7C1-43E5-AAC9-57A0B4DECE52}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tc={09F28919-EC43-4142-8FE5-6D1F7A1BAF05}</author>
    <author>tc={E049C65A-FBD8-47C0-A482-4055966DE135}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tc={F2A6434F-D898-4F88-965D-B7AFED028AF3}</author>
    <author>tc={DB53A678-C5DB-4783-820A-589307AA40F7}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tc={C0D24A89-634D-4BD3-90A8-3CE593B4F262}</author>
    <author>tc={C2374B1E-2677-4EEC-BE80-5F0E91FFA3CF}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tc={96016372-F669-45E5-BE0C-1BA8B726C23B}</author>
    <author>tc={436C0763-F1EE-4CEF-BE95-4B86ECC0158F}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tc={11A6F6A3-461A-444D-A63D-0E9D51283514}</author>
    <author>tc={6E0CC5CB-28D9-4CFF-A417-9F8696403CB4}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tc={1E2CBFDF-845F-4F34-9615-3BC441B9EB1F}</author>
    <author>tc={367EA9F4-7AAF-492E-89E5-F87680506511}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tc={534B9A39-619E-458A-B8D3-E4F55B90AE5E}</author>
    <author>tc={3C6268C9-0BE8-4D3E-A4BF-608D2C8C268F}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tc={5D650AAE-5913-47A3-BD85-4458A98118CD}</author>
    <author>tc={80A4CBC0-5F7F-436C-B0EC-6D9276BAB7A8}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tc={54D66BD0-E484-40BB-80B2-B727F2778D96}</author>
    <author>tc={57577963-C3D6-4CE3-B1F2-41E0C4FAC954}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tc={0BB1C060-F470-42BD-9258-749E75FE9F88}</author>
    <author>tc={1DD3A90F-C483-4DD2-9C36-7D826D8D0FFF}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tc={E1EC547B-E91E-4F26-B3A4-1CE33AA792B8}</author>
    <author>tc={0387A8C6-1B3B-4BDA-8C44-C17897A0B2AA}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tc={7F203FFD-59DD-4902-9588-9667EDE826CD}</author>
    <author>tc={BFA7D320-CAC9-459A-ACF8-7729272E8C21}</author>
    <author>tc={7D11F706-879F-4B4E-B1B3-D1BDFD6D38E1}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tc={05FA1DF8-4FBF-4838-A2AC-B16C918751D3}</author>
    <author>tc={4BC9CC0F-1DB3-48DB-8E9E-7D59E6BAAF41}</author>
    <author>tc={DDD66282-407D-49CA-83D4-6EDB9A399C93}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tc={B4F6A81F-BEB1-4288-88AB-5173B3EE419C}</author>
    <author>tc={85D1ECF4-1128-4D64-8ECF-3E61753FF916}</author>
    <author>tc={C307ED35-00A1-4066-A972-CD696E395FC1}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tc={C1BC2486-07D5-44E1-BE23-BF0F4852AE3E}</author>
    <author>tc={04C22816-4EBF-4062-B1F0-219DF990186B}</author>
    <author>tc={F9BDDC73-AE11-40FB-99BA-A5A2DE1CADDE}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tc={1A641FAB-F8FE-4CC5-8CEC-73DFF33D9506}</author>
    <author>tc={705FF05B-8C24-43CA-86FF-12CECA1B6629}</author>
    <author>tc={B028DC54-3E9A-480E-9402-9CFEF655157B}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tc={5CAED676-B0C2-4D20-8299-1F1131194939}</author>
    <author>tc={F6CD15AB-97FA-4FAC-9918-B2D0B5F8C521}</author>
    <author>tc={479C1B84-ABD7-487C-99D4-F7B7C0F7E1D0}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tc={DEBB97B2-86DF-4161-89B2-E485BF8D2C26}</author>
    <author>tc={459A349E-51F9-44C9-AA01-EE702A64425F}</author>
    <author>tc={34341452-C6B8-447A-A1CD-901399BC8C92}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tc={71DE82B4-9E9F-40CA-9A27-0EF4ECAEE311}</author>
    <author>tc={8B12D2A7-BE00-4E5B-BDBD-AFB6B17A3775}</author>
    <author>tc={8245BC4D-D424-4844-AE49-C2F14D2B50C8}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tc={114A8ED6-6334-4D30-9404-5FABB0DB87FD}</author>
    <author>tc={2D644590-DE2C-403D-BA11-776459A212B4}</author>
    <author>tc={294A52A9-77BA-4383-A21A-9E67D7EE06A3}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tc={A7E7A439-F86C-4DEA-B8E9-AB5020810348}</author>
    <author>tc={F056F299-6D63-4E70-ACBC-2861B4C76A66}</author>
    <author>tc={48D9029C-DC0F-4BCA-9369-42EB3E97C8EE}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tc={CBC9C977-3365-40AF-923B-43084DA3F917}</author>
    <author>tc={A03A75DF-752E-47E5-B638-DE3760949241}</author>
    <author>tc={3DBDEB86-18FE-40A4-ADFA-36A44F2CFDA1}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tc={DC6DA9CB-448C-4C1C-953A-B09CCBBD61CE}</author>
    <author>tc={C3683773-E9FC-4E1A-B776-C79473B6FE53}</author>
    <author>tc={EF213AA6-CCE5-4D96-9D1B-F8D78540015B}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tc={154399ED-9939-4491-A687-A27A8EB8B796}</author>
    <author>tc={672337EE-A4F8-4CA8-94AF-01F3CDC8F98B}</author>
    <author>tc={2A618959-454B-4AC9-BEBD-353684A17FBB}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tc={D15389D6-07CB-4EBE-9D5E-CD6FC9E70344}</author>
    <author>tc={53B07662-EB2E-455C-8374-7AFF6519B446}</author>
    <author>tc={C0DBB8AC-69DF-453E-A9A9-887135DA4F1E}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tc={EBF79C9D-B044-47DB-A79D-9F165B11DF7A}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tc={7975098E-9EBD-4E85-8F0B-7F52B49BA068}</author>
    <author>tc={B46C82AA-E087-4D34-A318-3325929D4D3D}</author>
    <author>tc={6D22FEA2-184B-4D21-A794-7F7B8DC4FD3E}</author>
    <author>tc={DDC53E58-9F07-4CBB-9CD9-672439B442EB}</author>
    <author>tc={544ADDEC-A53B-4633-8A53-A371FBF8F95F}</author>
    <author>tc={74ACDB93-4BC4-4966-AB4F-83D5CB45DAC3}</author>
    <author>tc={5AC4F8CD-8A8F-450F-A083-94BAA2F1E9F1}</author>
    <author>tc={761AD98C-9E06-4B75-A653-29CC5FF0F17C}</author>
    <author>tc={9CCCC4F2-5A0E-4E35-9E4E-A2FD0FAB1C0D}</author>
    <author>tc={DB0E9204-DA38-4437-9F50-2B6A4F66CFE2}</author>
    <author>tc={EBFCDA5D-2164-4D92-A6E2-171A5598ED12}</author>
    <author>tc={D4E2B806-85DC-4237-9CA1-002954CC1A7F}</author>
    <author>tc={A4A92A44-1199-467B-9DED-8DEAFE736793}</author>
    <author>tc={CA980A22-47DC-4673-A9D1-35FAC2FE72B6}</author>
    <author>tc={126E0276-2274-439A-BA06-BF91C60392B1}</author>
    <author>tc={7798FC39-8C2A-4032-93FA-289176EECDB1}</author>
    <author>tc={F45FBB27-E9BD-4CD0-B1DE-2AEA05017C63}</author>
    <author>tc={7D0F6272-34C5-4612-B526-04F3CFF8806D}</author>
    <author>tc={A25C7000-3F8F-4BB4-896C-026DA3D5E015}</author>
    <author>tc={7892261A-4F7C-466E-AE1D-4F74917BC4A9}</author>
    <author>tc={003EBAE5-1238-47BE-A7A8-9D44CC70729C}</author>
    <author>tc={203B659E-7907-49FD-9A9E-1C2F0EE76C7A}</author>
    <author>tc={2A1AE12C-AEB5-4C1C-8B1B-9696F127580A}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tc={F07EAF8A-DFEE-4879-80E1-10D4353B78BF}</author>
    <author>tc={F3FA5EB3-7644-489A-87DB-F3C3AF558F5D}</author>
    <author>tc={78846E40-485C-4A20-B604-AEA42905D3FF}</author>
    <author>tc={A0AA65E6-C793-422A-805A-1B638142D3CF}</author>
    <author>tc={1BDAA5AD-4D69-4AB3-9705-4320F79C2313}</author>
    <author>tc={3C6674A2-6A5C-46AC-85BA-955710E3FBE4}</author>
    <author>tc={13CFB393-328E-4CB6-93FE-99DCD6EB8CD6}</author>
    <author>tc={0B9C32C6-B637-4131-B6B3-8DB776D69D90}</author>
    <author>tc={E6328E6C-59F3-4689-88A5-7801881B3910}</author>
    <author>tc={AE4335A9-B185-4C62-B9B8-3C8539B6F06B}</author>
    <author>tc={5E3F293D-8903-4CEE-9283-9BDA0666922A}</author>
    <author>tc={9FE05469-34C7-4929-ADC4-334E0619FE12}</author>
    <author>tc={45E2D1AD-F95E-4859-B3DE-CCBBBE717118}</author>
    <author>tc={06E3760F-51B4-4A1D-BC91-E18472823D70}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tc={8E99748A-0DC9-4922-965E-863203D51C07}</author>
    <author>tc={8E19B5C2-6281-4F30-B41D-D9E3605E09C6}</author>
    <author>tc={78F77570-77F0-498D-90CE-24E46378416D}</author>
    <author>tc={84D99187-4498-4009-90E4-D5731EFB9EC5}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tc={86D20440-0736-48DA-A2B4-15C5B0465B6E}</author>
    <author>tc={BF7F679B-A278-4672-B35A-CF2CEAB11FB2}</author>
    <author>tc={A1D89D0B-A8D7-4ED1-86E1-239D13140434}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tc={46EBC925-08C3-4BCC-B1BD-EDF3B7B4ACA2}</author>
    <author>tc={CCE081CA-2CF1-49F3-908A-00663BA389B8}</author>
    <author>tc={2D0DB8E1-97C4-42FF-A4FF-E3D554F4E6F4}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tc={FE851F81-963F-4710-9BB9-6FD014A497C4}</author>
    <author>tc={2551B1C9-A775-4600-A9F0-41A9B6911CF7}</author>
    <author>tc={8ACFC634-15E8-441E-BA30-F88F24F1C6EC}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tc={AB0B1C04-B0B8-4A83-A42C-2D4D8A4E64F4}</author>
    <author>tc={9F09D3F7-3C7E-449C-B1CB-B614535041AF}</author>
    <author>tc={E03BF430-CA50-467D-ABD9-8B77A4C6E318}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tc={24092D7C-D52D-450D-A62D-AF46A7FF1E67}</author>
    <author>tc={14C6FA34-AC0A-4289-9A0B-0E26DE77FCF2}</author>
    <author>tc={3A5C422E-6B43-41C7-8A51-3CA309B10B5A}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tc={AC0C9109-B26F-44B8-BF48-90408A28FE81}</author>
    <author>tc={3F2373F1-3774-466A-B123-953D85E03674}</author>
    <author>tc={369C2769-1D6C-4EC5-ADDD-1E93F415E8E1}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tc={45530752-B37C-4267-821B-4E94D1844CB1}</author>
    <author>tc={2D6F6B38-0EB3-4D99-9479-E459955C5C11}</author>
    <author>tc={45D82FBB-BCEA-4E08-84BA-D153EA3BC87E}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tc={7F6D9A73-C3E2-42C1-858A-2350036CC8E5}</author>
    <author>tc={02CA8A83-0B49-4092-92FA-95D3C52E6BA1}</author>
    <author>tc={39A3159A-1A4D-4985-A5C0-E9E0B4E471DF}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tc={16F469F0-75ED-4BBF-A1E4-32CC98B034BC}</author>
    <author>tc={A4551770-8219-41E7-A358-0B9D6AC883FF}</author>
    <author>tc={F9CB2600-A70A-46E6-90AC-C9687BD0E12A}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tc={EB06C93B-3C38-4D24-9A60-E7249A15A00A}</author>
    <author>tc={9F2A1E20-EDF5-42F7-82D6-08835EDE7C00}</author>
    <author>tc={17439052-19DD-43EB-A94F-8CD8ED920CFB}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tc={C1BA0A63-2854-4E83-B846-DB81604F92E7}</author>
    <author>tc={85670370-8FD0-4DD2-B35E-3DDE97DD583B}</author>
    <author>tc={2204DC17-60FE-4928-97D4-3DA1A8D3EA37}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tc={A89B7F38-8DFF-41A1-B879-FF5A6E58D69C}</author>
    <author>tc={34AAB246-A810-4D02-B382-33822C3FB7F6}</author>
    <author>tc={8E76A3BE-8D9D-49E0-B905-B04F257D74CB}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tc={5FA6B066-9621-4723-9218-370C9C084616}</author>
    <author>tc={3EDC0E85-F1FB-4EE7-B327-0AA843F6C72F}</author>
    <author>tc={897EF753-8917-49E6-9D20-6B6D37135C6D}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tc={CF2328E2-DB5A-43E6-9076-34A80F28DD30}</author>
    <author>tc={13702F00-755A-4210-9D3B-C81581608C0D}</author>
    <author>tc={1DB5918A-D32B-4208-9B4A-6E944DD4FA7D}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tc={2F31CBAE-0549-4B0A-B482-E59AD8D16A20}</author>
    <author>tc={0EB8DA39-2ED9-44FE-9621-085FCB02B6CF}</author>
    <author>tc={794EDA6D-E67E-4302-8CDC-47C23E772FCB}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tc={E4C33393-C669-499D-91A7-224D8F02A63A}</author>
    <author>tc={71CDFEFD-4BCC-4F7F-BCEE-C128821331E6}</author>
    <author>tc={9CB416A0-6936-45EA-AB93-BAEF9033F771}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tc={AF5AAEF2-962E-4F80-8D52-FAAA3709EF9A}</author>
    <author>tc={343DB719-2669-415B-81E3-40E26D7F9649}</author>
    <author>tc={533697C8-6D79-415F-8504-389671DF9EFE}</author>
  </authors>
  <commentList>
    <comment ref="Z10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D10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0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0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1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1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1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2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2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2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2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2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3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3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3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3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3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4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4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4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4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4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5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5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5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5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5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6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6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6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6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6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17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7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7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7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7" authorId="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7" authorId="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7" authorId="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7" authorId="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7" authorId="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7" authorId="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7" authorId="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7" authorId="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7" authorId="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7" authorId="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7" authorId="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7" authorId="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7" authorId="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7" authorId="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18" authorId="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8" authorId="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8" authorId="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8" authorId="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8" authorId="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8" authorId="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8" authorId="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8" authorId="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8" authorId="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8" authorId="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8" authorId="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8" authorId="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8" authorId="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8" authorId="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8" authorId="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8" authorId="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8" authorId="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8" authorId="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19" authorId="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9" authorId="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9" authorId="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9" authorId="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9" authorId="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9" authorId="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9" authorId="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9" authorId="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9" authorId="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9" authorId="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9" authorId="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9" authorId="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9" authorId="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9" authorId="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9" authorId="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9" authorId="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9" authorId="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9" authorId="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0" authorId="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0" authorId="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0" authorId="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0" authorId="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0" authorId="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0" authorId="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0" authorId="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0" authorId="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0" authorId="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0" authorId="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0" authorId="1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0" authorId="1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0" authorId="1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0" authorId="1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0" authorId="1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0" authorId="1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0" authorId="1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0" authorId="1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1" authorId="1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1" authorId="1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1" authorId="1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1" authorId="1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1" authorId="1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1" authorId="1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1" authorId="1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1" authorId="1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1" authorId="1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1" authorId="1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1" authorId="1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1" authorId="1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1" authorId="1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1" authorId="1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1" authorId="1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1" authorId="1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1" authorId="1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1" authorId="1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2" authorId="1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2" authorId="1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2" authorId="1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2" authorId="1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2" authorId="1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2" authorId="1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2" authorId="1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2" authorId="1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2" authorId="1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2" authorId="1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2" authorId="1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2" authorId="1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2" authorId="1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2" authorId="1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2" authorId="1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2" authorId="1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2" authorId="1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2" authorId="1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3" authorId="1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3" authorId="1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3" authorId="1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3" authorId="1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3" authorId="1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3" authorId="1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3" authorId="1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3" authorId="1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3" authorId="1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3" authorId="1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3" authorId="1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3" authorId="1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3" authorId="1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3" authorId="1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3" authorId="1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3" authorId="1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3" authorId="1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3" authorId="1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I24" authorId="1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4" authorId="1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4" authorId="1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4" authorId="1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4" authorId="1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4" authorId="1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4" authorId="1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4" authorId="1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4" authorId="1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4" authorId="1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4" authorId="1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4" authorId="1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4" authorId="1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5" authorId="1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5" authorId="1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5" authorId="1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5" authorId="1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5" authorId="1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5" authorId="1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5" authorId="1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5" authorId="1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5" authorId="1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5" authorId="1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5" authorId="1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5" authorId="1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5" authorId="1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6" authorId="1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6" authorId="1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6" authorId="1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6" authorId="1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6" authorId="1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6" authorId="1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6" authorId="1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6" authorId="1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6" authorId="1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6" authorId="1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6" authorId="1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6" authorId="1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6" authorId="2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7" authorId="2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7" authorId="2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7" authorId="2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7" authorId="2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7" authorId="2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7" authorId="2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7" authorId="2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7" authorId="2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7" authorId="2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7" authorId="2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7" authorId="2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7" authorId="2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7" authorId="2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8" authorId="2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8" authorId="2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8" authorId="2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8" authorId="2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8" authorId="2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8" authorId="2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8" authorId="2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8" authorId="2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8" authorId="2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8" authorId="2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8" authorId="2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8" authorId="2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9" authorId="2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9" authorId="2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9" authorId="2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9" authorId="2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9" authorId="2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9" authorId="2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9" authorId="2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9" authorId="2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9" authorId="2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9" authorId="2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9" authorId="2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9" authorId="2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0" authorId="2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0" authorId="2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0" authorId="2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0" authorId="2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0" authorId="2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0" authorId="2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0" authorId="2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0" authorId="2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0" authorId="2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0" authorId="2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0" authorId="2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0" authorId="2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1" authorId="2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1" authorId="2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1" authorId="2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1" authorId="2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1" authorId="2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1" authorId="2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1" authorId="2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1" authorId="2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1" authorId="2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1" authorId="2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1" authorId="2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1" authorId="2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2" authorId="2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2" authorId="2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2" authorId="2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2" authorId="2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2" authorId="2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2" authorId="2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2" authorId="2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2" authorId="2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2" authorId="2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2" authorId="2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2" authorId="2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2" authorId="2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B37" authorId="2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4" authorId="2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1" authorId="2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8" authorId="2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65" authorId="2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2" authorId="2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9" authorId="2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I84" authorId="2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95" authorId="2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5" authorId="2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5" authorId="2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AD95" authorId="2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6" authorId="2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6" authorId="2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6" authorId="2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AD96" authorId="2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Calculation Methodology</t>
      </text>
    </comment>
    <comment ref="J97" authorId="2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7" authorId="2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7" authorId="2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AD97" authorId="2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8" authorId="2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8" authorId="2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8" authorId="2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98" authorId="2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98" authorId="2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8" authorId="2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8" authorId="3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99" authorId="3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9" authorId="3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9" authorId="3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99" authorId="3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99" authorId="3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9" authorId="3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9" authorId="3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100" authorId="3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0" authorId="3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100" authorId="3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AD100" authorId="3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01" authorId="3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1" authorId="3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102" authorId="3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2" authorId="3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I103" authorId="3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4" authorId="3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5" authorId="3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6" authorId="3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7" authorId="3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8" authorId="3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8" authorId="3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09" authorId="3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9" authorId="3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10" authorId="3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0" authorId="3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0" authorId="3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0" authorId="3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0" authorId="3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0" authorId="3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0" authorId="3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0" authorId="3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0" authorId="3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0" authorId="3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0" authorId="3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0" authorId="3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0" authorId="3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0" authorId="3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0" authorId="3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0" authorId="3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0" authorId="3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0" authorId="3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0" authorId="3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110" authorId="3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0" authorId="3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0" authorId="3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1" authorId="3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1" authorId="3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1" authorId="3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1" authorId="3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1" authorId="3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1" authorId="3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1" authorId="3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1" authorId="3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1" authorId="3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1" authorId="3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1" authorId="3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1" authorId="3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1" authorId="3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1" authorId="3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1" authorId="3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1" authorId="3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1" authorId="3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1" authorId="3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1" authorId="3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1" authorId="3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1" authorId="3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2" authorId="3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2" authorId="3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2" authorId="3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2" authorId="3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2" authorId="3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2" authorId="3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2" authorId="3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2" authorId="3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2" authorId="3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2" authorId="3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2" authorId="3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2" authorId="3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2" authorId="3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2" authorId="3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2" authorId="3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2" authorId="3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2" authorId="3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2" authorId="3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2" authorId="3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2" authorId="3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2" authorId="3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3" authorId="3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3" authorId="3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3" authorId="3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3" authorId="3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3" authorId="3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3" authorId="3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3" authorId="3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3" authorId="3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3" authorId="3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3" authorId="3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3" authorId="3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3" authorId="4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3" authorId="4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3" authorId="4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3" authorId="4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3" authorId="4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3" authorId="4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3" authorId="4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3" authorId="4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3" authorId="4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3" authorId="4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4" authorId="4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4" authorId="4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4" authorId="4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4" authorId="4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4" authorId="4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4" authorId="4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4" authorId="4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4" authorId="4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4" authorId="4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4" authorId="4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4" authorId="4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4" authorId="4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4" authorId="4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4" authorId="4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4" authorId="4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4" authorId="4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4" authorId="4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4" authorId="4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4" authorId="4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4" authorId="4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4" authorId="4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5" authorId="4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5" authorId="4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5" authorId="4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5" authorId="4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5" authorId="4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5" authorId="4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5" authorId="4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5" authorId="4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5" authorId="4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5" authorId="4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5" authorId="4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5" authorId="4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5" authorId="4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5" authorId="4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5" authorId="4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5" authorId="4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5" authorId="4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5" authorId="4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5" authorId="4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5" authorId="4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5" authorId="4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6" authorId="4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6" authorId="4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6" authorId="4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6" authorId="4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6" authorId="4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6" authorId="4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6" authorId="4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6" authorId="4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6" authorId="4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6" authorId="4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6" authorId="4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6" authorId="4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6" authorId="4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6" authorId="4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6" authorId="4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6" authorId="4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6" authorId="4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6" authorId="4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6" authorId="4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6" authorId="4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6" authorId="4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7" authorId="47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7" authorId="47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7" authorId="47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7" authorId="47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7" authorId="47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7" authorId="47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7" authorId="47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7" authorId="48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8" authorId="48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8" authorId="48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8" authorId="48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8" authorId="48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8" authorId="48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8" authorId="48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8" authorId="48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8" authorId="48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9" authorId="48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9" authorId="49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9" authorId="49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9" authorId="49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9" authorId="49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9" authorId="49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9" authorId="49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9" authorId="49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0" authorId="49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0" authorId="49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0" authorId="49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0" authorId="50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0" authorId="50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0" authorId="50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0" authorId="50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0" authorId="50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21" authorId="5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1" authorId="5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1" authorId="50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1" authorId="50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1" authorId="50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1" authorId="5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1" authorId="5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1" authorId="5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1" authorId="5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1" authorId="5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1" authorId="5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1" authorId="5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1" authorId="5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1" authorId="5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1" authorId="5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1" authorId="5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1" authorId="5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1" authorId="5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1" authorId="5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1" authorId="5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2" authorId="5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2" authorId="5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2" authorId="5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2" authorId="5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2" authorId="5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2" authorId="5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2" authorId="5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2" authorId="5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3" authorId="5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3" authorId="5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3" authorId="5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3" authorId="5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3" authorId="5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3" authorId="5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3" authorId="5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3" authorId="5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4" authorId="5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4" authorId="5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4" authorId="5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4" authorId="5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4" authorId="5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4" authorId="5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4" authorId="54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4" authorId="5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5" authorId="5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5" authorId="5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5" authorId="55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5" authorId="55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5" authorId="5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5" authorId="55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5" authorId="55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5" authorId="5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B125" authorId="5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5" authorId="5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6" authorId="5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6" authorId="5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6" authorId="56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6" authorId="56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6" authorId="56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6" authorId="56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6" authorId="56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6" authorId="56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6" authorId="56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6" authorId="56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6" authorId="5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6" authorId="5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6" authorId="5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6" authorId="5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6" authorId="5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6" authorId="5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6" authorId="5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6" authorId="5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6" authorId="5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6" authorId="5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6" authorId="5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6" authorId="5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7" authorId="5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7" authorId="5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7" authorId="58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7" authorId="58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7" authorId="58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7" authorId="58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7" authorId="58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7" authorId="58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7" authorId="58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7" authorId="59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7" authorId="5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7" authorId="5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7" authorId="5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7" authorId="5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7" authorId="5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7" authorId="5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7" authorId="5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7" authorId="5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7" authorId="5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7" authorId="6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7" authorId="6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7" authorId="6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8" authorId="6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8" authorId="6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8" authorId="60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8" authorId="60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8" authorId="60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8" authorId="60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8" authorId="60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8" authorId="6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8" authorId="6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8" authorId="6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8" authorId="6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8" authorId="6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8" authorId="6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8" authorId="6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8" authorId="6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8" authorId="6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8" authorId="6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8" authorId="6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8" authorId="6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8" authorId="6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8" authorId="6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8" authorId="6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9" authorId="6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9" authorId="6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9" authorId="6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9" authorId="6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9" authorId="6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9" authorId="6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9" authorId="6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9" authorId="6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9" authorId="6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9" authorId="6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9" authorId="6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9" authorId="6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9" authorId="6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9" authorId="6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9" authorId="6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9" authorId="6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9" authorId="6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9" authorId="6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9" authorId="6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9" authorId="6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9" authorId="6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9" authorId="6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30" authorId="6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J130" authorId="6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31" authorId="6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31" authorId="6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J131" authorId="65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2" authorId="65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3" authorId="6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140" authorId="6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0" authorId="6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0" authorId="6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0" authorId="6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0" authorId="6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0" authorId="6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0" authorId="6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0" authorId="6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0" authorId="6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0" authorId="6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0" authorId="6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0" authorId="6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0" authorId="6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0" authorId="6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0" authorId="6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0" authorId="6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0" authorId="6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0" authorId="6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0" authorId="6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140" authorId="6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F140" authorId="6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0" authorId="6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1" authorId="6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1" authorId="6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1" authorId="6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1" authorId="6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1" authorId="6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1" authorId="6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1" authorId="6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1" authorId="6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1" authorId="6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1" authorId="6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1" authorId="6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1" authorId="6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1" authorId="6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1" authorId="6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1" authorId="6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1" authorId="6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1" authorId="6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1" authorId="6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1" authorId="6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F141" authorId="6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1" authorId="6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2" authorId="6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2" authorId="6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2" authorId="6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2" authorId="7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2" authorId="7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2" authorId="7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2" authorId="7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2" authorId="7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2" authorId="7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2" authorId="7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2" authorId="7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2" authorId="7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2" authorId="7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2" authorId="7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2" authorId="7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2" authorId="7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2" authorId="7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2" authorId="7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2" authorId="7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2" authorId="7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2" authorId="7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3" authorId="7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3" authorId="7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3" authorId="7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3" authorId="7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3" authorId="7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3" authorId="7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3" authorId="7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3" authorId="7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3" authorId="7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3" authorId="7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3" authorId="7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3" authorId="7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3" authorId="7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3" authorId="7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3" authorId="7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3" authorId="7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3" authorId="7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3" authorId="7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3" authorId="7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3" authorId="7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3" authorId="7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4" authorId="7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4" authorId="7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4" authorId="7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4" authorId="7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4" authorId="7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4" authorId="7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4" authorId="7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4" authorId="7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4" authorId="7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4" authorId="7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4" authorId="7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4" authorId="7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4" authorId="7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4" authorId="7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4" authorId="7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4" authorId="7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4" authorId="7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4" authorId="7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4" authorId="7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4" authorId="7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4" authorId="7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5" authorId="7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5" authorId="7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5" authorId="7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5" authorId="7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5" authorId="7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5" authorId="7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5" authorId="7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5" authorId="7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5" authorId="7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5" authorId="7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5" authorId="7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5" authorId="7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5" authorId="7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5" authorId="7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5" authorId="7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5" authorId="7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5" authorId="7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5" authorId="7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5" authorId="7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5" authorId="7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5" authorId="7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6" authorId="7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6" authorId="7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6" authorId="7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6" authorId="7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6" authorId="7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6" authorId="7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6" authorId="7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6" authorId="7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6" authorId="7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6" authorId="7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6" authorId="7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6" authorId="7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6" authorId="7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6" authorId="7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6" authorId="7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6" authorId="7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6" authorId="7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6" authorId="7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6" authorId="7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6" authorId="8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6" authorId="8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7" authorId="8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7" authorId="8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7" authorId="8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7" authorId="8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7" authorId="8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7" authorId="8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7" authorId="8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7" authorId="8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7" authorId="8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7" authorId="8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7" authorId="8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7" authorId="8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7" authorId="8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7" authorId="8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7" authorId="8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7" authorId="8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7" authorId="8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7" authorId="8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7" authorId="8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7" authorId="8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7" authorId="8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8" authorId="8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8" authorId="8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8" authorId="8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8" authorId="8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8" authorId="8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8" authorId="8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8" authorId="8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8" authorId="8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8" authorId="8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8" authorId="8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8" authorId="8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8" authorId="8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8" authorId="8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8" authorId="8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8" authorId="8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8" authorId="8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8" authorId="8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8" authorId="8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8" authorId="8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8" authorId="8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8" authorId="8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9" authorId="8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9" authorId="8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9" authorId="8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9" authorId="8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9" authorId="8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9" authorId="8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9" authorId="8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9" authorId="8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9" authorId="8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9" authorId="8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9" authorId="8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9" authorId="8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9" authorId="8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9" authorId="8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9" authorId="8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9" authorId="8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9" authorId="8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9" authorId="8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9" authorId="8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9" authorId="8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9" authorId="8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0" authorId="8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0" authorId="8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0" authorId="8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0" authorId="8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0" authorId="8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0" authorId="8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0" authorId="8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0" authorId="8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0" authorId="8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0" authorId="8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0" authorId="8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0" authorId="8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0" authorId="8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0" authorId="8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0" authorId="8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0" authorId="8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0" authorId="8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0" authorId="8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0" authorId="8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0" authorId="8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0" authorId="8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1" authorId="8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1" authorId="8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1" authorId="8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1" authorId="8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1" authorId="8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1" authorId="8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1" authorId="8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1" authorId="8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1" authorId="8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1" authorId="8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1" authorId="8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1" authorId="8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1" authorId="8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1" authorId="8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1" authorId="9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1" authorId="9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1" authorId="9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1" authorId="9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1" authorId="9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1" authorId="9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1" authorId="9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2" authorId="9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2" authorId="9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2" authorId="9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2" authorId="9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2" authorId="9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2" authorId="9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2" authorId="9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2" authorId="9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2" authorId="9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2" authorId="9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2" authorId="9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2" authorId="9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2" authorId="9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2" authorId="9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2" authorId="9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2" authorId="9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2" authorId="9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2" authorId="9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2" authorId="9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2" authorId="9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2" authorId="9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3" authorId="9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3" authorId="9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3" authorId="9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3" authorId="9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3" authorId="9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3" authorId="9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3" authorId="9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3" authorId="9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3" authorId="9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3" authorId="9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3" authorId="9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3" authorId="9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3" authorId="9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3" authorId="9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3" authorId="9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3" authorId="9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3" authorId="9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3" authorId="9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3" authorId="9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3" authorId="9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3" authorId="9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4" authorId="9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4" authorId="9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4" authorId="9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4" authorId="9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4" authorId="9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4" authorId="9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4" authorId="9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4" authorId="9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4" authorId="9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4" authorId="9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4" authorId="9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4" authorId="9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4" authorId="9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4" authorId="9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4" authorId="9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4" authorId="9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4" authorId="9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4" authorId="9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4" authorId="9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4" authorId="9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4" authorId="9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5" authorId="9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5" authorId="9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5" authorId="9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5" authorId="9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5" authorId="9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5" authorId="9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5" authorId="9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5" authorId="9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5" authorId="9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5" authorId="9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5" authorId="9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5" authorId="9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5" authorId="9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5" authorId="9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5" authorId="9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5" authorId="9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5" authorId="9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5" authorId="9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5" authorId="9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5" authorId="9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5" authorId="9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6" authorId="9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6" authorId="9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6" authorId="9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6" authorId="9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6" authorId="9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6" authorId="9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6" authorId="9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6" authorId="9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6" authorId="9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6" authorId="10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6" authorId="10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6" authorId="10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6" authorId="10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6" authorId="10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6" authorId="10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6" authorId="10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6" authorId="10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6" authorId="10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6" authorId="10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6" authorId="10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6" authorId="10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7" authorId="10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7" authorId="10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7" authorId="10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7" authorId="10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7" authorId="10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7" authorId="10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7" authorId="10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7" authorId="10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7" authorId="10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7" authorId="10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7" authorId="10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7" authorId="10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7" authorId="10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7" authorId="10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7" authorId="10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7" authorId="10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7" authorId="10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7" authorId="10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7" authorId="10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7" authorId="10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7" authorId="10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8" authorId="10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8" authorId="10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8" authorId="10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8" authorId="10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8" authorId="10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8" authorId="10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8" authorId="10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8" authorId="10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8" authorId="10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8" authorId="10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8" authorId="10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8" authorId="10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8" authorId="10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8" authorId="10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8" authorId="10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8" authorId="10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8" authorId="10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8" authorId="10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8" authorId="10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8" authorId="10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8" authorId="10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9" authorId="10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9" authorId="10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9" authorId="10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9" authorId="10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9" authorId="10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9" authorId="10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9" authorId="10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9" authorId="10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9" authorId="10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9" authorId="10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9" authorId="10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9" authorId="10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9" authorId="10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9" authorId="10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9" authorId="10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9" authorId="10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9" authorId="10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9" authorId="10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9" authorId="10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9" authorId="10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9" authorId="10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60" authorId="10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0" authorId="10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160" authorId="10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161" authorId="10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1" authorId="107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161" authorId="10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163" authorId="10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163" authorId="10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163" authorId="10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164" authorId="10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164" authorId="10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164" authorId="108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165" authorId="10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165" authorId="10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165" authorId="10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AD165" authorId="10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7" authorId="10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167" authorId="10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167" authorId="10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J168" authorId="10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8" authorId="10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8" authorId="10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8" authorId="10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8" authorId="10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8" authorId="10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8" authorId="11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8" authorId="11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8" authorId="110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AJ168" authorId="11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11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69" authorId="11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69" authorId="11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69" authorId="11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69" authorId="11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69" authorId="11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0" authorId="11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0" authorId="11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11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11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11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11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11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0" authorId="11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11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11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1" authorId="11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1" authorId="11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11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1" authorId="11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1" authorId="11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1" authorId="11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1" authorId="11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1" authorId="11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2" authorId="11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11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11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11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11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3" authorId="11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3" authorId="11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3" authorId="11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3" authorId="11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3" authorId="11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3" authorId="11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3" authorId="11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4" authorId="11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4" authorId="11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5" authorId="11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5" authorId="11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5" authorId="11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5" authorId="11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I178" authorId="11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79" authorId="11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0" authorId="11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1" authorId="11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2" authorId="11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3" authorId="11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Z191" authorId="115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191" authorId="11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I198" authorId="115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199" authorId="115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0" authorId="11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1" authorId="115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04" authorId="115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04" authorId="115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04" authorId="116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04" authorId="116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F204" authorId="116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J204" authorId="116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05" authorId="11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212" authorId="11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2" authorId="11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2" authorId="11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2" authorId="11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2" authorId="11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2" authorId="11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2" authorId="11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2" authorId="11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2" authorId="11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2" authorId="11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2" authorId="11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2" authorId="11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2" authorId="11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3" authorId="11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3" authorId="11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3" authorId="11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3" authorId="11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3" authorId="11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3" authorId="11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3" authorId="11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3" authorId="11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3" authorId="11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3" authorId="11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3" authorId="11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3" authorId="11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3" authorId="11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4" authorId="11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4" authorId="11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4" authorId="11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4" authorId="11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4" authorId="11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4" authorId="11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4" authorId="11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4" authorId="11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4" authorId="11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4" authorId="12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4" authorId="12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4" authorId="12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4" authorId="12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5" authorId="12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5" authorId="12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5" authorId="12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5" authorId="12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5" authorId="12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5" authorId="12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5" authorId="12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5" authorId="12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5" authorId="12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5" authorId="12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5" authorId="12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5" authorId="12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5" authorId="12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6" authorId="12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6" authorId="12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6" authorId="12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6" authorId="12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6" authorId="12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6" authorId="12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6" authorId="12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6" authorId="12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6" authorId="12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6" authorId="12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6" authorId="12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6" authorId="12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6" authorId="12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7" authorId="12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7" authorId="12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7" authorId="12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7" authorId="12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7" authorId="12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7" authorId="12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7" authorId="12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7" authorId="12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7" authorId="12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7" authorId="12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7" authorId="12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7" authorId="12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7" authorId="12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8" authorId="12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8" authorId="12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8" authorId="12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8" authorId="12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8" authorId="12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8" authorId="12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8" authorId="12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8" authorId="12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8" authorId="12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8" authorId="12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8" authorId="12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8" authorId="12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8" authorId="12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33" authorId="12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233" authorId="125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B233" authorId="125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V248" authorId="12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8" authorId="12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49" authorId="12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9" authorId="12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0" authorId="12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0" authorId="12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1" authorId="12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1" authorId="12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2" authorId="12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2" authorId="12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3" authorId="12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3" authorId="12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4" authorId="12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4" authorId="12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5" authorId="12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5" authorId="12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256" authorId="12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6" authorId="12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6" authorId="12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6" authorId="12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6" authorId="12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6" authorId="12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6" authorId="12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J256" authorId="12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7" authorId="12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7" authorId="12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7" authorId="12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7" authorId="12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7" authorId="12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7" authorId="12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J257" authorId="12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8" authorId="12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8" authorId="12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9" authorId="12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9" authorId="12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0" authorId="12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0" authorId="12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1" authorId="12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1" authorId="12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1" authorId="12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2" authorId="12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2" authorId="13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2" authorId="13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3" authorId="13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3" authorId="13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3" authorId="13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4" authorId="13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4" authorId="13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4" authorId="13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5" authorId="13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5" authorId="13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6" authorId="13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6" authorId="13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7" authorId="13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7" authorId="13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8" authorId="13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8" authorId="13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9" authorId="13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9" authorId="13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0" authorId="13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0" authorId="13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1" authorId="13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1" authorId="13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272" authorId="1322" shapeId="0">
      <text>
        <t>Rishab Jha:
TTF started reported from differ BU wise w.e.f-Jan'23</t>
      </text>
    </comment>
    <comment ref="J272" authorId="13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2" authorId="13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2" authorId="13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2" authorId="13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2" authorId="13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2" authorId="13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3" authorId="13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3" authorId="13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3" authorId="13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3" authorId="13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3" authorId="13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3" authorId="13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4" authorId="13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4" authorId="13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4" authorId="13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4" authorId="13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4" authorId="13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4" authorId="13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5" authorId="13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5" authorId="13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5" authorId="13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5" authorId="13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5" authorId="13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5" authorId="13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276" authorId="1322" shapeId="0">
      <text>
        <t>Rishab Jha:
TTO started reported from differ BU wise w.e.f-Jan'23</t>
      </text>
    </comment>
    <comment ref="J276" authorId="13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6" authorId="13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6" authorId="13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6" authorId="13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6" authorId="13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6" authorId="13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7" authorId="13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7" authorId="13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7" authorId="13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7" authorId="13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7" authorId="13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7" authorId="13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8" authorId="13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8" authorId="13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8" authorId="13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8" authorId="13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8" authorId="13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8" authorId="13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8" authorId="13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279" authorId="13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9" authorId="13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9" authorId="13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9" authorId="13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9" authorId="13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9" authorId="13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9" authorId="13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0" authorId="13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0" authorId="13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280" authorId="13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280" authorId="13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281" authorId="13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82" authorId="13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282" authorId="13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82" authorId="13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3" authorId="13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3" authorId="13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83" authorId="13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83" authorId="13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J284" authorId="13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284" authorId="13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284" authorId="13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4" authorId="13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4" authorId="13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4" authorId="13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4" authorId="13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4" authorId="13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4" authorId="13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4" authorId="13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4" authorId="13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4" authorId="13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5" authorId="13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5" authorId="13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5" authorId="13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5" authorId="14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5" authorId="14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5" authorId="14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5" authorId="14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5" authorId="14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5" authorId="14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5" authorId="14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6" authorId="14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6" authorId="14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6" authorId="14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6" authorId="14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6" authorId="14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6" authorId="14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6" authorId="14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6" authorId="14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6" authorId="14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6" authorId="14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6" authorId="14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7" authorId="14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7" authorId="14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14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14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14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14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14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14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14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14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14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8" authorId="14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8" authorId="14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14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14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14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14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14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14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14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14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14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9" authorId="14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9" authorId="14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14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14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14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14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14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14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14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14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14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90" authorId="14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90" authorId="14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14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14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14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14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14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14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14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14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14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1" authorId="14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291" authorId="14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291" authorId="14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292" authorId="146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292" authorId="14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2" authorId="146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293" authorId="14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293" authorId="14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3" authorId="14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3" authorId="14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3" authorId="147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4" authorId="14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4" authorId="14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4" authorId="14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5" authorId="14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5" authorId="14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5" authorId="14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5" authorId="14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296" authorId="14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6" authorId="148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7" authorId="14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7" authorId="14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7" authorId="14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8" authorId="14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298" authorId="14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01" authorId="14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04" authorId="14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AF304" authorId="148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L305" authorId="14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05" authorId="14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05" authorId="14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05" authorId="14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05" authorId="14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05" authorId="14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05" authorId="14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AF305" authorId="149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I306" authorId="14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11" authorId="14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11" authorId="15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2" authorId="15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12" authorId="15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4" authorId="15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14" authorId="15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5" authorId="15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15" authorId="15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6" authorId="15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AB316" authorId="15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17" authorId="15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AB317" authorId="15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18" authorId="15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19" authorId="15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19" authorId="15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19" authorId="15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19" authorId="15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19" authorId="15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19" authorId="15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19" authorId="15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19" authorId="15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19" authorId="15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19" authorId="15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19" authorId="15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19" authorId="15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0" authorId="15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0" authorId="15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0" authorId="15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0" authorId="15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0" authorId="15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0" authorId="15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0" authorId="15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0" authorId="15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0" authorId="15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0" authorId="15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0" authorId="15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0" authorId="15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1" authorId="15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1" authorId="15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1" authorId="15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1" authorId="15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1" authorId="15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1" authorId="15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1" authorId="15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1" authorId="15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1" authorId="15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1" authorId="15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1" authorId="15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1" authorId="15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2" authorId="15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2" authorId="15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2" authorId="15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2" authorId="15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2" authorId="15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2" authorId="15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2" authorId="15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2" authorId="15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2" authorId="15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2" authorId="15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2" authorId="15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2" authorId="15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3" authorId="15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3" authorId="15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3" authorId="15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3" authorId="15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3" authorId="15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3" authorId="15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3" authorId="15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3" authorId="15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3" authorId="15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3" authorId="15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3" authorId="15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3" authorId="15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324" authorId="157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324" authorId="15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4" authorId="15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324" authorId="15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324" authorId="15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I325" authorId="157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325" authorId="15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5" authorId="15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325" authorId="15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325" authorId="15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I326" authorId="15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26" authorId="15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326" authorId="15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326" authorId="15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I327" authorId="15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N328" authorId="15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328" authorId="15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I329" authorId="15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29" authorId="15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9" authorId="15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329" authorId="15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329" authorId="15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330" authorId="15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0" authorId="15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330" authorId="15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330" authorId="15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330" authorId="15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330" authorId="15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1" authorId="16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1" authorId="16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331" authorId="16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331" authorId="16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331" authorId="16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331" authorId="16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2" authorId="16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2" authorId="16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332" authorId="16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332" authorId="16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I333" authorId="16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3" authorId="16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333" authorId="16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334" authorId="16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4" authorId="16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334" authorId="16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I335" authorId="16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335" authorId="16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5" authorId="16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335" authorId="16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I336" authorId="16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336" authorId="16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6" authorId="16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336" authorId="16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336" authorId="16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L337" authorId="16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337" authorId="16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337" authorId="16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I338" authorId="16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N339" authorId="16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339" authorId="16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I340" authorId="16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40" authorId="16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0" authorId="16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340" authorId="16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340" authorId="16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341" authorId="16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1" authorId="16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341" authorId="16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341" authorId="16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341" authorId="16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341" authorId="16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2" authorId="16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2" authorId="16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342" authorId="16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342" authorId="16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342" authorId="16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3" authorId="16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3" authorId="16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343" authorId="16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343" authorId="16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344" authorId="16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4" authorId="165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344" authorId="16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345" authorId="16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5" authorId="165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345" authorId="16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J346" authorId="16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6" authorId="16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346" authorId="16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346" authorId="16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I347" authorId="166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347" authorId="16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7" authorId="16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347" authorId="16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347" authorId="16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I348" authorId="16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48" authorId="16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348" authorId="16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348" authorId="16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I349" authorId="16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N350" authorId="16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350" authorId="16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I351" authorId="16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51" authorId="16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51" authorId="16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351" authorId="16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351" authorId="167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352" authorId="16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2" authorId="16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352" authorId="16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352" authorId="16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352" authorId="16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352" authorId="16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3" authorId="16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3" authorId="16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353" authorId="16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353" authorId="16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353" authorId="16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353" authorId="16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4" authorId="16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4" authorId="16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354" authorId="16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354" authorId="169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355" authorId="16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5" authorId="16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355" authorId="16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356" authorId="16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6" authorId="16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356" authorId="16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Z357" authorId="17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7" authorId="17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7" authorId="17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358" authorId="17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358" authorId="17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8" authorId="17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8" authorId="17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59" authorId="17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9" authorId="17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9" authorId="17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0" authorId="17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0" authorId="17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0" authorId="17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1" authorId="17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1" authorId="17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1" authorId="17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2" authorId="17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2" authorId="17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2" authorId="17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3" authorId="17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3" authorId="17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3" authorId="17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4" authorId="17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4" authorId="17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4" authorId="17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5" authorId="17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5" authorId="17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5" authorId="17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6" authorId="17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6" authorId="17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6" authorId="17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7" authorId="17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7" authorId="17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7" authorId="17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8" authorId="17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8" authorId="17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8" authorId="17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9" authorId="17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9" authorId="17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9" authorId="17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70" authorId="17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70" authorId="17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70" authorId="17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V371" authorId="17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1" authorId="17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1" authorId="17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1" authorId="17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72" authorId="17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72" authorId="17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2" authorId="17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2" authorId="17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2" authorId="17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3" authorId="17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3" authorId="17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3" authorId="17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3" authorId="17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4" authorId="17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4" authorId="17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4" authorId="17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4" authorId="17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5" authorId="17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5" authorId="17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5" authorId="17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5" authorId="17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6" authorId="17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6" authorId="17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6" authorId="17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6" authorId="17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7" authorId="17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7" authorId="17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7" authorId="17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7" authorId="17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8" authorId="17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8" authorId="17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8" authorId="17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8" authorId="17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9" authorId="17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9" authorId="17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9" authorId="17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9" authorId="17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0" authorId="17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0" authorId="17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0" authorId="17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0" authorId="17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1" authorId="17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1" authorId="17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1" authorId="17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1" authorId="17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2" authorId="17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2" authorId="17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2" authorId="17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2" authorId="17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3" authorId="17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3" authorId="17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3" authorId="17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3" authorId="17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4" authorId="17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4" authorId="17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4" authorId="17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4" authorId="17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5" authorId="18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5" authorId="18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5" authorId="18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5" authorId="18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86" authorId="18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86" authorId="18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6" authorId="18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6" authorId="18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6" authorId="18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7" authorId="18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7" authorId="18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7" authorId="18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7" authorId="18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8" authorId="18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8" authorId="18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8" authorId="18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8" authorId="18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9" authorId="18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9" authorId="18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9" authorId="18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9" authorId="18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0" authorId="18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0" authorId="18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0" authorId="18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0" authorId="18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1" authorId="18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1" authorId="18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1" authorId="18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1" authorId="18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2" authorId="18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2" authorId="18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2" authorId="18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2" authorId="18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3" authorId="18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3" authorId="18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3" authorId="18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3" authorId="18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4" authorId="18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4" authorId="18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4" authorId="18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4" authorId="18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5" authorId="18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5" authorId="18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5" authorId="18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5" authorId="18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6" authorId="18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6" authorId="18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6" authorId="18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6" authorId="18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7" authorId="18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7" authorId="18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7" authorId="18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7" authorId="18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8" authorId="18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8" authorId="18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8" authorId="18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8" authorId="18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06" authorId="18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06" authorId="18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10" authorId="18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10" authorId="18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J413" authorId="18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3" authorId="18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3" authorId="18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3" authorId="18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3" authorId="18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3" authorId="18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4" authorId="18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4" authorId="18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4" authorId="18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414" authorId="18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415" authorId="18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5" authorId="18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5" authorId="18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5" authorId="18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5" authorId="18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5" authorId="18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6" authorId="18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6" authorId="18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6" authorId="18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416" authorId="18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417" authorId="18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7" authorId="18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7" authorId="18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17" authorId="18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8" authorId="18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8" authorId="18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8" authorId="18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8" authorId="18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8" authorId="18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9" authorId="18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9" authorId="18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9" authorId="18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9" authorId="18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9" authorId="18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0" authorId="18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1" authorId="18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1" authorId="18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1" authorId="18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1" authorId="18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1" authorId="19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1" authorId="19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1" authorId="19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2" authorId="19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3" authorId="19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3" authorId="19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3" authorId="19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3" authorId="19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3" authorId="19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3" authorId="19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3" authorId="19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4" authorId="19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4" authorId="19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4" authorId="19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4" authorId="19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424" authorId="19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424" authorId="19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N425" authorId="19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5" authorId="19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5" authorId="19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5" authorId="19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6" authorId="19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6" authorId="19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27" authorId="19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27" authorId="19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7" authorId="19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8" authorId="19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8" authorId="19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9" authorId="19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9" authorId="19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0" authorId="19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0" authorId="19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1" authorId="19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1" authorId="19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32" authorId="19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32" authorId="19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2" authorId="19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J440" authorId="19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0" authorId="19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0" authorId="19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0" authorId="19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0" authorId="19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0" authorId="19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0" authorId="19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0" authorId="19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0" authorId="19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0" authorId="19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0" authorId="19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0" authorId="19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0" authorId="19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0" authorId="19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0" authorId="19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0" authorId="19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0" authorId="19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0" authorId="19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0" authorId="19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0" authorId="19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0" authorId="19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1" authorId="19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1" authorId="19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1" authorId="19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1" authorId="19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1" authorId="19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1" authorId="19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1" authorId="19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1" authorId="19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1" authorId="19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1" authorId="19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1" authorId="19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1" authorId="19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1" authorId="19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1" authorId="19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1" authorId="19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1" authorId="19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1" authorId="19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1" authorId="19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1" authorId="19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1" authorId="19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1" authorId="19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2" authorId="19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2" authorId="19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2" authorId="19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2" authorId="19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2" authorId="19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2" authorId="19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2" authorId="19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2" authorId="19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2" authorId="19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2" authorId="19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2" authorId="19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2" authorId="19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2" authorId="19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2" authorId="19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2" authorId="19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2" authorId="19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2" authorId="19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2" authorId="19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2" authorId="19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2" authorId="19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2" authorId="19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3" authorId="20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3" authorId="20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3" authorId="20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3" authorId="20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3" authorId="20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3" authorId="20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3" authorId="20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3" authorId="20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3" authorId="20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3" authorId="20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3" authorId="20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3" authorId="20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3" authorId="20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3" authorId="20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3" authorId="20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3" authorId="20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3" authorId="20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3" authorId="20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3" authorId="20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3" authorId="20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3" authorId="20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4" authorId="20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4" authorId="20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4" authorId="20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4" authorId="20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4" authorId="20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4" authorId="20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4" authorId="20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4" authorId="20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4" authorId="20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4" authorId="20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4" authorId="20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4" authorId="20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4" authorId="20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4" authorId="20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4" authorId="20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4" authorId="20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4" authorId="20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4" authorId="20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4" authorId="20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4" authorId="20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4" authorId="20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5" authorId="20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5" authorId="20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5" authorId="20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5" authorId="20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5" authorId="20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5" authorId="20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5" authorId="20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5" authorId="20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5" authorId="20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5" authorId="20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5" authorId="20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5" authorId="20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5" authorId="20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5" authorId="20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5" authorId="20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5" authorId="20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5" authorId="20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5" authorId="20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5" authorId="20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5" authorId="20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5" authorId="20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6" authorId="20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6" authorId="20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6" authorId="20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6" authorId="20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6" authorId="20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6" authorId="20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6" authorId="20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6" authorId="20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6" authorId="20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6" authorId="20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6" authorId="20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6" authorId="20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6" authorId="20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6" authorId="20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6" authorId="20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6" authorId="20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6" authorId="20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6" authorId="20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6" authorId="20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6" authorId="20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6" authorId="20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7" authorId="20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7" authorId="20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7" authorId="20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7" authorId="20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7" authorId="20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7" authorId="20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7" authorId="20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7" authorId="20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7" authorId="20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7" authorId="20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7" authorId="20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7" authorId="20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7" authorId="20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7" authorId="20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7" authorId="20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7" authorId="20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7" authorId="21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7" authorId="21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7" authorId="21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7" authorId="21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8" authorId="21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8" authorId="21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8" authorId="21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8" authorId="21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8" authorId="21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8" authorId="21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8" authorId="21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8" authorId="21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8" authorId="21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8" authorId="21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8" authorId="21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8" authorId="21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8" authorId="21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8" authorId="21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8" authorId="21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8" authorId="21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8" authorId="21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8" authorId="21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8" authorId="21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8" authorId="21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9" authorId="21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9" authorId="21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9" authorId="21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9" authorId="21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9" authorId="21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9" authorId="21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9" authorId="21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9" authorId="21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9" authorId="21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9" authorId="21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9" authorId="21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9" authorId="21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9" authorId="21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9" authorId="21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9" authorId="21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9" authorId="21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9" authorId="21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9" authorId="21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9" authorId="21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9" authorId="21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0" authorId="21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0" authorId="21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0" authorId="21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0" authorId="21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0" authorId="21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0" authorId="21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0" authorId="21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0" authorId="21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0" authorId="21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0" authorId="21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0" authorId="21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0" authorId="21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0" authorId="21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0" authorId="21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0" authorId="21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0" authorId="21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0" authorId="21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0" authorId="21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0" authorId="21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0" authorId="21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1" authorId="21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1" authorId="21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1" authorId="21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1" authorId="21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1" authorId="21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1" authorId="21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1" authorId="21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1" authorId="21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1" authorId="21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1" authorId="21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1" authorId="21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1" authorId="21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1" authorId="21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1" authorId="21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1" authorId="21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1" authorId="21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1" authorId="21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1" authorId="21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1" authorId="21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1" authorId="21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2" authorId="21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2" authorId="21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2" authorId="21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2" authorId="21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2" authorId="21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2" authorId="21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2" authorId="21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2" authorId="21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2" authorId="21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2" authorId="21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2" authorId="21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2" authorId="21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2" authorId="21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2" authorId="21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2" authorId="21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2" authorId="21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2" authorId="22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2" authorId="22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2" authorId="22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2" authorId="22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3" authorId="22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3" authorId="22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3" authorId="22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3" authorId="22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3" authorId="22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3" authorId="22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3" authorId="22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3" authorId="22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3" authorId="22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3" authorId="22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3" authorId="22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3" authorId="22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3" authorId="22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3" authorId="22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3" authorId="22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3" authorId="22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3" authorId="22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3" authorId="22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3" authorId="22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3" authorId="22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4" authorId="22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4" authorId="22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4" authorId="22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4" authorId="22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4" authorId="22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4" authorId="22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4" authorId="22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4" authorId="22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4" authorId="22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4" authorId="22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4" authorId="22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4" authorId="22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4" authorId="22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4" authorId="22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4" authorId="22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4" authorId="22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54" authorId="22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F454" authorId="22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5" authorId="22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5" authorId="22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5" authorId="22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5" authorId="22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5" authorId="22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5" authorId="22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5" authorId="22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5" authorId="22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5" authorId="22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5" authorId="22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5" authorId="22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5" authorId="22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5" authorId="22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5" authorId="22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5" authorId="22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5" authorId="22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5" authorId="22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5" authorId="22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5" authorId="22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5" authorId="22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6" authorId="22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6" authorId="22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6" authorId="22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6" authorId="22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6" authorId="22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6" authorId="22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6" authorId="22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6" authorId="22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6" authorId="22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6" authorId="22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6" authorId="22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6" authorId="22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6" authorId="22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6" authorId="22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6" authorId="22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6" authorId="22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6" authorId="22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6" authorId="22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6" authorId="22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6" authorId="22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7" authorId="22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7" authorId="22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7" authorId="22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7" authorId="22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7" authorId="22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7" authorId="22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7" authorId="22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7" authorId="22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7" authorId="22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7" authorId="22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7" authorId="22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7" authorId="22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7" authorId="22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7" authorId="22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7" authorId="22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7" authorId="22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7" authorId="22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7" authorId="22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7" authorId="23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7" authorId="23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8" authorId="23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8" authorId="23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8" authorId="23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8" authorId="23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8" authorId="23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8" authorId="23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8" authorId="23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8" authorId="23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8" authorId="23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8" authorId="23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8" authorId="23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8" authorId="23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8" authorId="23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8" authorId="23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8" authorId="23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8" authorId="23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8" authorId="23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8" authorId="23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8" authorId="23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8" authorId="23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9" authorId="23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9" authorId="23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9" authorId="23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9" authorId="23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9" authorId="23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9" authorId="23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9" authorId="23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9" authorId="23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9" authorId="23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9" authorId="23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9" authorId="23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9" authorId="23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9" authorId="23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9" authorId="23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9" authorId="23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9" authorId="23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9" authorId="23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9" authorId="23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9" authorId="23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9" authorId="23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0" authorId="23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60" authorId="23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60" authorId="23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60" authorId="23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60" authorId="23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0" authorId="23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0" authorId="23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60" authorId="23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60" authorId="23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60" authorId="23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60" authorId="23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0" authorId="23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0" authorId="23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0" authorId="23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0" authorId="23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0" authorId="23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0" authorId="23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0" authorId="23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0" authorId="23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0" authorId="23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1" authorId="23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1" authorId="23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1" authorId="23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1" authorId="23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1" authorId="23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1" authorId="23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1" authorId="23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1" authorId="23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1" authorId="23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1" authorId="23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1" authorId="23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1" authorId="23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1" authorId="23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1" authorId="23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1" authorId="23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1" authorId="23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1" authorId="23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1" authorId="23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1" authorId="23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1" authorId="23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1" authorId="23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2" authorId="23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2" authorId="23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2" authorId="23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2" authorId="23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2" authorId="23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2" authorId="23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2" authorId="23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2" authorId="23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2" authorId="23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2" authorId="23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2" authorId="23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2" authorId="23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2" authorId="23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2" authorId="23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2" authorId="23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2" authorId="23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2" authorId="23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2" authorId="24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2" authorId="24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2" authorId="24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2" authorId="24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3" authorId="24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3" authorId="24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3" authorId="24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3" authorId="24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3" authorId="24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3" authorId="24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3" authorId="24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3" authorId="24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3" authorId="24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3" authorId="24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3" authorId="24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3" authorId="24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3" authorId="24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3" authorId="24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3" authorId="24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3" authorId="24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3" authorId="24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3" authorId="24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3" authorId="24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3" authorId="24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3" authorId="24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4" authorId="24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4" authorId="24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4" authorId="24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4" authorId="24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4" authorId="24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4" authorId="24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4" authorId="24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4" authorId="24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4" authorId="24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4" authorId="24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4" authorId="24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4" authorId="24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4" authorId="24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4" authorId="24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4" authorId="24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4" authorId="24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4" authorId="24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4" authorId="24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4" authorId="24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4" authorId="24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4" authorId="24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5" authorId="24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5" authorId="24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5" authorId="24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5" authorId="24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5" authorId="24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5" authorId="24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5" authorId="24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5" authorId="24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5" authorId="24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5" authorId="24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5" authorId="24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5" authorId="24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5" authorId="24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5" authorId="24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5" authorId="24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5" authorId="24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5" authorId="24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5" authorId="24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5" authorId="24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5" authorId="24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5" authorId="24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6" authorId="24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6" authorId="24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6" authorId="24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6" authorId="24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6" authorId="24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6" authorId="24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6" authorId="24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6" authorId="24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6" authorId="24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6" authorId="24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6" authorId="24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6" authorId="24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6" authorId="24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6" authorId="24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6" authorId="24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6" authorId="24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6" authorId="24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6" authorId="24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6" authorId="24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6" authorId="24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6" authorId="24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7" authorId="24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7" authorId="24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7" authorId="24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7" authorId="24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7" authorId="24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7" authorId="24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7" authorId="24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7" authorId="24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7" authorId="24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7" authorId="24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7" authorId="24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7" authorId="24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7" authorId="25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7" authorId="25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7" authorId="25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7" authorId="25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7" authorId="25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7" authorId="25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7" authorId="25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7" authorId="25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7" authorId="25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8" authorId="25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8" authorId="25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8" authorId="25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8" authorId="25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8" authorId="25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8" authorId="25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8" authorId="25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8" authorId="25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8" authorId="25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8" authorId="25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8" authorId="25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8" authorId="25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8" authorId="25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8" authorId="25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8" authorId="25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8" authorId="25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8" authorId="25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8" authorId="25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8" authorId="25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8" authorId="25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8" authorId="25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9" authorId="25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9" authorId="25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9" authorId="25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9" authorId="25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9" authorId="25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9" authorId="25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9" authorId="25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9" authorId="25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9" authorId="25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9" authorId="25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9" authorId="25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9" authorId="25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9" authorId="25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9" authorId="25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9" authorId="25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9" authorId="25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9" authorId="25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9" authorId="25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9" authorId="25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9" authorId="25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9" authorId="25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0" authorId="25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0" authorId="25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0" authorId="25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0" authorId="25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0" authorId="25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0" authorId="25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0" authorId="25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0" authorId="25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0" authorId="25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0" authorId="25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0" authorId="25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0" authorId="25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0" authorId="25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0" authorId="25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0" authorId="25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0" authorId="25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0" authorId="25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0" authorId="25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0" authorId="25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0" authorId="25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0" authorId="25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1" authorId="25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1" authorId="25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1" authorId="25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1" authorId="25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1" authorId="25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1" authorId="25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1" authorId="25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1" authorId="25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1" authorId="25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1" authorId="25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1" authorId="25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1" authorId="25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1" authorId="25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1" authorId="25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1" authorId="25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1" authorId="25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1" authorId="25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1" authorId="25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1" authorId="25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1" authorId="25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1" authorId="25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2" authorId="25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2" authorId="25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2" authorId="25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2" authorId="25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2" authorId="25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2" authorId="25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2" authorId="25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2" authorId="26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2" authorId="26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2" authorId="26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2" authorId="26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2" authorId="26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2" authorId="26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2" authorId="26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2" authorId="26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2" authorId="26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2" authorId="26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2" authorId="26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2" authorId="26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2" authorId="26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2" authorId="26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3" authorId="26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3" authorId="26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3" authorId="26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3" authorId="26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3" authorId="26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3" authorId="26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3" authorId="26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3" authorId="26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3" authorId="26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3" authorId="26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3" authorId="26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3" authorId="26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3" authorId="26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3" authorId="26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3" authorId="26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3" authorId="26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3" authorId="26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3" authorId="26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3" authorId="26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3" authorId="26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3" authorId="26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4" authorId="26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4" authorId="26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4" authorId="26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4" authorId="26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4" authorId="26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4" authorId="26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4" authorId="26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4" authorId="26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4" authorId="26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4" authorId="26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4" authorId="26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4" authorId="26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4" authorId="26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4" authorId="26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4" authorId="26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4" authorId="26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4" authorId="26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4" authorId="26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4" authorId="26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4" authorId="26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4" authorId="26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I475" authorId="26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475" authorId="26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5" authorId="26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475" authorId="26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76" authorId="26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6" authorId="26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476" authorId="26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7" authorId="26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477" authorId="26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7" authorId="26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8" authorId="26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AB478" authorId="26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9" authorId="26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479" authorId="26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79" authorId="26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9" authorId="26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80" authorId="26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0" authorId="26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J481" authorId="26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81" authorId="26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L483" authorId="26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3" authorId="26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3" authorId="26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3" authorId="26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3" authorId="26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3" authorId="26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3" authorId="26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483" authorId="26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Validated</t>
      </text>
    </comment>
    <comment ref="L484" authorId="26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4" authorId="26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4" authorId="26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4" authorId="26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4" authorId="26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4" authorId="26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4" authorId="26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484" authorId="26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5" authorId="26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5" authorId="26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485" authorId="269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485" authorId="269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486" authorId="26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6" authorId="26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486" authorId="26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6" authorId="26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6" authorId="27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6" authorId="27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6" authorId="27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487" authorId="27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7" authorId="27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7" authorId="27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7" authorId="27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7" authorId="27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488" authorId="27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488" authorId="27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8" authorId="27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8" authorId="27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8" authorId="27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489" authorId="27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489" authorId="27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489" authorId="27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J490" authorId="27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490" authorId="27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490" authorId="27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90" authorId="27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90" authorId="27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490" authorId="27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490" authorId="27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490" authorId="27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490" authorId="27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490" authorId="27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490" authorId="27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D490" authorId="27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F490" authorId="27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J490" authorId="27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J491" authorId="27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1" authorId="27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1" authorId="27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1" authorId="27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1" authorId="27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1" authorId="27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1" authorId="27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1" authorId="27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1" authorId="27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1" authorId="27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1" authorId="27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1" authorId="27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1" authorId="27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1" authorId="27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1" authorId="27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1" authorId="27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1" authorId="27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1" authorId="27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1" authorId="27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1" authorId="27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1" authorId="27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2" authorId="27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2" authorId="27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2" authorId="27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2" authorId="27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2" authorId="27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2" authorId="27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2" authorId="27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2" authorId="27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2" authorId="27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2" authorId="27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2" authorId="27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2" authorId="27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2" authorId="27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2" authorId="27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2" authorId="27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2" authorId="27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2" authorId="27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2" authorId="27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2" authorId="27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2" authorId="27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2" authorId="27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3" authorId="27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3" authorId="27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3" authorId="27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3" authorId="27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3" authorId="27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3" authorId="27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3" authorId="27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3" authorId="27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3" authorId="27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3" authorId="27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3" authorId="27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3" authorId="27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3" authorId="27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3" authorId="27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3" authorId="27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3" authorId="27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3" authorId="27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3" authorId="27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3" authorId="27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3" authorId="27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3" authorId="27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4" authorId="27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4" authorId="27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4" authorId="27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4" authorId="27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4" authorId="27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4" authorId="27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4" authorId="27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4" authorId="28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4" authorId="28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4" authorId="28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4" authorId="28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4" authorId="28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4" authorId="28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4" authorId="28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4" authorId="28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4" authorId="28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4" authorId="28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4" authorId="28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4" authorId="28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4" authorId="28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4" authorId="28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5" authorId="28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5" authorId="28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5" authorId="28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5" authorId="28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5" authorId="28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5" authorId="28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5" authorId="28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5" authorId="28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5" authorId="28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5" authorId="28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5" authorId="28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5" authorId="28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5" authorId="28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5" authorId="28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5" authorId="28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5" authorId="28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5" authorId="28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5" authorId="28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5" authorId="28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5" authorId="28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5" authorId="28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6" authorId="28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6" authorId="28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6" authorId="28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6" authorId="28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6" authorId="28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6" authorId="28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6" authorId="28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6" authorId="28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6" authorId="28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6" authorId="28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6" authorId="28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6" authorId="28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6" authorId="28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6" authorId="28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6" authorId="28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6" authorId="28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6" authorId="28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6" authorId="28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6" authorId="28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6" authorId="28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6" authorId="28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7" authorId="28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7" authorId="28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7" authorId="28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7" authorId="28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7" authorId="28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7" authorId="28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7" authorId="28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7" authorId="28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7" authorId="28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7" authorId="28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7" authorId="28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7" authorId="28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7" authorId="28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7" authorId="28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7" authorId="28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7" authorId="28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7" authorId="28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7" authorId="28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7" authorId="28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7" authorId="28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7" authorId="28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8" authorId="28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8" authorId="28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8" authorId="28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8" authorId="28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8" authorId="28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8" authorId="28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8" authorId="28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8" authorId="28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8" authorId="28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8" authorId="28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8" authorId="28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8" authorId="28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8" authorId="28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8" authorId="28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8" authorId="28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8" authorId="28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8" authorId="28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8" authorId="28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8" authorId="28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8" authorId="28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8" authorId="28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9" authorId="28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9" authorId="28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9" authorId="29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9" authorId="29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9" authorId="29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9" authorId="29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9" authorId="29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9" authorId="29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9" authorId="29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9" authorId="29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9" authorId="29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9" authorId="29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9" authorId="29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9" authorId="29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9" authorId="29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9" authorId="29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9" authorId="29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9" authorId="29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9" authorId="29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9" authorId="29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9" authorId="29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0" authorId="29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0" authorId="29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0" authorId="29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0" authorId="29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0" authorId="29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0" authorId="29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0" authorId="29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0" authorId="29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0" authorId="29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0" authorId="29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0" authorId="29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0" authorId="29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0" authorId="29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0" authorId="29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0" authorId="29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0" authorId="29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0" authorId="29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0" authorId="29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0" authorId="29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0" authorId="29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0" authorId="29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1" authorId="29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1" authorId="29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1" authorId="29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1" authorId="29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1" authorId="29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1" authorId="29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1" authorId="29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1" authorId="29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1" authorId="29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1" authorId="29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1" authorId="29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1" authorId="29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1" authorId="29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1" authorId="29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1" authorId="29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1" authorId="29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1" authorId="29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1" authorId="29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1" authorId="29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1" authorId="29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1" authorId="29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2" authorId="29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2" authorId="29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2" authorId="29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2" authorId="29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2" authorId="29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2" authorId="29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2" authorId="29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2" authorId="29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2" authorId="29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2" authorId="29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2" authorId="29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2" authorId="29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2" authorId="29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2" authorId="29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2" authorId="29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2" authorId="29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2" authorId="29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2" authorId="29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2" authorId="29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2" authorId="29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2" authorId="29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3" authorId="29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3" authorId="29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3" authorId="29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3" authorId="29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3" authorId="29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3" authorId="29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3" authorId="29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3" authorId="29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3" authorId="29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3" authorId="29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3" authorId="29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3" authorId="29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3" authorId="29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3" authorId="29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3" authorId="29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3" authorId="29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3" authorId="29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3" authorId="29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3" authorId="30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3" authorId="30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3" authorId="30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4" authorId="30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4" authorId="30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4" authorId="30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4" authorId="30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4" authorId="30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4" authorId="30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4" authorId="30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4" authorId="30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4" authorId="30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4" authorId="30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4" authorId="30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4" authorId="30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4" authorId="30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4" authorId="30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4" authorId="30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4" authorId="30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4" authorId="30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4" authorId="30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4" authorId="30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4" authorId="30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4" authorId="30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5" authorId="30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5" authorId="30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5" authorId="30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5" authorId="30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5" authorId="30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5" authorId="30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5" authorId="30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5" authorId="30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5" authorId="30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5" authorId="30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5" authorId="30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5" authorId="30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5" authorId="30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5" authorId="30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5" authorId="30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5" authorId="30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5" authorId="30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5" authorId="30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5" authorId="30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5" authorId="30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5" authorId="30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6" authorId="30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6" authorId="30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6" authorId="30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6" authorId="30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6" authorId="30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6" authorId="30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6" authorId="30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6" authorId="30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6" authorId="30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6" authorId="30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6" authorId="30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6" authorId="30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6" authorId="30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6" authorId="30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6" authorId="30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6" authorId="30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6" authorId="30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6" authorId="30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6" authorId="30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6" authorId="30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6" authorId="30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7" authorId="30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7" authorId="30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7" authorId="30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7" authorId="30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7" authorId="30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7" authorId="30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7" authorId="30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7" authorId="30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7" authorId="30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7" authorId="30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7" authorId="30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7" authorId="30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7" authorId="30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7" authorId="30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7" authorId="30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7" authorId="30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7" authorId="30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7" authorId="30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7" authorId="30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7" authorId="30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7" authorId="30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D49"/>
  <sheetViews>
    <sheetView topLeftCell="X1" workbookViewId="0">
      <selection activeCell="AD1" sqref="AD1"/>
    </sheetView>
  </sheetViews>
  <sheetFormatPr baseColWidth="8" defaultRowHeight="15"/>
  <cols>
    <col width="25.5703125" bestFit="1" customWidth="1" min="1" max="1"/>
    <col width="25.5703125" customWidth="1" min="2" max="2"/>
    <col width="16.140625" bestFit="1" customWidth="1" min="3" max="3"/>
    <col width="13.5703125" bestFit="1" customWidth="1" min="4" max="4"/>
    <col width="13.5703125" customWidth="1" min="5" max="5"/>
    <col width="19.42578125" bestFit="1" customWidth="1" min="6" max="6"/>
    <col width="23.140625" bestFit="1" customWidth="1" min="7" max="7"/>
    <col width="27.5703125" bestFit="1" customWidth="1" min="8" max="8"/>
    <col width="23.85546875" bestFit="1" customWidth="1" min="9" max="9"/>
    <col width="28.28515625" bestFit="1" customWidth="1" min="10" max="10"/>
    <col width="24.140625" bestFit="1" customWidth="1" min="11" max="11"/>
    <col width="28.5703125" bestFit="1" customWidth="1" min="12" max="12"/>
    <col width="23.42578125" bestFit="1" customWidth="1" min="13" max="13"/>
    <col width="27.85546875" bestFit="1" customWidth="1" min="14" max="14"/>
    <col width="23.42578125" bestFit="1" customWidth="1" min="15" max="15"/>
    <col width="27.85546875" bestFit="1" customWidth="1" min="16" max="16"/>
    <col width="23.28515625" bestFit="1" customWidth="1" min="17" max="17"/>
    <col width="27.7109375" bestFit="1" customWidth="1" min="18" max="18"/>
    <col width="23" bestFit="1" customWidth="1" min="19" max="19"/>
    <col width="27.42578125" bestFit="1" customWidth="1" min="20" max="20"/>
    <col width="23.5703125" bestFit="1" customWidth="1" min="21" max="21"/>
    <col width="28" bestFit="1" customWidth="1" min="22" max="22"/>
    <col width="23.28515625" bestFit="1" customWidth="1" min="23" max="23"/>
    <col width="27.7109375" bestFit="1" customWidth="1" min="24" max="24"/>
    <col width="22.85546875" bestFit="1" customWidth="1" min="25" max="25"/>
    <col width="27.28515625" bestFit="1" customWidth="1" min="26" max="26"/>
    <col width="23.28515625" bestFit="1" customWidth="1" min="27" max="27"/>
    <col width="27.7109375" bestFit="1" customWidth="1" min="28" max="28"/>
    <col width="25.7109375" bestFit="1" customWidth="1" min="29" max="29"/>
    <col width="30.140625" bestFit="1" customWidth="1" min="30" max="30"/>
  </cols>
  <sheetData>
    <row r="1">
      <c r="A1" s="2" t="inlineStr">
        <is>
          <t>Project</t>
        </is>
      </c>
      <c r="B1" s="2" t="inlineStr">
        <is>
          <t xml:space="preserve">Industry Type </t>
        </is>
      </c>
      <c r="C1" s="2" t="inlineStr">
        <is>
          <t>Region</t>
        </is>
      </c>
      <c r="D1" s="2" t="inlineStr">
        <is>
          <t>Practice Head</t>
        </is>
      </c>
      <c r="E1" s="2" t="inlineStr">
        <is>
          <t>Regional Head</t>
        </is>
      </c>
      <c r="F1" s="2" t="inlineStr">
        <is>
          <t>BE SPOC</t>
        </is>
      </c>
      <c r="G1" s="2" t="inlineStr">
        <is>
          <t>Apr_Met</t>
        </is>
      </c>
      <c r="H1" s="2" t="inlineStr">
        <is>
          <t>Apr_Not_Met</t>
        </is>
      </c>
      <c r="I1" s="2" t="inlineStr">
        <is>
          <t>May_Met</t>
        </is>
      </c>
      <c r="J1" s="2" t="inlineStr">
        <is>
          <t>May_Not_Met</t>
        </is>
      </c>
      <c r="K1" s="2" t="inlineStr">
        <is>
          <t>Jun_Met</t>
        </is>
      </c>
      <c r="L1" s="2" t="inlineStr">
        <is>
          <t>Jun_Not_Met</t>
        </is>
      </c>
      <c r="M1" s="2" t="inlineStr">
        <is>
          <t>Jul_Met</t>
        </is>
      </c>
      <c r="N1" s="2" t="inlineStr">
        <is>
          <t>Jul_Not_Met</t>
        </is>
      </c>
      <c r="O1" s="2" t="inlineStr">
        <is>
          <t>Aug_Met</t>
        </is>
      </c>
      <c r="P1" s="2" t="inlineStr">
        <is>
          <t>Aug_Not_Met</t>
        </is>
      </c>
      <c r="Q1" s="2" t="inlineStr">
        <is>
          <t>Sep_Met</t>
        </is>
      </c>
      <c r="R1" s="2" t="inlineStr">
        <is>
          <t>Sep_Not_Met</t>
        </is>
      </c>
      <c r="S1" s="2" t="inlineStr">
        <is>
          <t>Oct_Met</t>
        </is>
      </c>
      <c r="T1" s="2" t="inlineStr">
        <is>
          <t>Oct_Not_Met</t>
        </is>
      </c>
      <c r="U1" s="2" t="inlineStr">
        <is>
          <t>Nov_Met</t>
        </is>
      </c>
      <c r="V1" s="2" t="inlineStr">
        <is>
          <t>Nov_Not_Met</t>
        </is>
      </c>
      <c r="W1" s="2" t="inlineStr">
        <is>
          <t>Dec_Met</t>
        </is>
      </c>
      <c r="X1" s="2" t="inlineStr">
        <is>
          <t>Dec_Not_Met</t>
        </is>
      </c>
      <c r="Y1" s="2" t="inlineStr">
        <is>
          <t>Jan_Met</t>
        </is>
      </c>
      <c r="Z1" s="2" t="inlineStr">
        <is>
          <t>Jan_Not_Met</t>
        </is>
      </c>
      <c r="AA1" s="2" t="inlineStr">
        <is>
          <t>Feb_Met</t>
        </is>
      </c>
      <c r="AB1" s="2" t="inlineStr">
        <is>
          <t>Feb_Not_Met</t>
        </is>
      </c>
      <c r="AC1" s="2" t="inlineStr">
        <is>
          <t>Mar_Met</t>
        </is>
      </c>
      <c r="AD1" s="2" t="inlineStr">
        <is>
          <t>Mar_Not_Met</t>
        </is>
      </c>
    </row>
    <row r="2">
      <c r="A2" s="5" t="inlineStr">
        <is>
          <t>BITS</t>
        </is>
      </c>
      <c r="B2" s="5" t="inlineStr">
        <is>
          <t>Education (Higher Education)</t>
        </is>
      </c>
      <c r="C2" s="5" t="inlineStr">
        <is>
          <t>South 2</t>
        </is>
      </c>
      <c r="D2" s="5" t="inlineStr">
        <is>
          <t>Krishna</t>
        </is>
      </c>
      <c r="E2" s="5" t="inlineStr">
        <is>
          <t>TBH</t>
        </is>
      </c>
      <c r="F2" s="5" t="inlineStr">
        <is>
          <t>Vikramjeet</t>
        </is>
      </c>
      <c r="G2" s="5" t="n">
        <v>4</v>
      </c>
      <c r="H2" s="5" t="n">
        <v>0</v>
      </c>
      <c r="I2" s="5" t="n">
        <v>4</v>
      </c>
      <c r="J2" s="5" t="n">
        <v>0</v>
      </c>
      <c r="K2" s="5" t="n">
        <v>4</v>
      </c>
      <c r="L2" s="5" t="n">
        <v>0</v>
      </c>
      <c r="M2" s="5" t="n">
        <v>4</v>
      </c>
      <c r="N2" s="5" t="n">
        <v>0</v>
      </c>
      <c r="O2" s="5" t="n">
        <v>4</v>
      </c>
      <c r="P2" s="5" t="n">
        <v>0</v>
      </c>
      <c r="Q2" s="5" t="n">
        <v>4</v>
      </c>
      <c r="R2" s="5" t="n">
        <v>0</v>
      </c>
      <c r="S2" s="5" t="n">
        <v>4</v>
      </c>
      <c r="T2" s="5" t="n">
        <v>0</v>
      </c>
      <c r="U2" s="5" t="n">
        <v>4</v>
      </c>
      <c r="V2" s="5" t="n">
        <v>0</v>
      </c>
      <c r="W2" s="5" t="n">
        <v>4</v>
      </c>
      <c r="X2" s="5" t="n">
        <v>0</v>
      </c>
      <c r="Y2" s="5" t="n">
        <v>4</v>
      </c>
      <c r="Z2" s="5" t="n">
        <v>0</v>
      </c>
      <c r="AA2" s="5" t="n">
        <v>4</v>
      </c>
      <c r="AB2" s="5" t="n">
        <v>0</v>
      </c>
      <c r="AC2" s="5" t="n">
        <v>4</v>
      </c>
      <c r="AD2" s="5" t="n">
        <v>0</v>
      </c>
    </row>
    <row r="3">
      <c r="A3" s="5" t="inlineStr">
        <is>
          <t>Honeywell</t>
        </is>
      </c>
      <c r="B3" s="5" t="inlineStr">
        <is>
          <t>Industrial (Automation &amp; Aerospace)</t>
        </is>
      </c>
      <c r="C3" s="5" t="inlineStr">
        <is>
          <t xml:space="preserve">South 1 </t>
        </is>
      </c>
      <c r="D3" s="5" t="inlineStr">
        <is>
          <t>Bapi Reddy</t>
        </is>
      </c>
      <c r="E3" s="5" t="inlineStr">
        <is>
          <t>TBH</t>
        </is>
      </c>
      <c r="F3" s="5" t="inlineStr">
        <is>
          <t>Debashreeta</t>
        </is>
      </c>
      <c r="G3" s="5" t="n">
        <v>7</v>
      </c>
      <c r="H3" s="5" t="n">
        <v>0</v>
      </c>
      <c r="I3" s="5" t="n">
        <v>8</v>
      </c>
      <c r="J3" s="5" t="n">
        <v>0</v>
      </c>
      <c r="K3" s="5" t="n">
        <v>0</v>
      </c>
      <c r="L3" s="5" t="n">
        <v>0</v>
      </c>
      <c r="M3" s="5" t="n">
        <v>8</v>
      </c>
      <c r="N3" s="5" t="n">
        <v>0</v>
      </c>
      <c r="O3" s="5" t="n">
        <v>8</v>
      </c>
      <c r="P3" s="5" t="n">
        <v>0</v>
      </c>
      <c r="Q3" s="5" t="n">
        <v>8</v>
      </c>
      <c r="R3" s="5" t="n">
        <v>0</v>
      </c>
      <c r="S3" s="5" t="n">
        <v>7</v>
      </c>
      <c r="T3" s="5" t="n">
        <v>0</v>
      </c>
      <c r="U3" s="5" t="n">
        <v>8</v>
      </c>
      <c r="V3" s="5" t="n">
        <v>0</v>
      </c>
      <c r="W3" s="5" t="n">
        <v>8</v>
      </c>
      <c r="X3" s="5" t="n">
        <v>0</v>
      </c>
      <c r="Y3" s="5" t="n">
        <v>8</v>
      </c>
      <c r="Z3" s="5" t="n">
        <v>0</v>
      </c>
      <c r="AA3" s="5" t="n">
        <v>8</v>
      </c>
      <c r="AB3" s="5" t="n">
        <v>0</v>
      </c>
      <c r="AC3" s="5" t="n">
        <v>8</v>
      </c>
      <c r="AD3" s="5" t="n">
        <v>0</v>
      </c>
    </row>
    <row r="4" hidden="1">
      <c r="A4" s="5" t="inlineStr">
        <is>
          <t>M&amp;M</t>
        </is>
      </c>
      <c r="B4" s="5" t="inlineStr">
        <is>
          <t>Automotive (OEM)</t>
        </is>
      </c>
      <c r="C4" s="5" t="inlineStr">
        <is>
          <t>West 1</t>
        </is>
      </c>
      <c r="D4" s="5" t="inlineStr">
        <is>
          <t>Megha</t>
        </is>
      </c>
      <c r="E4" s="5" t="inlineStr">
        <is>
          <t>Anjli Zutshi</t>
        </is>
      </c>
      <c r="F4" s="5" t="inlineStr">
        <is>
          <t>Sahil/Rishab</t>
        </is>
      </c>
      <c r="G4" s="5" t="n">
        <v>6</v>
      </c>
      <c r="H4" s="5" t="n">
        <v>6</v>
      </c>
      <c r="I4" s="5" t="n">
        <v>9</v>
      </c>
      <c r="J4" s="5" t="n">
        <v>3</v>
      </c>
      <c r="K4" s="5" t="n">
        <v>8</v>
      </c>
      <c r="L4" s="5" t="n">
        <v>5</v>
      </c>
      <c r="M4" s="5" t="n">
        <v>9</v>
      </c>
      <c r="N4" s="5" t="n">
        <v>3</v>
      </c>
      <c r="O4" s="5" t="n">
        <v>10</v>
      </c>
      <c r="P4" s="5" t="n">
        <v>2</v>
      </c>
      <c r="Q4" s="5" t="n">
        <v>9</v>
      </c>
      <c r="R4" s="5" t="n">
        <v>4</v>
      </c>
      <c r="S4" s="5" t="n">
        <v>8</v>
      </c>
      <c r="T4" s="5" t="n">
        <v>4</v>
      </c>
      <c r="U4" s="5" t="n">
        <v>10</v>
      </c>
      <c r="V4" s="5" t="n">
        <v>2</v>
      </c>
      <c r="W4" s="5" t="n">
        <v>10</v>
      </c>
      <c r="X4" s="5" t="n">
        <v>2</v>
      </c>
      <c r="Y4" s="5" t="n">
        <v>9</v>
      </c>
      <c r="Z4" s="5" t="n">
        <v>4</v>
      </c>
      <c r="AA4" s="5" t="n">
        <v>12</v>
      </c>
      <c r="AB4" s="5" t="n">
        <v>2</v>
      </c>
      <c r="AC4" s="5" t="n">
        <v>11</v>
      </c>
      <c r="AD4" s="5" t="n">
        <v>3</v>
      </c>
    </row>
    <row r="5" hidden="1">
      <c r="A5" s="5" t="inlineStr">
        <is>
          <t>Mahindra Holidays</t>
        </is>
      </c>
      <c r="B5" s="5" t="inlineStr">
        <is>
          <t>Hospitality &amp; Travel (Timeshare)</t>
        </is>
      </c>
      <c r="C5" s="5" t="inlineStr">
        <is>
          <t>West 1</t>
        </is>
      </c>
      <c r="D5" s="5" t="inlineStr">
        <is>
          <t>Elton</t>
        </is>
      </c>
      <c r="E5" s="5" t="inlineStr">
        <is>
          <t>Anjli Zutshi</t>
        </is>
      </c>
      <c r="F5" s="5" t="inlineStr">
        <is>
          <t>Sahil</t>
        </is>
      </c>
      <c r="G5" s="5" t="n">
        <v>2</v>
      </c>
      <c r="H5" s="5" t="n">
        <v>2</v>
      </c>
      <c r="I5" s="5" t="n">
        <v>3</v>
      </c>
      <c r="J5" s="5" t="n">
        <v>4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2</v>
      </c>
      <c r="P5" s="5" t="n">
        <v>4</v>
      </c>
      <c r="Q5" s="5" t="n">
        <v>2</v>
      </c>
      <c r="R5" s="5" t="n">
        <v>4</v>
      </c>
      <c r="S5" s="5" t="n">
        <v>2</v>
      </c>
      <c r="T5" s="5" t="n">
        <v>4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</row>
    <row r="6" hidden="1">
      <c r="A6" s="5" t="inlineStr">
        <is>
          <t>Mahindra Finance</t>
        </is>
      </c>
      <c r="B6" s="5" t="inlineStr">
        <is>
          <t>BFSI (NBFC/Auto Finance)</t>
        </is>
      </c>
      <c r="C6" s="5" t="inlineStr">
        <is>
          <t>West 1</t>
        </is>
      </c>
      <c r="D6" s="5" t="inlineStr">
        <is>
          <t>Elton</t>
        </is>
      </c>
      <c r="E6" s="5" t="inlineStr">
        <is>
          <t>Anjli Zutshi</t>
        </is>
      </c>
      <c r="F6" s="5" t="inlineStr">
        <is>
          <t>Sahil</t>
        </is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3</v>
      </c>
      <c r="AB6" s="5" t="n">
        <v>2</v>
      </c>
      <c r="AC6" s="5" t="n">
        <v>1</v>
      </c>
      <c r="AD6" s="5" t="n">
        <v>5</v>
      </c>
    </row>
    <row r="7">
      <c r="A7" s="5" t="inlineStr">
        <is>
          <t>P&amp;G</t>
        </is>
      </c>
      <c r="B7" s="5" t="inlineStr">
        <is>
          <t>FMCG / Consumer Goods</t>
        </is>
      </c>
      <c r="C7" s="5" t="inlineStr">
        <is>
          <t>South 2</t>
        </is>
      </c>
      <c r="D7" s="5" t="inlineStr">
        <is>
          <t>Krishna</t>
        </is>
      </c>
      <c r="E7" s="5" t="inlineStr">
        <is>
          <t>TBH</t>
        </is>
      </c>
      <c r="F7" s="5" t="inlineStr">
        <is>
          <t>Vikramjeet</t>
        </is>
      </c>
      <c r="G7" s="5" t="n">
        <v>4</v>
      </c>
      <c r="H7" s="5" t="n">
        <v>0</v>
      </c>
      <c r="I7" s="5" t="n">
        <v>4</v>
      </c>
      <c r="J7" s="5" t="n">
        <v>0</v>
      </c>
      <c r="K7" s="5" t="n">
        <v>4</v>
      </c>
      <c r="L7" s="5" t="n">
        <v>0</v>
      </c>
      <c r="M7" s="5" t="n">
        <v>4</v>
      </c>
      <c r="N7" s="5" t="n">
        <v>0</v>
      </c>
      <c r="O7" s="5" t="n">
        <v>4</v>
      </c>
      <c r="P7" s="5" t="n">
        <v>0</v>
      </c>
      <c r="Q7" s="5" t="n">
        <v>4</v>
      </c>
      <c r="R7" s="5" t="n">
        <v>0</v>
      </c>
      <c r="S7" s="5" t="n">
        <v>4</v>
      </c>
      <c r="T7" s="5" t="n">
        <v>0</v>
      </c>
      <c r="U7" s="5" t="n">
        <v>4</v>
      </c>
      <c r="V7" s="5" t="n">
        <v>0</v>
      </c>
      <c r="W7" s="5" t="n">
        <v>4</v>
      </c>
      <c r="X7" s="5" t="n">
        <v>0</v>
      </c>
      <c r="Y7" s="5" t="n">
        <v>4</v>
      </c>
      <c r="Z7" s="5" t="n">
        <v>0</v>
      </c>
      <c r="AA7" s="5" t="n">
        <v>4</v>
      </c>
      <c r="AB7" s="5" t="n">
        <v>0</v>
      </c>
      <c r="AC7" s="5" t="n">
        <v>4</v>
      </c>
      <c r="AD7" s="5" t="n">
        <v>0</v>
      </c>
    </row>
    <row r="8" hidden="1">
      <c r="A8" s="5" t="inlineStr">
        <is>
          <t>Pfizer</t>
        </is>
      </c>
      <c r="B8" s="5" t="inlineStr">
        <is>
          <t>Pharma</t>
        </is>
      </c>
      <c r="C8" s="5" t="inlineStr">
        <is>
          <t>West 1</t>
        </is>
      </c>
      <c r="D8" s="5" t="inlineStr">
        <is>
          <t>Usha</t>
        </is>
      </c>
      <c r="E8" s="5" t="inlineStr">
        <is>
          <t>Anjli Zutshi</t>
        </is>
      </c>
      <c r="F8" s="5" t="inlineStr">
        <is>
          <t>Sahil</t>
        </is>
      </c>
      <c r="G8" s="5" t="n">
        <v>20</v>
      </c>
      <c r="H8" s="5" t="n">
        <v>3</v>
      </c>
      <c r="I8" s="5" t="n">
        <v>19</v>
      </c>
      <c r="J8" s="5" t="n">
        <v>4</v>
      </c>
      <c r="K8" s="5" t="n">
        <v>19</v>
      </c>
      <c r="L8" s="5" t="n">
        <v>4</v>
      </c>
      <c r="M8" s="5" t="n">
        <v>13</v>
      </c>
      <c r="N8" s="5" t="n">
        <v>2</v>
      </c>
      <c r="O8" s="5" t="n">
        <v>16</v>
      </c>
      <c r="P8" s="5" t="n">
        <v>1</v>
      </c>
      <c r="Q8" s="5" t="n">
        <v>18</v>
      </c>
      <c r="R8" s="5" t="n">
        <v>3</v>
      </c>
      <c r="S8" s="5" t="n">
        <v>10</v>
      </c>
      <c r="T8" s="5" t="n">
        <v>6</v>
      </c>
      <c r="U8" s="5" t="n">
        <v>3</v>
      </c>
      <c r="V8" s="5" t="n">
        <v>3</v>
      </c>
      <c r="W8" s="5" t="n">
        <v>14</v>
      </c>
      <c r="X8" s="5" t="n">
        <v>3</v>
      </c>
      <c r="Y8" s="5" t="n">
        <v>14</v>
      </c>
      <c r="Z8" s="5" t="n">
        <v>4</v>
      </c>
      <c r="AA8" s="5" t="n">
        <v>8</v>
      </c>
      <c r="AB8" s="5" t="n">
        <v>3</v>
      </c>
      <c r="AC8" s="5" t="n">
        <v>11</v>
      </c>
      <c r="AD8" s="5" t="n">
        <v>0</v>
      </c>
    </row>
    <row r="9" hidden="1">
      <c r="A9" s="5" t="inlineStr">
        <is>
          <t>Pidilite</t>
        </is>
      </c>
      <c r="B9" s="5" t="inlineStr">
        <is>
          <t>Chemicals (Adhesives &amp; Construction Chemicals)</t>
        </is>
      </c>
      <c r="C9" s="5" t="inlineStr">
        <is>
          <t>West 1</t>
        </is>
      </c>
      <c r="D9" s="5" t="inlineStr">
        <is>
          <t>Usha</t>
        </is>
      </c>
      <c r="E9" s="5" t="inlineStr">
        <is>
          <t>Anjli Zutshi</t>
        </is>
      </c>
      <c r="F9" s="5" t="inlineStr">
        <is>
          <t>Sahil</t>
        </is>
      </c>
      <c r="G9" s="5" t="n">
        <v>11</v>
      </c>
      <c r="H9" s="5" t="n">
        <v>1</v>
      </c>
      <c r="I9" s="5" t="n">
        <v>11</v>
      </c>
      <c r="J9" s="5" t="n">
        <v>1</v>
      </c>
      <c r="K9" s="5" t="n">
        <v>10</v>
      </c>
      <c r="L9" s="5" t="n">
        <v>1</v>
      </c>
      <c r="M9" s="5" t="n">
        <v>9</v>
      </c>
      <c r="N9" s="5" t="n">
        <v>3</v>
      </c>
      <c r="O9" s="5" t="n">
        <v>10</v>
      </c>
      <c r="P9" s="5" t="n">
        <v>2</v>
      </c>
      <c r="Q9" s="5" t="n">
        <v>6</v>
      </c>
      <c r="R9" s="5" t="n">
        <v>3</v>
      </c>
      <c r="S9" s="5" t="n">
        <v>5</v>
      </c>
      <c r="T9" s="5" t="n">
        <v>5</v>
      </c>
      <c r="U9" s="5" t="n">
        <v>6</v>
      </c>
      <c r="V9" s="5" t="n">
        <v>3</v>
      </c>
      <c r="W9" s="5" t="n">
        <v>9</v>
      </c>
      <c r="X9" s="5" t="n">
        <v>1</v>
      </c>
      <c r="Y9" s="5" t="n">
        <v>0</v>
      </c>
      <c r="Z9" s="5" t="n">
        <v>0</v>
      </c>
      <c r="AA9" s="5" t="n">
        <v>8</v>
      </c>
      <c r="AB9" s="5" t="n">
        <v>2</v>
      </c>
      <c r="AC9" s="5" t="n">
        <v>7</v>
      </c>
      <c r="AD9" s="5" t="n">
        <v>4</v>
      </c>
    </row>
    <row r="10" hidden="1">
      <c r="A10" s="5" t="inlineStr">
        <is>
          <t>SKF</t>
        </is>
      </c>
      <c r="B10" s="5" t="inlineStr">
        <is>
          <t>Industrial Manufacturing (Bearings)</t>
        </is>
      </c>
      <c r="C10" s="5" t="inlineStr">
        <is>
          <t>North</t>
        </is>
      </c>
      <c r="D10" s="5" t="inlineStr">
        <is>
          <t>Archana Trikha</t>
        </is>
      </c>
      <c r="E10" s="5" t="inlineStr">
        <is>
          <t>Anjli Zutshi</t>
        </is>
      </c>
      <c r="F10" s="5" t="inlineStr">
        <is>
          <t>Rishab</t>
        </is>
      </c>
      <c r="G10" s="5" t="n">
        <v>7</v>
      </c>
      <c r="H10" s="5" t="n">
        <v>5</v>
      </c>
      <c r="I10" s="5" t="n">
        <v>6</v>
      </c>
      <c r="J10" s="5" t="n">
        <v>6</v>
      </c>
      <c r="K10" s="5" t="n">
        <v>10</v>
      </c>
      <c r="L10" s="5" t="n">
        <v>4</v>
      </c>
      <c r="M10" s="5" t="n">
        <v>8</v>
      </c>
      <c r="N10" s="5" t="n">
        <v>6</v>
      </c>
      <c r="O10" s="5" t="n">
        <v>9</v>
      </c>
      <c r="P10" s="5" t="n">
        <v>5</v>
      </c>
      <c r="Q10" s="5" t="n">
        <v>11</v>
      </c>
      <c r="R10" s="5" t="n">
        <v>3</v>
      </c>
      <c r="S10" s="5" t="n">
        <v>10</v>
      </c>
      <c r="T10" s="5" t="n">
        <v>4</v>
      </c>
      <c r="U10" s="5" t="n">
        <v>7</v>
      </c>
      <c r="V10" s="5" t="n">
        <v>7</v>
      </c>
      <c r="W10" s="5" t="n">
        <v>8</v>
      </c>
      <c r="X10" s="5" t="n">
        <v>5</v>
      </c>
      <c r="Y10" s="5" t="n">
        <v>10</v>
      </c>
      <c r="Z10" s="5" t="n">
        <v>4</v>
      </c>
      <c r="AA10" s="5" t="n">
        <v>10</v>
      </c>
      <c r="AB10" s="5" t="n">
        <v>4</v>
      </c>
      <c r="AC10" s="5" t="n">
        <v>11</v>
      </c>
      <c r="AD10" s="5" t="n">
        <v>3</v>
      </c>
    </row>
    <row r="11" hidden="1">
      <c r="A11" s="5" t="inlineStr">
        <is>
          <t>Tata Motors</t>
        </is>
      </c>
      <c r="B11" s="5" t="inlineStr">
        <is>
          <t>Automotive (OEM)</t>
        </is>
      </c>
      <c r="C11" s="5" t="inlineStr">
        <is>
          <t>West 1</t>
        </is>
      </c>
      <c r="D11" s="5" t="inlineStr">
        <is>
          <t>Shweta</t>
        </is>
      </c>
      <c r="E11" s="5" t="inlineStr">
        <is>
          <t>Anjli Zutshi</t>
        </is>
      </c>
      <c r="F11" s="5" t="inlineStr">
        <is>
          <t>Himanshu Srivastava</t>
        </is>
      </c>
      <c r="G11" s="5" t="n">
        <v>3</v>
      </c>
      <c r="H11" s="5" t="n">
        <v>7</v>
      </c>
      <c r="I11" s="5" t="n">
        <v>7</v>
      </c>
      <c r="J11" s="5" t="n">
        <v>3</v>
      </c>
      <c r="K11" s="5" t="n">
        <v>6</v>
      </c>
      <c r="L11" s="5" t="n">
        <v>4</v>
      </c>
      <c r="M11" s="5" t="n">
        <v>6</v>
      </c>
      <c r="N11" s="5" t="n">
        <v>4</v>
      </c>
      <c r="O11" s="5" t="n">
        <v>7</v>
      </c>
      <c r="P11" s="5" t="n">
        <v>3</v>
      </c>
      <c r="Q11" s="5" t="n">
        <v>7</v>
      </c>
      <c r="R11" s="5" t="n">
        <v>3</v>
      </c>
      <c r="S11" s="5" t="n">
        <v>8</v>
      </c>
      <c r="T11" s="5" t="n">
        <v>2</v>
      </c>
      <c r="U11" s="5" t="n">
        <v>8</v>
      </c>
      <c r="V11" s="5" t="n">
        <v>2</v>
      </c>
      <c r="W11" s="5" t="n">
        <v>6</v>
      </c>
      <c r="X11" s="5" t="n">
        <v>4</v>
      </c>
      <c r="Y11" s="5" t="n">
        <v>4</v>
      </c>
      <c r="Z11" s="5" t="n">
        <v>5</v>
      </c>
      <c r="AA11" s="5" t="n">
        <v>0</v>
      </c>
      <c r="AB11" s="5" t="n">
        <v>0</v>
      </c>
      <c r="AC11" s="5" t="n">
        <v>0</v>
      </c>
      <c r="AD11" s="5" t="n">
        <v>0</v>
      </c>
    </row>
    <row r="12" hidden="1">
      <c r="A12" s="5" t="inlineStr">
        <is>
          <t>TATA Power</t>
        </is>
      </c>
      <c r="B12" s="5" t="inlineStr">
        <is>
          <t>Energy &amp; Utilities (Power)</t>
        </is>
      </c>
      <c r="C12" s="5" t="inlineStr">
        <is>
          <t>West 1</t>
        </is>
      </c>
      <c r="D12" s="5" t="inlineStr">
        <is>
          <t>Elton</t>
        </is>
      </c>
      <c r="E12" s="5" t="inlineStr">
        <is>
          <t>Anjli Zutshi</t>
        </is>
      </c>
      <c r="F12" s="5" t="inlineStr">
        <is>
          <t>Sahil</t>
        </is>
      </c>
      <c r="G12" s="5" t="n">
        <v>2</v>
      </c>
      <c r="H12" s="5" t="n">
        <v>2</v>
      </c>
      <c r="I12" s="5" t="n">
        <v>4</v>
      </c>
      <c r="J12" s="5" t="n">
        <v>3</v>
      </c>
      <c r="K12" s="5" t="n">
        <v>4</v>
      </c>
      <c r="L12" s="5" t="n">
        <v>2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</row>
    <row r="13">
      <c r="A13" s="5" t="inlineStr">
        <is>
          <t>ISUZU (UD Trucks)</t>
        </is>
      </c>
      <c r="B13" s="5" t="inlineStr">
        <is>
          <t>Automotive (Commercial Vehicles)</t>
        </is>
      </c>
      <c r="C13" s="5" t="inlineStr">
        <is>
          <t xml:space="preserve">South 1 </t>
        </is>
      </c>
      <c r="D13" s="5" t="inlineStr">
        <is>
          <t>TBH</t>
        </is>
      </c>
      <c r="E13" s="5" t="inlineStr">
        <is>
          <t>TBH</t>
        </is>
      </c>
      <c r="F13" s="5" t="inlineStr">
        <is>
          <t>Debashreeta</t>
        </is>
      </c>
      <c r="G13" s="5" t="n">
        <v>4</v>
      </c>
      <c r="H13" s="5" t="n">
        <v>4</v>
      </c>
      <c r="I13" s="5" t="n">
        <v>5</v>
      </c>
      <c r="J13" s="5" t="n">
        <v>3</v>
      </c>
      <c r="K13" s="5" t="n">
        <v>6</v>
      </c>
      <c r="L13" s="5" t="n">
        <v>2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</row>
    <row r="14" hidden="1">
      <c r="A14" s="5" t="inlineStr">
        <is>
          <t>Vertiv Energy</t>
        </is>
      </c>
      <c r="B14" s="5" t="inlineStr">
        <is>
          <t>Industrial (Data Center Infrastructure/Power &amp; Cooling)</t>
        </is>
      </c>
      <c r="C14" s="5" t="inlineStr">
        <is>
          <t>West 2</t>
        </is>
      </c>
      <c r="D14" s="5" t="inlineStr">
        <is>
          <t>Shweta</t>
        </is>
      </c>
      <c r="E14" s="5" t="inlineStr">
        <is>
          <t>Anjli Zutshi</t>
        </is>
      </c>
      <c r="F14" s="5" t="inlineStr">
        <is>
          <t>Himanshu Srivastava</t>
        </is>
      </c>
      <c r="G14" s="5" t="n">
        <v>2</v>
      </c>
      <c r="H14" s="5" t="n">
        <v>5</v>
      </c>
      <c r="I14" s="5" t="n">
        <v>3</v>
      </c>
      <c r="J14" s="5" t="n">
        <v>4</v>
      </c>
      <c r="K14" s="5" t="n">
        <v>7</v>
      </c>
      <c r="L14" s="5" t="n">
        <v>0</v>
      </c>
      <c r="M14" s="5" t="n">
        <v>6</v>
      </c>
      <c r="N14" s="5" t="n">
        <v>2</v>
      </c>
      <c r="O14" s="5" t="n">
        <v>7</v>
      </c>
      <c r="P14" s="5" t="n">
        <v>1</v>
      </c>
      <c r="Q14" s="5" t="n">
        <v>5</v>
      </c>
      <c r="R14" s="5" t="n">
        <v>3</v>
      </c>
      <c r="S14" s="5" t="n">
        <v>6</v>
      </c>
      <c r="T14" s="5" t="n">
        <v>2</v>
      </c>
      <c r="U14" s="5" t="n">
        <v>3</v>
      </c>
      <c r="V14" s="5" t="n">
        <v>5</v>
      </c>
      <c r="W14" s="5" t="n">
        <v>4</v>
      </c>
      <c r="X14" s="5" t="n">
        <v>4</v>
      </c>
      <c r="Y14" s="5" t="n">
        <v>3</v>
      </c>
      <c r="Z14" s="5" t="n">
        <v>5</v>
      </c>
      <c r="AA14" s="5" t="n">
        <v>4</v>
      </c>
      <c r="AB14" s="5" t="n">
        <v>4</v>
      </c>
      <c r="AC14" s="5" t="n">
        <v>4</v>
      </c>
      <c r="AD14" s="5" t="n">
        <v>4</v>
      </c>
    </row>
    <row r="15">
      <c r="A15" s="5" t="inlineStr">
        <is>
          <t>Siemens - GBS</t>
        </is>
      </c>
      <c r="B15" s="5" t="inlineStr">
        <is>
          <t>Industrial / Engineering Services (Shared Services)</t>
        </is>
      </c>
      <c r="C15" s="5" t="inlineStr">
        <is>
          <t xml:space="preserve">South 1 </t>
        </is>
      </c>
      <c r="D15" s="5" t="inlineStr">
        <is>
          <t>TBH</t>
        </is>
      </c>
      <c r="E15" s="5" t="inlineStr">
        <is>
          <t>TBH</t>
        </is>
      </c>
      <c r="F15" s="5" t="inlineStr">
        <is>
          <t>Debashreeta</t>
        </is>
      </c>
      <c r="G15" s="5" t="n">
        <v>9</v>
      </c>
      <c r="H15" s="5" t="n">
        <v>2</v>
      </c>
      <c r="I15" s="5" t="n">
        <v>6</v>
      </c>
      <c r="J15" s="5" t="n">
        <v>5</v>
      </c>
      <c r="K15" s="5" t="n">
        <v>7</v>
      </c>
      <c r="L15" s="5" t="n">
        <v>4</v>
      </c>
      <c r="M15" s="5" t="n">
        <v>8</v>
      </c>
      <c r="N15" s="5" t="n">
        <v>3</v>
      </c>
      <c r="O15" s="5" t="n">
        <v>10</v>
      </c>
      <c r="P15" s="5" t="n">
        <v>1</v>
      </c>
      <c r="Q15" s="5" t="n">
        <v>9</v>
      </c>
      <c r="R15" s="5" t="n">
        <v>2</v>
      </c>
      <c r="S15" s="5" t="n">
        <v>10</v>
      </c>
      <c r="T15" s="5" t="n">
        <v>1</v>
      </c>
      <c r="U15" s="5" t="n">
        <v>10</v>
      </c>
      <c r="V15" s="5" t="n">
        <v>1</v>
      </c>
      <c r="W15" s="5" t="n">
        <v>11</v>
      </c>
      <c r="X15" s="5" t="n">
        <v>0</v>
      </c>
      <c r="Y15" s="5" t="n">
        <v>10</v>
      </c>
      <c r="Z15" s="5" t="n">
        <v>1</v>
      </c>
      <c r="AA15" s="5" t="n">
        <v>9</v>
      </c>
      <c r="AB15" s="5" t="n">
        <v>2</v>
      </c>
      <c r="AC15" s="5" t="n">
        <v>9</v>
      </c>
      <c r="AD15" s="5" t="n">
        <v>2</v>
      </c>
    </row>
    <row r="16">
      <c r="A16" s="5" t="inlineStr">
        <is>
          <t>Siemens - Advanta</t>
        </is>
      </c>
      <c r="B16" s="5" t="inlineStr">
        <is>
          <t>IT / Digital Services (Industrial Digitalization)</t>
        </is>
      </c>
      <c r="C16" s="5" t="inlineStr">
        <is>
          <t xml:space="preserve">South 1 </t>
        </is>
      </c>
      <c r="D16" s="5" t="inlineStr">
        <is>
          <t>TBH</t>
        </is>
      </c>
      <c r="E16" s="5" t="inlineStr">
        <is>
          <t>TBH</t>
        </is>
      </c>
      <c r="F16" s="5" t="inlineStr">
        <is>
          <t>Debashreeta</t>
        </is>
      </c>
      <c r="G16" s="5" t="n">
        <v>6</v>
      </c>
      <c r="H16" s="5" t="n">
        <v>5</v>
      </c>
      <c r="I16" s="5" t="n">
        <v>5</v>
      </c>
      <c r="J16" s="5" t="n">
        <v>6</v>
      </c>
      <c r="K16" s="5" t="n">
        <v>8</v>
      </c>
      <c r="L16" s="5" t="n">
        <v>3</v>
      </c>
      <c r="M16" s="5" t="n">
        <v>7</v>
      </c>
      <c r="N16" s="5" t="n">
        <v>4</v>
      </c>
      <c r="O16" s="5" t="n">
        <v>8</v>
      </c>
      <c r="P16" s="5" t="n">
        <v>3</v>
      </c>
      <c r="Q16" s="5" t="n">
        <v>6</v>
      </c>
      <c r="R16" s="5" t="n">
        <v>5</v>
      </c>
      <c r="S16" s="5" t="n">
        <v>8</v>
      </c>
      <c r="T16" s="5" t="n">
        <v>3</v>
      </c>
      <c r="U16" s="5" t="n">
        <v>6</v>
      </c>
      <c r="V16" s="5" t="n">
        <v>5</v>
      </c>
      <c r="W16" s="5" t="n">
        <v>6</v>
      </c>
      <c r="X16" s="5" t="n">
        <v>5</v>
      </c>
      <c r="Y16" s="5" t="n">
        <v>8</v>
      </c>
      <c r="Z16" s="5" t="n">
        <v>3</v>
      </c>
      <c r="AA16" s="5" t="n">
        <v>5</v>
      </c>
      <c r="AB16" s="5" t="n">
        <v>6</v>
      </c>
      <c r="AC16" s="5" t="n">
        <v>6</v>
      </c>
      <c r="AD16" s="5" t="n">
        <v>5</v>
      </c>
    </row>
    <row r="17">
      <c r="A17" s="5" t="inlineStr">
        <is>
          <t>Robert Bosch</t>
        </is>
      </c>
      <c r="B17" s="5" t="inlineStr">
        <is>
          <t>Automotive (Auto Components) / Industrial Technology</t>
        </is>
      </c>
      <c r="C17" s="5" t="inlineStr">
        <is>
          <t xml:space="preserve">South 1 </t>
        </is>
      </c>
      <c r="D17" s="5" t="inlineStr">
        <is>
          <t>TBH</t>
        </is>
      </c>
      <c r="E17" s="5" t="inlineStr">
        <is>
          <t>TBH</t>
        </is>
      </c>
      <c r="F17" s="5" t="inlineStr">
        <is>
          <t>Debashreeta</t>
        </is>
      </c>
      <c r="G17" s="5" t="n">
        <v>3</v>
      </c>
      <c r="H17" s="5" t="n">
        <v>4</v>
      </c>
      <c r="I17" s="5" t="n">
        <v>5</v>
      </c>
      <c r="J17" s="5" t="n">
        <v>2</v>
      </c>
      <c r="K17" s="5" t="n">
        <v>4</v>
      </c>
      <c r="L17" s="5" t="n">
        <v>3</v>
      </c>
      <c r="M17" s="5" t="n">
        <v>1</v>
      </c>
      <c r="N17" s="5" t="n">
        <v>2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</row>
    <row r="18" hidden="1">
      <c r="A18" s="5" t="inlineStr">
        <is>
          <t>Servify</t>
        </is>
      </c>
      <c r="B18" s="5" t="inlineStr">
        <is>
          <t>Technology (Device Lifecycle/After-sales)</t>
        </is>
      </c>
      <c r="C18" s="5" t="inlineStr">
        <is>
          <t>West 1</t>
        </is>
      </c>
      <c r="D18" s="5" t="inlineStr">
        <is>
          <t>Ashish</t>
        </is>
      </c>
      <c r="E18" s="5" t="inlineStr">
        <is>
          <t>Anjli Zutshi</t>
        </is>
      </c>
      <c r="F18" s="5" t="inlineStr">
        <is>
          <t>Vikramjeet</t>
        </is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</row>
    <row r="19" hidden="1">
      <c r="A19" s="5" t="inlineStr">
        <is>
          <t>Birla Paints</t>
        </is>
      </c>
      <c r="B19" s="5" t="inlineStr">
        <is>
          <t>Chemicals (Paints &amp; Coatings)</t>
        </is>
      </c>
      <c r="C19" s="5" t="inlineStr">
        <is>
          <t>West 1</t>
        </is>
      </c>
      <c r="D19" s="5" t="inlineStr">
        <is>
          <t>Elton</t>
        </is>
      </c>
      <c r="E19" s="5" t="inlineStr">
        <is>
          <t>Anjli Zutshi</t>
        </is>
      </c>
      <c r="F19" s="5" t="inlineStr">
        <is>
          <t>Sahil</t>
        </is>
      </c>
      <c r="G19" s="5" t="n">
        <v>5</v>
      </c>
      <c r="H19" s="5" t="n">
        <v>3</v>
      </c>
      <c r="I19" s="5" t="n">
        <v>6</v>
      </c>
      <c r="J19" s="5" t="n">
        <v>2</v>
      </c>
      <c r="K19" s="5" t="n">
        <v>7</v>
      </c>
      <c r="L19" s="5" t="n">
        <v>1</v>
      </c>
      <c r="M19" s="5" t="n">
        <v>7</v>
      </c>
      <c r="N19" s="5" t="n">
        <v>1</v>
      </c>
      <c r="O19" s="5" t="n">
        <v>5</v>
      </c>
      <c r="P19" s="5" t="n">
        <v>3</v>
      </c>
      <c r="Q19" s="5" t="n">
        <v>5</v>
      </c>
      <c r="R19" s="5" t="n">
        <v>3</v>
      </c>
      <c r="S19" s="5" t="n">
        <v>5</v>
      </c>
      <c r="T19" s="5" t="n">
        <v>3</v>
      </c>
      <c r="U19" s="5" t="n">
        <v>4</v>
      </c>
      <c r="V19" s="5" t="n">
        <v>3</v>
      </c>
      <c r="W19" s="5" t="n">
        <v>5</v>
      </c>
      <c r="X19" s="5" t="n">
        <v>3</v>
      </c>
      <c r="Y19" s="5" t="n">
        <v>4</v>
      </c>
      <c r="Z19" s="5" t="n">
        <v>4</v>
      </c>
      <c r="AA19" s="5" t="n">
        <v>5</v>
      </c>
      <c r="AB19" s="5" t="n">
        <v>3</v>
      </c>
      <c r="AC19" s="5" t="n">
        <v>5</v>
      </c>
      <c r="AD19" s="5" t="n">
        <v>3</v>
      </c>
    </row>
    <row r="20" hidden="1">
      <c r="A20" s="5" t="inlineStr">
        <is>
          <t>Ingram Micro</t>
        </is>
      </c>
      <c r="B20" s="5" t="inlineStr">
        <is>
          <t>IT (Technology Distribution)</t>
        </is>
      </c>
      <c r="C20" s="5" t="inlineStr">
        <is>
          <t>West 1</t>
        </is>
      </c>
      <c r="D20" s="5" t="inlineStr">
        <is>
          <t>Usha</t>
        </is>
      </c>
      <c r="E20" s="5" t="inlineStr">
        <is>
          <t>Anjli Zutshi</t>
        </is>
      </c>
      <c r="F20" s="5" t="inlineStr">
        <is>
          <t>Vikramjeet</t>
        </is>
      </c>
      <c r="G20" s="5" t="n">
        <v>6</v>
      </c>
      <c r="H20" s="5" t="n">
        <v>1</v>
      </c>
      <c r="I20" s="5" t="n">
        <v>6</v>
      </c>
      <c r="J20" s="5" t="n">
        <v>2</v>
      </c>
      <c r="K20" s="5" t="n">
        <v>5</v>
      </c>
      <c r="L20" s="5" t="n">
        <v>3</v>
      </c>
      <c r="M20" s="5" t="n">
        <v>6</v>
      </c>
      <c r="N20" s="5" t="n">
        <v>1</v>
      </c>
      <c r="O20" s="5" t="n">
        <v>6</v>
      </c>
      <c r="P20" s="5" t="n">
        <v>1</v>
      </c>
      <c r="Q20" s="5" t="n">
        <v>6</v>
      </c>
      <c r="R20" s="5" t="n">
        <v>1</v>
      </c>
      <c r="S20" s="5" t="n">
        <v>7</v>
      </c>
      <c r="T20" s="5" t="n">
        <v>0</v>
      </c>
      <c r="U20" s="5" t="n">
        <v>7</v>
      </c>
      <c r="V20" s="5" t="n">
        <v>0</v>
      </c>
      <c r="W20" s="5" t="n">
        <v>6</v>
      </c>
      <c r="X20" s="5" t="n">
        <v>1</v>
      </c>
      <c r="Y20" s="5" t="n">
        <v>7</v>
      </c>
      <c r="Z20" s="5" t="n">
        <v>0</v>
      </c>
      <c r="AA20" s="5" t="n">
        <v>7</v>
      </c>
      <c r="AB20" s="5" t="n">
        <v>0</v>
      </c>
      <c r="AC20" s="5" t="n">
        <v>4</v>
      </c>
      <c r="AD20" s="5" t="n">
        <v>1</v>
      </c>
    </row>
    <row r="21">
      <c r="A21" s="5" t="inlineStr">
        <is>
          <t>Wipro</t>
        </is>
      </c>
      <c r="B21" s="5" t="inlineStr">
        <is>
          <t>IT Services</t>
        </is>
      </c>
      <c r="C21" s="5" t="inlineStr">
        <is>
          <t xml:space="preserve">South 1 </t>
        </is>
      </c>
      <c r="D21" s="5" t="inlineStr">
        <is>
          <t>TBH</t>
        </is>
      </c>
      <c r="E21" s="5" t="inlineStr">
        <is>
          <t>TBH</t>
        </is>
      </c>
      <c r="F21" s="5" t="inlineStr">
        <is>
          <t>Vikramjeet</t>
        </is>
      </c>
      <c r="G21" s="5" t="n">
        <v>3</v>
      </c>
      <c r="H21" s="5" t="n">
        <v>4</v>
      </c>
      <c r="I21" s="5" t="n">
        <v>5</v>
      </c>
      <c r="J21" s="5" t="n">
        <v>2</v>
      </c>
      <c r="K21" s="5" t="n">
        <v>6</v>
      </c>
      <c r="L21" s="5" t="n">
        <v>1</v>
      </c>
      <c r="M21" s="5" t="n">
        <v>5</v>
      </c>
      <c r="N21" s="5" t="n">
        <v>2</v>
      </c>
      <c r="O21" s="5" t="n">
        <v>6</v>
      </c>
      <c r="P21" s="5" t="n">
        <v>1</v>
      </c>
      <c r="Q21" s="5" t="n">
        <v>5</v>
      </c>
      <c r="R21" s="5" t="n">
        <v>2</v>
      </c>
      <c r="S21" s="5" t="n">
        <v>7</v>
      </c>
      <c r="T21" s="5" t="n">
        <v>0</v>
      </c>
      <c r="U21" s="5" t="n">
        <v>7</v>
      </c>
      <c r="V21" s="5" t="n">
        <v>0</v>
      </c>
      <c r="W21" s="5" t="n">
        <v>5</v>
      </c>
      <c r="X21" s="5" t="n">
        <v>2</v>
      </c>
      <c r="Y21" s="5" t="n">
        <v>6</v>
      </c>
      <c r="Z21" s="5" t="n">
        <v>1</v>
      </c>
      <c r="AA21" s="5" t="n">
        <v>5</v>
      </c>
      <c r="AB21" s="5" t="n">
        <v>2</v>
      </c>
      <c r="AC21" s="5" t="n">
        <v>6</v>
      </c>
      <c r="AD21" s="5" t="n">
        <v>1</v>
      </c>
    </row>
    <row r="22" hidden="1">
      <c r="A22" s="5" t="inlineStr">
        <is>
          <t>Thyssenkrupp</t>
        </is>
      </c>
      <c r="B22" s="5" t="inlineStr">
        <is>
          <t>Industrial Manufacturing (Engineering/Metals)</t>
        </is>
      </c>
      <c r="C22" s="5" t="inlineStr">
        <is>
          <t>West 1</t>
        </is>
      </c>
      <c r="D22" s="5" t="inlineStr">
        <is>
          <t>Shweta</t>
        </is>
      </c>
      <c r="E22" s="5" t="inlineStr">
        <is>
          <t>Anjli Zutshi</t>
        </is>
      </c>
      <c r="F22" s="5" t="inlineStr">
        <is>
          <t>Himanshu Srivastava</t>
        </is>
      </c>
      <c r="G22" s="5" t="n">
        <v>5</v>
      </c>
      <c r="H22" s="5" t="n">
        <v>3</v>
      </c>
      <c r="I22" s="5" t="n">
        <v>5</v>
      </c>
      <c r="J22" s="5" t="n">
        <v>3</v>
      </c>
      <c r="K22" s="5" t="n">
        <v>4</v>
      </c>
      <c r="L22" s="5" t="n">
        <v>4</v>
      </c>
      <c r="M22" s="5" t="n">
        <v>3</v>
      </c>
      <c r="N22" s="5" t="n">
        <v>5</v>
      </c>
      <c r="O22" s="5" t="n">
        <v>3</v>
      </c>
      <c r="P22" s="5" t="n">
        <v>5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</row>
    <row r="23">
      <c r="A23" s="5" t="inlineStr">
        <is>
          <t>Siemens - Energy</t>
        </is>
      </c>
      <c r="B23" s="5" t="inlineStr">
        <is>
          <t>Energy (Power Generation/Transmission)</t>
        </is>
      </c>
      <c r="C23" s="5" t="inlineStr">
        <is>
          <t xml:space="preserve">South 1 </t>
        </is>
      </c>
      <c r="D23" s="5" t="inlineStr">
        <is>
          <t>TBH</t>
        </is>
      </c>
      <c r="E23" s="5" t="inlineStr">
        <is>
          <t>TBH</t>
        </is>
      </c>
      <c r="F23" s="5" t="inlineStr">
        <is>
          <t>Debashreeta</t>
        </is>
      </c>
      <c r="G23" s="5" t="n">
        <v>7</v>
      </c>
      <c r="H23" s="5" t="n">
        <v>4</v>
      </c>
      <c r="I23" s="5" t="n">
        <v>7</v>
      </c>
      <c r="J23" s="5" t="n">
        <v>4</v>
      </c>
      <c r="K23" s="5" t="n">
        <v>8</v>
      </c>
      <c r="L23" s="5" t="n">
        <v>3</v>
      </c>
      <c r="M23" s="5" t="n">
        <v>6</v>
      </c>
      <c r="N23" s="5" t="n">
        <v>5</v>
      </c>
      <c r="O23" s="5" t="n">
        <v>8</v>
      </c>
      <c r="P23" s="5" t="n">
        <v>3</v>
      </c>
      <c r="Q23" s="5" t="n">
        <v>8</v>
      </c>
      <c r="R23" s="5" t="n">
        <v>3</v>
      </c>
      <c r="S23" s="5" t="n">
        <v>7</v>
      </c>
      <c r="T23" s="5" t="n">
        <v>4</v>
      </c>
      <c r="U23" s="5" t="n">
        <v>7</v>
      </c>
      <c r="V23" s="5" t="n">
        <v>4</v>
      </c>
      <c r="W23" s="5" t="n">
        <v>7</v>
      </c>
      <c r="X23" s="5" t="n">
        <v>4</v>
      </c>
      <c r="Y23" s="5" t="n">
        <v>7</v>
      </c>
      <c r="Z23" s="5" t="n">
        <v>4</v>
      </c>
      <c r="AA23" s="5" t="n">
        <v>8</v>
      </c>
      <c r="AB23" s="5" t="n">
        <v>3</v>
      </c>
      <c r="AC23" s="5" t="n">
        <v>6</v>
      </c>
      <c r="AD23" s="5" t="n">
        <v>5</v>
      </c>
    </row>
    <row r="24">
      <c r="A24" s="5" t="inlineStr">
        <is>
          <t>HPE</t>
        </is>
      </c>
      <c r="B24" s="5" t="inlineStr">
        <is>
          <t>IT (Hardware/Enterprise Technology)</t>
        </is>
      </c>
      <c r="C24" s="5" t="inlineStr">
        <is>
          <t xml:space="preserve">South 1 </t>
        </is>
      </c>
      <c r="D24" s="5" t="inlineStr">
        <is>
          <t>Mahak</t>
        </is>
      </c>
      <c r="E24" s="5" t="inlineStr">
        <is>
          <t>TBH</t>
        </is>
      </c>
      <c r="F24" s="5" t="inlineStr">
        <is>
          <t>Debashreeta</t>
        </is>
      </c>
      <c r="G24" s="5" t="n">
        <v>9</v>
      </c>
      <c r="H24" s="5" t="n">
        <v>3</v>
      </c>
      <c r="I24" s="5" t="n">
        <v>12</v>
      </c>
      <c r="J24" s="5" t="n">
        <v>2</v>
      </c>
      <c r="K24" s="5" t="n">
        <v>8</v>
      </c>
      <c r="L24" s="5" t="n">
        <v>4</v>
      </c>
      <c r="M24" s="5" t="n">
        <v>10</v>
      </c>
      <c r="N24" s="5" t="n">
        <v>2</v>
      </c>
      <c r="O24" s="5" t="n">
        <v>11</v>
      </c>
      <c r="P24" s="5" t="n">
        <v>1</v>
      </c>
      <c r="Q24" s="5" t="n">
        <v>10</v>
      </c>
      <c r="R24" s="5" t="n">
        <v>2</v>
      </c>
      <c r="S24" s="5" t="n">
        <v>9</v>
      </c>
      <c r="T24" s="5" t="n">
        <v>3</v>
      </c>
      <c r="U24" s="5" t="n">
        <v>9</v>
      </c>
      <c r="V24" s="5" t="n">
        <v>3</v>
      </c>
      <c r="W24" s="5" t="n">
        <v>9</v>
      </c>
      <c r="X24" s="5" t="n">
        <v>3</v>
      </c>
      <c r="Y24" s="5" t="n">
        <v>9</v>
      </c>
      <c r="Z24" s="5" t="n">
        <v>3</v>
      </c>
      <c r="AA24" s="5" t="n">
        <v>10</v>
      </c>
      <c r="AB24" s="5" t="n">
        <v>2</v>
      </c>
      <c r="AC24" s="5" t="n">
        <v>11</v>
      </c>
      <c r="AD24" s="5" t="n">
        <v>1</v>
      </c>
    </row>
    <row r="25" hidden="1">
      <c r="A25" s="5" t="inlineStr">
        <is>
          <t>TATA Marco Polo</t>
        </is>
      </c>
      <c r="B25" s="5" t="inlineStr">
        <is>
          <t>Automotive (Bus Manufacturing)</t>
        </is>
      </c>
      <c r="C25" s="5" t="inlineStr">
        <is>
          <t>West 1</t>
        </is>
      </c>
      <c r="D25" s="5" t="inlineStr">
        <is>
          <t>Shweta</t>
        </is>
      </c>
      <c r="E25" s="5" t="inlineStr">
        <is>
          <t>Anjli Zutshi</t>
        </is>
      </c>
      <c r="F25" s="5" t="inlineStr">
        <is>
          <t>Himanshu Srivastava</t>
        </is>
      </c>
      <c r="G25" s="5" t="n">
        <v>1</v>
      </c>
      <c r="H25" s="5" t="n">
        <v>6</v>
      </c>
      <c r="I25" s="5" t="n">
        <v>3</v>
      </c>
      <c r="J25" s="5" t="n">
        <v>4</v>
      </c>
      <c r="K25" s="5" t="n">
        <v>0</v>
      </c>
      <c r="L25" s="5" t="n">
        <v>0</v>
      </c>
      <c r="M25" s="5" t="n">
        <v>4</v>
      </c>
      <c r="N25" s="5" t="n">
        <v>3</v>
      </c>
      <c r="O25" s="5" t="n">
        <v>1</v>
      </c>
      <c r="P25" s="5" t="n">
        <v>3</v>
      </c>
      <c r="Q25" s="5" t="n">
        <v>2</v>
      </c>
      <c r="R25" s="5" t="n">
        <v>3</v>
      </c>
      <c r="S25" s="5" t="n">
        <v>4</v>
      </c>
      <c r="T25" s="5" t="n">
        <v>3</v>
      </c>
      <c r="U25" s="5" t="n">
        <v>2</v>
      </c>
      <c r="V25" s="5" t="n">
        <v>4</v>
      </c>
      <c r="W25" s="5" t="n">
        <v>2</v>
      </c>
      <c r="X25" s="5" t="n">
        <v>2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</row>
    <row r="26" hidden="1">
      <c r="A26" s="5" t="inlineStr">
        <is>
          <t>WTW (Ops &amp; Tech)</t>
        </is>
      </c>
      <c r="B26" s="5" t="inlineStr">
        <is>
          <t>BFSI (Insurance/Consulting)</t>
        </is>
      </c>
      <c r="C26" s="5" t="inlineStr">
        <is>
          <t>West 1</t>
        </is>
      </c>
      <c r="D26" s="5" t="inlineStr">
        <is>
          <t>Elton</t>
        </is>
      </c>
      <c r="E26" s="5" t="inlineStr">
        <is>
          <t>Anjli Zutshi</t>
        </is>
      </c>
      <c r="F26" s="5" t="inlineStr">
        <is>
          <t>Sahil</t>
        </is>
      </c>
      <c r="G26" s="5" t="n">
        <v>4</v>
      </c>
      <c r="H26" s="5" t="n">
        <v>3</v>
      </c>
      <c r="I26" s="5" t="n">
        <v>6</v>
      </c>
      <c r="J26" s="5" t="n">
        <v>5</v>
      </c>
      <c r="K26" s="5" t="n">
        <v>5</v>
      </c>
      <c r="L26" s="5" t="n">
        <v>7</v>
      </c>
      <c r="M26" s="5" t="n">
        <v>3</v>
      </c>
      <c r="N26" s="5" t="n">
        <v>5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</row>
    <row r="27" hidden="1">
      <c r="A27" s="5" t="inlineStr">
        <is>
          <t>FedEx</t>
        </is>
      </c>
      <c r="B27" s="5" t="inlineStr">
        <is>
          <t>Logistics &amp; Transportation (Courier/Express)</t>
        </is>
      </c>
      <c r="C27" s="5" t="inlineStr">
        <is>
          <t>West 1</t>
        </is>
      </c>
      <c r="D27" s="5" t="inlineStr">
        <is>
          <t>Usha</t>
        </is>
      </c>
      <c r="E27" s="5" t="inlineStr">
        <is>
          <t>Anjli Zutshi</t>
        </is>
      </c>
      <c r="F27" s="5" t="inlineStr">
        <is>
          <t>Sahil</t>
        </is>
      </c>
      <c r="G27" s="5" t="n">
        <v>2</v>
      </c>
      <c r="H27" s="5" t="n">
        <v>5</v>
      </c>
      <c r="I27" s="5" t="n">
        <v>2</v>
      </c>
      <c r="J27" s="5" t="n">
        <v>5</v>
      </c>
      <c r="K27" s="5" t="n">
        <v>1</v>
      </c>
      <c r="L27" s="5" t="n">
        <v>4</v>
      </c>
      <c r="M27" s="5" t="n">
        <v>1</v>
      </c>
      <c r="N27" s="5" t="n">
        <v>4</v>
      </c>
      <c r="O27" s="5" t="n">
        <v>2</v>
      </c>
      <c r="P27" s="5" t="n">
        <v>5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</row>
    <row r="28" hidden="1">
      <c r="A28" s="5" t="inlineStr">
        <is>
          <t>DP World</t>
        </is>
      </c>
      <c r="B28" s="5" t="inlineStr">
        <is>
          <t>Logistics &amp; Transportation (Ports/Supply Chain)</t>
        </is>
      </c>
      <c r="C28" s="5" t="inlineStr">
        <is>
          <t>West 1</t>
        </is>
      </c>
      <c r="D28" s="5" t="inlineStr">
        <is>
          <t>Elton</t>
        </is>
      </c>
      <c r="E28" s="5" t="inlineStr">
        <is>
          <t>Anjli Zutshi</t>
        </is>
      </c>
      <c r="F28" s="5" t="inlineStr">
        <is>
          <t>Sahil/Rishab</t>
        </is>
      </c>
      <c r="G28" s="5" t="n">
        <v>1</v>
      </c>
      <c r="H28" s="5" t="n">
        <v>6</v>
      </c>
      <c r="I28" s="5" t="n">
        <v>5</v>
      </c>
      <c r="J28" s="5" t="n">
        <v>2</v>
      </c>
      <c r="K28" s="5" t="n">
        <v>0</v>
      </c>
      <c r="L28" s="5" t="n">
        <v>0</v>
      </c>
      <c r="M28" s="5" t="n">
        <v>4</v>
      </c>
      <c r="N28" s="5" t="n">
        <v>3</v>
      </c>
      <c r="O28" s="5" t="n">
        <v>4</v>
      </c>
      <c r="P28" s="5" t="n">
        <v>3</v>
      </c>
      <c r="Q28" s="5" t="n">
        <v>5</v>
      </c>
      <c r="R28" s="5" t="n">
        <v>2</v>
      </c>
      <c r="S28" s="5" t="n">
        <v>3</v>
      </c>
      <c r="T28" s="5" t="n">
        <v>4</v>
      </c>
      <c r="U28" s="5" t="n">
        <v>0</v>
      </c>
      <c r="V28" s="5" t="n">
        <v>0</v>
      </c>
      <c r="W28" s="5" t="n">
        <v>3</v>
      </c>
      <c r="X28" s="5" t="n">
        <v>4</v>
      </c>
      <c r="Y28" s="5" t="n">
        <v>5</v>
      </c>
      <c r="Z28" s="5" t="n">
        <v>2</v>
      </c>
      <c r="AA28" s="5" t="n">
        <v>5</v>
      </c>
      <c r="AB28" s="5" t="n">
        <v>2</v>
      </c>
      <c r="AC28" s="5" t="n">
        <v>0</v>
      </c>
      <c r="AD28" s="5" t="n">
        <v>0</v>
      </c>
    </row>
    <row r="29">
      <c r="A29" s="5" t="inlineStr">
        <is>
          <t>Ametek</t>
        </is>
      </c>
      <c r="B29" s="5" t="inlineStr">
        <is>
          <t>Industrial Manufacturing (Instruments/Electronics)</t>
        </is>
      </c>
      <c r="C29" s="5" t="inlineStr">
        <is>
          <t xml:space="preserve">South 1 </t>
        </is>
      </c>
      <c r="D29" s="5" t="inlineStr">
        <is>
          <t>TBH</t>
        </is>
      </c>
      <c r="E29" s="5" t="inlineStr">
        <is>
          <t>TBH</t>
        </is>
      </c>
      <c r="F29" s="5" t="inlineStr">
        <is>
          <t>Debashreeta</t>
        </is>
      </c>
      <c r="G29" s="5" t="n">
        <v>1</v>
      </c>
      <c r="H29" s="5" t="n">
        <v>4</v>
      </c>
      <c r="I29" s="5" t="n">
        <v>2</v>
      </c>
      <c r="J29" s="5" t="n">
        <v>1</v>
      </c>
      <c r="K29" s="5" t="n">
        <v>3</v>
      </c>
      <c r="L29" s="5" t="n">
        <v>2</v>
      </c>
      <c r="M29" s="5" t="n">
        <v>4</v>
      </c>
      <c r="N29" s="5" t="n">
        <v>3</v>
      </c>
      <c r="O29" s="5" t="n">
        <v>0</v>
      </c>
      <c r="P29" s="5" t="n">
        <v>0</v>
      </c>
      <c r="Q29" s="5" t="n">
        <v>4</v>
      </c>
      <c r="R29" s="5" t="n">
        <v>2</v>
      </c>
      <c r="S29" s="5" t="n">
        <v>0</v>
      </c>
      <c r="T29" s="5" t="n">
        <v>0</v>
      </c>
      <c r="U29" s="5" t="n">
        <v>3</v>
      </c>
      <c r="V29" s="5" t="n">
        <v>4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</row>
    <row r="30" hidden="1">
      <c r="A30" s="5" t="inlineStr">
        <is>
          <t>Ultratech</t>
        </is>
      </c>
      <c r="B30" s="5" t="inlineStr">
        <is>
          <t>Cement / Building Materials</t>
        </is>
      </c>
      <c r="C30" s="5" t="inlineStr">
        <is>
          <t>West 2</t>
        </is>
      </c>
      <c r="D30" s="5" t="inlineStr">
        <is>
          <t>Shweta</t>
        </is>
      </c>
      <c r="E30" s="5" t="inlineStr">
        <is>
          <t>Anjli Zutshi</t>
        </is>
      </c>
      <c r="F30" s="5" t="inlineStr">
        <is>
          <t>Himanshu Srivastava</t>
        </is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</row>
    <row r="31">
      <c r="A31" s="5" t="inlineStr">
        <is>
          <t>TATA Electronics</t>
        </is>
      </c>
      <c r="B31" s="5" t="inlineStr">
        <is>
          <t>Electronics Manufacturing</t>
        </is>
      </c>
      <c r="C31" s="5" t="inlineStr">
        <is>
          <t>South 2</t>
        </is>
      </c>
      <c r="D31" s="5" t="inlineStr">
        <is>
          <t>Krishna</t>
        </is>
      </c>
      <c r="E31" s="5" t="inlineStr">
        <is>
          <t>TBH</t>
        </is>
      </c>
      <c r="F31" s="5" t="inlineStr">
        <is>
          <t>Vikramjeet</t>
        </is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2</v>
      </c>
      <c r="M31" s="5" t="n">
        <v>3</v>
      </c>
      <c r="N31" s="5" t="n">
        <v>1</v>
      </c>
      <c r="O31" s="5" t="n">
        <v>3</v>
      </c>
      <c r="P31" s="5" t="n">
        <v>1</v>
      </c>
      <c r="Q31" s="5" t="n">
        <v>3</v>
      </c>
      <c r="R31" s="5" t="n">
        <v>1</v>
      </c>
      <c r="S31" s="5" t="n">
        <v>2</v>
      </c>
      <c r="T31" s="5" t="n">
        <v>2</v>
      </c>
      <c r="U31" s="5" t="n">
        <v>3</v>
      </c>
      <c r="V31" s="5" t="n">
        <v>1</v>
      </c>
      <c r="W31" s="5" t="n">
        <v>2</v>
      </c>
      <c r="X31" s="5" t="n">
        <v>2</v>
      </c>
      <c r="Y31" s="5" t="n">
        <v>2</v>
      </c>
      <c r="Z31" s="5" t="n">
        <v>2</v>
      </c>
      <c r="AA31" s="5" t="n">
        <v>3</v>
      </c>
      <c r="AB31" s="5" t="n">
        <v>1</v>
      </c>
      <c r="AC31" s="5" t="n">
        <v>3</v>
      </c>
      <c r="AD31" s="5" t="n">
        <v>1</v>
      </c>
    </row>
    <row r="32" hidden="1">
      <c r="A32" s="5" t="inlineStr">
        <is>
          <t>AMNS</t>
        </is>
      </c>
      <c r="B32" s="5" t="inlineStr">
        <is>
          <t>Metals &amp; Mining (Steel)</t>
        </is>
      </c>
      <c r="C32" s="5" t="inlineStr">
        <is>
          <t>West 1</t>
        </is>
      </c>
      <c r="D32" s="5" t="inlineStr">
        <is>
          <t>Bikash/Piyush</t>
        </is>
      </c>
      <c r="E32" s="5" t="inlineStr">
        <is>
          <t>Anjli Zutshi</t>
        </is>
      </c>
      <c r="F32" s="5" t="inlineStr">
        <is>
          <t>Sahil/Rishab</t>
        </is>
      </c>
      <c r="G32" s="5" t="n">
        <v>4</v>
      </c>
      <c r="H32" s="5" t="n">
        <v>3</v>
      </c>
      <c r="I32" s="5" t="n">
        <v>3</v>
      </c>
      <c r="J32" s="5" t="n">
        <v>4</v>
      </c>
      <c r="K32" s="5" t="n">
        <v>2</v>
      </c>
      <c r="L32" s="5" t="n">
        <v>5</v>
      </c>
      <c r="M32" s="5" t="n">
        <v>3</v>
      </c>
      <c r="N32" s="5" t="n">
        <v>4</v>
      </c>
      <c r="O32" s="5" t="n">
        <v>3</v>
      </c>
      <c r="P32" s="5" t="n">
        <v>4</v>
      </c>
      <c r="Q32" s="5" t="n">
        <v>4</v>
      </c>
      <c r="R32" s="5" t="n">
        <v>3</v>
      </c>
      <c r="S32" s="5" t="n">
        <v>2</v>
      </c>
      <c r="T32" s="5" t="n">
        <v>5</v>
      </c>
      <c r="U32" s="5" t="n">
        <v>3</v>
      </c>
      <c r="V32" s="5" t="n">
        <v>4</v>
      </c>
      <c r="W32" s="5" t="n">
        <v>2</v>
      </c>
      <c r="X32" s="5" t="n">
        <v>5</v>
      </c>
      <c r="Y32" s="5" t="n">
        <v>2</v>
      </c>
      <c r="Z32" s="5" t="n">
        <v>5</v>
      </c>
      <c r="AA32" s="5" t="n">
        <v>1</v>
      </c>
      <c r="AB32" s="5" t="n">
        <v>6</v>
      </c>
      <c r="AC32" s="5" t="n">
        <v>2</v>
      </c>
      <c r="AD32" s="5" t="n">
        <v>5</v>
      </c>
    </row>
    <row r="33">
      <c r="A33" s="5" t="inlineStr">
        <is>
          <t>TITAN</t>
        </is>
      </c>
      <c r="B33" s="5" t="inlineStr">
        <is>
          <t>Retail (Watches &amp; Jewellery)</t>
        </is>
      </c>
      <c r="C33" s="5" t="inlineStr">
        <is>
          <t xml:space="preserve">South 1 </t>
        </is>
      </c>
      <c r="D33" s="5" t="inlineStr">
        <is>
          <t>TBH</t>
        </is>
      </c>
      <c r="E33" s="5" t="inlineStr">
        <is>
          <t>TBH</t>
        </is>
      </c>
      <c r="F33" s="5" t="inlineStr">
        <is>
          <t>Debashreeta</t>
        </is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</row>
    <row r="34" hidden="1">
      <c r="A34" s="5" t="inlineStr">
        <is>
          <t>Jindal</t>
        </is>
      </c>
      <c r="B34" s="5" t="inlineStr">
        <is>
          <t>Metals &amp; Mining (Steel)</t>
        </is>
      </c>
      <c r="C34" s="5" t="inlineStr">
        <is>
          <t>North</t>
        </is>
      </c>
      <c r="D34" s="5" t="inlineStr">
        <is>
          <t>Archana Trikha</t>
        </is>
      </c>
      <c r="E34" s="5" t="inlineStr">
        <is>
          <t>Anjli Zutshi</t>
        </is>
      </c>
      <c r="F34" s="5" t="inlineStr">
        <is>
          <t>Rishab</t>
        </is>
      </c>
      <c r="G34" s="5" t="n">
        <v>6</v>
      </c>
      <c r="H34" s="5" t="n">
        <v>2</v>
      </c>
      <c r="I34" s="5" t="n">
        <v>7</v>
      </c>
      <c r="J34" s="5" t="n">
        <v>1</v>
      </c>
      <c r="K34" s="5" t="n">
        <v>3</v>
      </c>
      <c r="L34" s="5" t="n">
        <v>5</v>
      </c>
      <c r="M34" s="5" t="n">
        <v>4</v>
      </c>
      <c r="N34" s="5" t="n">
        <v>4</v>
      </c>
      <c r="O34" s="5" t="n">
        <v>6</v>
      </c>
      <c r="P34" s="5" t="n">
        <v>2</v>
      </c>
      <c r="Q34" s="5" t="n">
        <v>6</v>
      </c>
      <c r="R34" s="5" t="n">
        <v>2</v>
      </c>
      <c r="S34" s="5" t="n">
        <v>3</v>
      </c>
      <c r="T34" s="5" t="n">
        <v>5</v>
      </c>
      <c r="U34" s="5" t="n">
        <v>7</v>
      </c>
      <c r="V34" s="5" t="n">
        <v>1</v>
      </c>
      <c r="W34" s="5" t="n">
        <v>6</v>
      </c>
      <c r="X34" s="5" t="n">
        <v>2</v>
      </c>
      <c r="Y34" s="5" t="n">
        <v>4</v>
      </c>
      <c r="Z34" s="5" t="n">
        <v>3</v>
      </c>
      <c r="AA34" s="5" t="n">
        <v>4</v>
      </c>
      <c r="AB34" s="5" t="n">
        <v>3</v>
      </c>
      <c r="AC34" s="5" t="n">
        <v>4</v>
      </c>
      <c r="AD34" s="5" t="n">
        <v>3</v>
      </c>
    </row>
    <row r="35" hidden="1">
      <c r="A35" s="5" t="inlineStr">
        <is>
          <t>TATA Tele</t>
        </is>
      </c>
      <c r="B35" s="5" t="inlineStr">
        <is>
          <t>Telecom</t>
        </is>
      </c>
      <c r="C35" s="5" t="inlineStr">
        <is>
          <t>West 1</t>
        </is>
      </c>
      <c r="D35" s="5" t="inlineStr">
        <is>
          <t>Elton</t>
        </is>
      </c>
      <c r="E35" s="5" t="inlineStr">
        <is>
          <t>Anjli Zutshi</t>
        </is>
      </c>
      <c r="F35" s="5" t="inlineStr">
        <is>
          <t>Sahil</t>
        </is>
      </c>
      <c r="G35" s="5" t="n">
        <v>4</v>
      </c>
      <c r="H35" s="5" t="n">
        <v>3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</row>
    <row r="36">
      <c r="A36" s="5" t="inlineStr">
        <is>
          <t>NomiSo</t>
        </is>
      </c>
      <c r="B36" s="5" t="inlineStr">
        <is>
          <t>Retail (Lifestyle/Variety)</t>
        </is>
      </c>
      <c r="C36" s="5" t="inlineStr">
        <is>
          <t>South 2</t>
        </is>
      </c>
      <c r="D36" s="5" t="inlineStr">
        <is>
          <t>Ashish</t>
        </is>
      </c>
      <c r="E36" s="5" t="inlineStr">
        <is>
          <t>TBH</t>
        </is>
      </c>
      <c r="F36" s="5" t="inlineStr">
        <is>
          <t>Vikramjeet</t>
        </is>
      </c>
      <c r="G36" s="5" t="n">
        <v>2</v>
      </c>
      <c r="H36" s="5" t="n">
        <v>5</v>
      </c>
      <c r="I36" s="5" t="n">
        <v>1</v>
      </c>
      <c r="J36" s="5" t="n">
        <v>6</v>
      </c>
      <c r="K36" s="5" t="n">
        <v>3</v>
      </c>
      <c r="L36" s="5" t="n">
        <v>4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</row>
    <row r="37">
      <c r="A37" s="5" t="inlineStr">
        <is>
          <t>Royal Enfield</t>
        </is>
      </c>
      <c r="B37" s="5" t="inlineStr">
        <is>
          <t>Automotive (Two-Wheeler OEM)</t>
        </is>
      </c>
      <c r="C37" s="5" t="inlineStr">
        <is>
          <t>South 2</t>
        </is>
      </c>
      <c r="D37" s="5" t="inlineStr">
        <is>
          <t>Krishna</t>
        </is>
      </c>
      <c r="E37" s="5" t="inlineStr">
        <is>
          <t>TBH</t>
        </is>
      </c>
      <c r="F37" s="5" t="inlineStr">
        <is>
          <t>Vikramjeet</t>
        </is>
      </c>
      <c r="G37" s="5" t="n">
        <v>0</v>
      </c>
      <c r="H37" s="5" t="n">
        <v>0</v>
      </c>
      <c r="I37" s="5" t="n">
        <v>3</v>
      </c>
      <c r="J37" s="5" t="n">
        <v>2</v>
      </c>
      <c r="K37" s="5" t="n">
        <v>3</v>
      </c>
      <c r="L37" s="5" t="n">
        <v>4</v>
      </c>
      <c r="M37" s="5" t="n">
        <v>2</v>
      </c>
      <c r="N37" s="5" t="n">
        <v>5</v>
      </c>
      <c r="O37" s="5" t="n">
        <v>3</v>
      </c>
      <c r="P37" s="5" t="n">
        <v>4</v>
      </c>
      <c r="Q37" s="5" t="n">
        <v>1</v>
      </c>
      <c r="R37" s="5" t="n">
        <v>3</v>
      </c>
      <c r="S37" s="5" t="n">
        <v>0</v>
      </c>
      <c r="T37" s="5" t="n">
        <v>4</v>
      </c>
      <c r="U37" s="5" t="n">
        <v>1</v>
      </c>
      <c r="V37" s="5" t="n">
        <v>6</v>
      </c>
      <c r="W37" s="5" t="n">
        <v>1</v>
      </c>
      <c r="X37" s="5" t="n">
        <v>5</v>
      </c>
      <c r="Y37" s="5" t="n">
        <v>2</v>
      </c>
      <c r="Z37" s="5" t="n">
        <v>4</v>
      </c>
      <c r="AA37" s="5" t="n">
        <v>2</v>
      </c>
      <c r="AB37" s="5" t="n">
        <v>5</v>
      </c>
      <c r="AC37" s="5" t="n">
        <v>3</v>
      </c>
      <c r="AD37" s="5" t="n">
        <v>4</v>
      </c>
    </row>
    <row r="38" hidden="1">
      <c r="A38" s="5" t="inlineStr">
        <is>
          <t>SBI Card</t>
        </is>
      </c>
      <c r="B38" s="5" t="inlineStr">
        <is>
          <t>BFSI (Cards/Payments)</t>
        </is>
      </c>
      <c r="C38" s="5" t="inlineStr">
        <is>
          <t>North</t>
        </is>
      </c>
      <c r="D38" s="5" t="inlineStr">
        <is>
          <t>Archana Trikha</t>
        </is>
      </c>
      <c r="E38" s="5" t="inlineStr">
        <is>
          <t>Anjli Zutshi</t>
        </is>
      </c>
      <c r="F38" s="5" t="inlineStr">
        <is>
          <t>Vikramjeet</t>
        </is>
      </c>
      <c r="G38" s="5" t="n">
        <v>1</v>
      </c>
      <c r="H38" s="5" t="n">
        <v>3</v>
      </c>
      <c r="I38" s="5" t="n">
        <v>4</v>
      </c>
      <c r="J38" s="5" t="n">
        <v>3</v>
      </c>
      <c r="K38" s="5" t="n">
        <v>4</v>
      </c>
      <c r="L38" s="5" t="n">
        <v>3</v>
      </c>
      <c r="M38" s="5" t="n">
        <v>5</v>
      </c>
      <c r="N38" s="5" t="n">
        <v>2</v>
      </c>
      <c r="O38" s="5" t="n">
        <v>7</v>
      </c>
      <c r="P38" s="5" t="n">
        <v>2</v>
      </c>
      <c r="Q38" s="5" t="n">
        <v>9</v>
      </c>
      <c r="R38" s="5" t="n">
        <v>2</v>
      </c>
      <c r="S38" s="5" t="n">
        <v>6</v>
      </c>
      <c r="T38" s="5" t="n">
        <v>4</v>
      </c>
      <c r="U38" s="5" t="n">
        <v>8</v>
      </c>
      <c r="V38" s="5" t="n">
        <v>1</v>
      </c>
      <c r="W38" s="5" t="n">
        <v>6</v>
      </c>
      <c r="X38" s="5" t="n">
        <v>2</v>
      </c>
      <c r="Y38" s="5" t="n">
        <v>5</v>
      </c>
      <c r="Z38" s="5" t="n">
        <v>2</v>
      </c>
      <c r="AA38" s="5" t="n">
        <v>6</v>
      </c>
      <c r="AB38" s="5" t="n">
        <v>2</v>
      </c>
      <c r="AC38" s="5" t="n">
        <v>5</v>
      </c>
      <c r="AD38" s="5" t="n">
        <v>2</v>
      </c>
    </row>
    <row r="39" hidden="1">
      <c r="A39" s="5" t="inlineStr">
        <is>
          <t>Schaeffler</t>
        </is>
      </c>
      <c r="B39" s="5" t="inlineStr">
        <is>
          <t>Automotive (Auto Components) / Industrial Technology</t>
        </is>
      </c>
      <c r="C39" s="5" t="inlineStr">
        <is>
          <t>West 2</t>
        </is>
      </c>
      <c r="D39" s="5" t="inlineStr">
        <is>
          <t>Shweta</t>
        </is>
      </c>
      <c r="E39" s="5" t="inlineStr">
        <is>
          <t>Anjli Zutshi</t>
        </is>
      </c>
      <c r="F39" s="5" t="inlineStr">
        <is>
          <t>Himanshu Srivastava</t>
        </is>
      </c>
      <c r="G39" s="5" t="n">
        <v>6</v>
      </c>
      <c r="H39" s="5" t="n">
        <v>2</v>
      </c>
      <c r="I39" s="5" t="n">
        <v>5</v>
      </c>
      <c r="J39" s="5" t="n">
        <v>3</v>
      </c>
      <c r="K39" s="5" t="n">
        <v>5</v>
      </c>
      <c r="L39" s="5" t="n">
        <v>3</v>
      </c>
      <c r="M39" s="5" t="n">
        <v>4</v>
      </c>
      <c r="N39" s="5" t="n">
        <v>4</v>
      </c>
      <c r="O39" s="5" t="n">
        <v>5</v>
      </c>
      <c r="P39" s="5" t="n">
        <v>3</v>
      </c>
      <c r="Q39" s="5" t="n">
        <v>4</v>
      </c>
      <c r="R39" s="5" t="n">
        <v>4</v>
      </c>
      <c r="S39" s="5" t="n">
        <v>4</v>
      </c>
      <c r="T39" s="5" t="n">
        <v>4</v>
      </c>
      <c r="U39" s="5" t="n">
        <v>5</v>
      </c>
      <c r="V39" s="5" t="n">
        <v>3</v>
      </c>
      <c r="W39" s="5" t="n">
        <v>0</v>
      </c>
      <c r="X39" s="5" t="n">
        <v>0</v>
      </c>
      <c r="Y39" s="5" t="n">
        <v>5</v>
      </c>
      <c r="Z39" s="5" t="n">
        <v>3</v>
      </c>
      <c r="AA39" s="5" t="n">
        <v>3</v>
      </c>
      <c r="AB39" s="5" t="n">
        <v>5</v>
      </c>
      <c r="AC39" s="5" t="n">
        <v>4</v>
      </c>
      <c r="AD39" s="5" t="n">
        <v>4</v>
      </c>
    </row>
    <row r="40">
      <c r="A40" s="5" t="inlineStr">
        <is>
          <t>Excelacom</t>
        </is>
      </c>
      <c r="B40" s="5" t="inlineStr">
        <is>
          <t>IT / Telecom Software</t>
        </is>
      </c>
      <c r="C40" s="5" t="inlineStr">
        <is>
          <t>South 2</t>
        </is>
      </c>
      <c r="D40" s="5" t="inlineStr">
        <is>
          <t>Krishna</t>
        </is>
      </c>
      <c r="E40" s="5" t="inlineStr">
        <is>
          <t>TBH</t>
        </is>
      </c>
      <c r="F40" s="5" t="inlineStr">
        <is>
          <t>Vikramjeet</t>
        </is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1</v>
      </c>
      <c r="L40" s="5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5</v>
      </c>
      <c r="V40" s="5" t="n">
        <v>2</v>
      </c>
      <c r="W40" s="5" t="n">
        <v>3</v>
      </c>
      <c r="X40" s="5" t="n">
        <v>4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</row>
    <row r="41" hidden="1">
      <c r="A41" s="5" t="inlineStr">
        <is>
          <t>Hyundai</t>
        </is>
      </c>
      <c r="B41" s="5" t="inlineStr">
        <is>
          <t>Automotive (OEM)</t>
        </is>
      </c>
      <c r="C41" s="5" t="inlineStr">
        <is>
          <t>West 2</t>
        </is>
      </c>
      <c r="D41" s="5" t="inlineStr">
        <is>
          <t>Shweta</t>
        </is>
      </c>
      <c r="E41" s="5" t="inlineStr">
        <is>
          <t>Anjli Zutshi</t>
        </is>
      </c>
      <c r="F41" s="5" t="inlineStr">
        <is>
          <t>Himanshu Srivastava</t>
        </is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3</v>
      </c>
      <c r="L41" s="5" t="n">
        <v>4</v>
      </c>
      <c r="M41" s="5" t="n">
        <v>0</v>
      </c>
      <c r="N41" s="5" t="n">
        <v>1</v>
      </c>
      <c r="O41" s="5" t="n">
        <v>4</v>
      </c>
      <c r="P41" s="5" t="n">
        <v>2</v>
      </c>
      <c r="Q41" s="5" t="n">
        <v>3</v>
      </c>
      <c r="R41" s="5" t="n">
        <v>3</v>
      </c>
      <c r="S41" s="5" t="n">
        <v>0</v>
      </c>
      <c r="T41" s="5" t="n">
        <v>0</v>
      </c>
      <c r="U41" s="5" t="n">
        <v>2</v>
      </c>
      <c r="V41" s="5" t="n">
        <v>4</v>
      </c>
      <c r="W41" s="5" t="n">
        <v>1</v>
      </c>
      <c r="X41" s="5" t="n">
        <v>5</v>
      </c>
      <c r="Y41" s="5" t="n">
        <v>2</v>
      </c>
      <c r="Z41" s="5" t="n">
        <v>4</v>
      </c>
      <c r="AA41" s="5" t="n">
        <v>3</v>
      </c>
      <c r="AB41" s="5" t="n">
        <v>3</v>
      </c>
      <c r="AC41" s="5" t="n">
        <v>2</v>
      </c>
      <c r="AD41" s="5" t="n">
        <v>4</v>
      </c>
    </row>
    <row r="42" hidden="1">
      <c r="A42" s="5" t="inlineStr">
        <is>
          <t>Maruti Suzuki</t>
        </is>
      </c>
      <c r="B42" s="5" t="inlineStr">
        <is>
          <t>Automotive (OEM)</t>
        </is>
      </c>
      <c r="C42" s="5" t="inlineStr">
        <is>
          <t>North</t>
        </is>
      </c>
      <c r="D42" s="5" t="inlineStr">
        <is>
          <t>Archana Trikha</t>
        </is>
      </c>
      <c r="E42" s="5" t="inlineStr">
        <is>
          <t>Anjli Zutshi</t>
        </is>
      </c>
      <c r="F42" s="5" t="inlineStr">
        <is>
          <t>Rishab</t>
        </is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</row>
    <row r="43" hidden="1">
      <c r="A43" s="5" t="inlineStr">
        <is>
          <t>TATA Fiber</t>
        </is>
      </c>
      <c r="B43" s="5" t="inlineStr">
        <is>
          <t>Telecom (Fiber/Infrastructure)</t>
        </is>
      </c>
      <c r="C43" s="5" t="inlineStr">
        <is>
          <t>West 1</t>
        </is>
      </c>
      <c r="D43" s="5" t="inlineStr">
        <is>
          <t>Usha</t>
        </is>
      </c>
      <c r="E43" s="5" t="inlineStr">
        <is>
          <t>Anjli Zutshi</t>
        </is>
      </c>
      <c r="F43" s="5" t="inlineStr">
        <is>
          <t>Sahil</t>
        </is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3</v>
      </c>
      <c r="V43" s="5" t="n">
        <v>3</v>
      </c>
      <c r="W43" s="5" t="n">
        <v>1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</row>
    <row r="44" hidden="1">
      <c r="A44" s="5" t="inlineStr">
        <is>
          <t>TATA Consumer</t>
        </is>
      </c>
      <c r="B44" s="5" t="inlineStr">
        <is>
          <t>FMCG / Consumer Goods</t>
        </is>
      </c>
      <c r="C44" s="5" t="inlineStr">
        <is>
          <t>West 1</t>
        </is>
      </c>
      <c r="D44" s="5" t="inlineStr">
        <is>
          <t>Usha</t>
        </is>
      </c>
      <c r="E44" s="5" t="inlineStr">
        <is>
          <t>Anjli Zutshi</t>
        </is>
      </c>
      <c r="F44" s="5" t="inlineStr">
        <is>
          <t>Sahil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7</v>
      </c>
      <c r="P44" s="5" t="n">
        <v>2</v>
      </c>
      <c r="Q44" s="5" t="n">
        <v>7</v>
      </c>
      <c r="R44" s="5" t="n">
        <v>2</v>
      </c>
      <c r="S44" s="5" t="n">
        <v>7</v>
      </c>
      <c r="T44" s="5" t="n">
        <v>3</v>
      </c>
      <c r="U44" s="5" t="n">
        <v>5</v>
      </c>
      <c r="V44" s="5" t="n">
        <v>5</v>
      </c>
      <c r="W44" s="5" t="n">
        <v>5</v>
      </c>
      <c r="X44" s="5" t="n">
        <v>5</v>
      </c>
      <c r="Y44" s="5" t="n">
        <v>7</v>
      </c>
      <c r="Z44" s="5" t="n">
        <v>3</v>
      </c>
      <c r="AA44" s="5" t="n">
        <v>7</v>
      </c>
      <c r="AB44" s="5" t="n">
        <v>3</v>
      </c>
      <c r="AC44" s="5" t="n">
        <v>9</v>
      </c>
      <c r="AD44" s="5" t="n">
        <v>2</v>
      </c>
    </row>
    <row r="45" hidden="1">
      <c r="A45" s="5" t="inlineStr">
        <is>
          <t>Atomberg</t>
        </is>
      </c>
      <c r="B45" s="5" t="inlineStr">
        <is>
          <t>Consumer Durables / Electronics (Home Appliances)</t>
        </is>
      </c>
      <c r="C45" s="5" t="inlineStr">
        <is>
          <t>West 1</t>
        </is>
      </c>
      <c r="D45" s="5" t="inlineStr">
        <is>
          <t>Elton</t>
        </is>
      </c>
      <c r="E45" s="5" t="inlineStr">
        <is>
          <t>Anjli Zutshi</t>
        </is>
      </c>
      <c r="F45" s="5" t="inlineStr">
        <is>
          <t>Sahil</t>
        </is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15</v>
      </c>
      <c r="X45" s="5" t="n">
        <v>18</v>
      </c>
      <c r="Y45" s="5" t="n">
        <v>22</v>
      </c>
      <c r="Z45" s="5" t="n">
        <v>14</v>
      </c>
      <c r="AA45" s="5" t="n">
        <v>19</v>
      </c>
      <c r="AB45" s="5" t="n">
        <v>14</v>
      </c>
      <c r="AC45" s="5" t="n">
        <v>19</v>
      </c>
      <c r="AD45" s="5" t="n">
        <v>15</v>
      </c>
    </row>
    <row r="46" hidden="1">
      <c r="A46" s="5" t="inlineStr">
        <is>
          <t>Subros</t>
        </is>
      </c>
      <c r="B46" s="5" t="inlineStr">
        <is>
          <t>Automotive (Auto Components / HVAC)</t>
        </is>
      </c>
      <c r="C46" s="5" t="inlineStr">
        <is>
          <t>North</t>
        </is>
      </c>
      <c r="D46" s="5" t="inlineStr">
        <is>
          <t>Archana Trikha</t>
        </is>
      </c>
      <c r="E46" s="5" t="inlineStr">
        <is>
          <t>Anjli Zutshi</t>
        </is>
      </c>
      <c r="F46" s="5" t="inlineStr">
        <is>
          <t>Rishab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2</v>
      </c>
      <c r="Z46" s="5" t="n">
        <v>1</v>
      </c>
      <c r="AA46" s="5" t="n">
        <v>1</v>
      </c>
      <c r="AB46" s="5" t="n">
        <v>2</v>
      </c>
      <c r="AC46" s="5" t="n">
        <v>4</v>
      </c>
      <c r="AD46" s="5" t="n">
        <v>4</v>
      </c>
    </row>
    <row r="47" hidden="1">
      <c r="A47" s="5" t="inlineStr">
        <is>
          <t>Sterling tools</t>
        </is>
      </c>
      <c r="B47" s="5" t="inlineStr">
        <is>
          <t>Automotive (Auto Components)</t>
        </is>
      </c>
      <c r="C47" s="5" t="inlineStr">
        <is>
          <t>North</t>
        </is>
      </c>
      <c r="D47" s="5" t="inlineStr">
        <is>
          <t>Archana Trikha</t>
        </is>
      </c>
      <c r="E47" s="5" t="inlineStr">
        <is>
          <t>Anjli Zutshi</t>
        </is>
      </c>
      <c r="F47" s="5" t="inlineStr">
        <is>
          <t>Rishab</t>
        </is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</row>
    <row r="48">
      <c r="A48" s="5" t="inlineStr">
        <is>
          <t>Ashok Leyland</t>
        </is>
      </c>
      <c r="B48" s="5" t="inlineStr">
        <is>
          <t>Automotive (Commercial Vehicles)</t>
        </is>
      </c>
      <c r="C48" s="5" t="inlineStr">
        <is>
          <t>South 2</t>
        </is>
      </c>
      <c r="D48" s="5" t="inlineStr">
        <is>
          <t>Krishna</t>
        </is>
      </c>
      <c r="E48" s="5" t="inlineStr">
        <is>
          <t>TBH</t>
        </is>
      </c>
      <c r="F48" s="5" t="inlineStr">
        <is>
          <t>Sahil</t>
        </is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</row>
    <row r="49"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</sheetData>
  <autoFilter ref="A1:AD48">
    <filterColumn colId="4" hiddenButton="0" showButton="1">
      <filters>
        <filter val="Sulabh Aror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9"/>
  <sheetViews>
    <sheetView tabSelected="1" topLeftCell="M1" workbookViewId="0">
      <selection activeCell="C1" activeCellId="1" sqref="A1:A1048576 C1:AB1048576"/>
    </sheetView>
  </sheetViews>
  <sheetFormatPr baseColWidth="8" defaultRowHeight="15"/>
  <cols>
    <col width="17.7109375" bestFit="1" customWidth="1" min="1" max="1"/>
    <col width="51.5703125" bestFit="1" customWidth="1" min="2" max="2"/>
    <col width="8" bestFit="1" customWidth="1" min="3" max="3"/>
    <col width="14.140625" bestFit="1" customWidth="1" min="4" max="4"/>
    <col width="14.28515625" bestFit="1" customWidth="1" min="5" max="5"/>
    <col width="28.85546875" bestFit="1" customWidth="1" min="6" max="6"/>
    <col width="8.85546875" bestFit="1" customWidth="1" min="7" max="7"/>
    <col width="13.28515625" bestFit="1" customWidth="1" min="8" max="8"/>
    <col width="9.5703125" bestFit="1" customWidth="1" min="9" max="9"/>
    <col width="14" bestFit="1" customWidth="1" min="10" max="10"/>
    <col width="8.7109375" bestFit="1" customWidth="1" min="11" max="11"/>
    <col width="13.140625" bestFit="1" customWidth="1" min="12" max="12"/>
    <col width="8.140625" bestFit="1" customWidth="1" min="13" max="13"/>
    <col width="12.42578125" bestFit="1" customWidth="1" min="14" max="14"/>
    <col width="9.140625" bestFit="1" customWidth="1" min="15" max="15"/>
    <col width="13.5703125" bestFit="1" customWidth="1" min="16" max="16"/>
    <col width="9" bestFit="1" customWidth="1" min="17" max="17"/>
    <col width="13.42578125" bestFit="1" customWidth="1" min="18" max="18"/>
    <col width="8.7109375" bestFit="1" customWidth="1" min="19" max="19"/>
    <col width="13.140625" bestFit="1" customWidth="1" min="20" max="20"/>
    <col width="9.28515625" bestFit="1" customWidth="1" min="21" max="21"/>
    <col width="13.7109375" bestFit="1" customWidth="1" min="22" max="22"/>
    <col width="9" bestFit="1" customWidth="1" min="23" max="23"/>
    <col width="13.42578125" bestFit="1" customWidth="1" min="24" max="24"/>
    <col width="8.5703125" bestFit="1" customWidth="1" min="25" max="25"/>
    <col width="12.85546875" bestFit="1" customWidth="1" min="26" max="26"/>
    <col width="9" bestFit="1" customWidth="1" min="27" max="27"/>
    <col width="13.42578125" bestFit="1" customWidth="1" min="28" max="28"/>
  </cols>
  <sheetData>
    <row r="1">
      <c r="A1" s="2" t="inlineStr">
        <is>
          <t>Project</t>
        </is>
      </c>
      <c r="B1" s="2" t="inlineStr">
        <is>
          <t xml:space="preserve">Industry Type </t>
        </is>
      </c>
      <c r="C1" s="2" t="inlineStr">
        <is>
          <t>Region</t>
        </is>
      </c>
      <c r="D1" s="2" t="inlineStr">
        <is>
          <t>Practice Head</t>
        </is>
      </c>
      <c r="E1" s="2" t="inlineStr">
        <is>
          <t xml:space="preserve">Regional Head </t>
        </is>
      </c>
      <c r="F1" s="2" t="inlineStr">
        <is>
          <t>BE SPOC</t>
        </is>
      </c>
      <c r="G1" s="2" t="inlineStr">
        <is>
          <t>Apr_Met</t>
        </is>
      </c>
      <c r="H1" s="2" t="inlineStr">
        <is>
          <t>Apr_Not_Met</t>
        </is>
      </c>
      <c r="I1" s="2" t="inlineStr">
        <is>
          <t>May_Met</t>
        </is>
      </c>
      <c r="J1" s="2" t="inlineStr">
        <is>
          <t>May_Not_Met</t>
        </is>
      </c>
      <c r="K1" s="2" t="inlineStr">
        <is>
          <t>Jun_Met</t>
        </is>
      </c>
      <c r="L1" s="2" t="inlineStr">
        <is>
          <t>Jun_Not_Met</t>
        </is>
      </c>
      <c r="M1" s="2" t="inlineStr">
        <is>
          <t>Jul_Met</t>
        </is>
      </c>
      <c r="N1" s="2" t="inlineStr">
        <is>
          <t>Jul_Not_Met</t>
        </is>
      </c>
      <c r="O1" s="2" t="inlineStr">
        <is>
          <t>Aug_Met</t>
        </is>
      </c>
      <c r="P1" s="2" t="inlineStr">
        <is>
          <t>Aug_Not_Met</t>
        </is>
      </c>
      <c r="Q1" s="2" t="inlineStr">
        <is>
          <t>Sep_Met</t>
        </is>
      </c>
      <c r="R1" s="2" t="inlineStr">
        <is>
          <t>Sep_Not_Met</t>
        </is>
      </c>
      <c r="S1" s="2" t="inlineStr">
        <is>
          <t>Oct_Met</t>
        </is>
      </c>
      <c r="T1" s="2" t="inlineStr">
        <is>
          <t>Oct_Not_Met</t>
        </is>
      </c>
      <c r="U1" s="2" t="inlineStr">
        <is>
          <t>Nov_Met</t>
        </is>
      </c>
      <c r="V1" s="2" t="inlineStr">
        <is>
          <t>Nov_Not_Met</t>
        </is>
      </c>
      <c r="W1" s="2" t="inlineStr">
        <is>
          <t>Dec_Met</t>
        </is>
      </c>
      <c r="X1" s="2" t="inlineStr">
        <is>
          <t>Dec_Not_Met</t>
        </is>
      </c>
      <c r="Y1" s="2" t="inlineStr">
        <is>
          <t>Jan_Met</t>
        </is>
      </c>
      <c r="Z1" s="2" t="inlineStr">
        <is>
          <t>Jan_Not_Met</t>
        </is>
      </c>
      <c r="AA1" s="2" t="inlineStr">
        <is>
          <t>Feb_Met</t>
        </is>
      </c>
      <c r="AB1" s="2" t="inlineStr">
        <is>
          <t>Feb_Not_Met</t>
        </is>
      </c>
    </row>
    <row r="2">
      <c r="A2" s="87" t="inlineStr">
        <is>
          <t>Ambuja Cement</t>
        </is>
      </c>
      <c r="B2" s="5" t="inlineStr">
        <is>
          <t>Cement / Building Materials</t>
        </is>
      </c>
      <c r="C2" s="5" t="inlineStr">
        <is>
          <t>West 1</t>
        </is>
      </c>
      <c r="D2" s="5" t="inlineStr">
        <is>
          <t>Elton</t>
        </is>
      </c>
      <c r="E2" s="5" t="inlineStr">
        <is>
          <t>Anjli Zutshi</t>
        </is>
      </c>
      <c r="F2" s="5" t="inlineStr">
        <is>
          <t>Sahil, Debashreeta &amp; Mandeep</t>
        </is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3</v>
      </c>
      <c r="X2" s="5" t="n">
        <v>5</v>
      </c>
      <c r="Y2" s="5" t="n">
        <v>3</v>
      </c>
      <c r="Z2" s="5" t="n">
        <v>3</v>
      </c>
      <c r="AA2" s="5" t="n">
        <v>0</v>
      </c>
      <c r="AB2" s="5" t="n">
        <v>0</v>
      </c>
    </row>
    <row r="3">
      <c r="A3" s="5" t="inlineStr">
        <is>
          <t>Ametek</t>
        </is>
      </c>
      <c r="B3" s="5" t="inlineStr">
        <is>
          <t>Industrial Manufacturing (Instruments/Electronics)</t>
        </is>
      </c>
      <c r="C3" s="5" t="inlineStr">
        <is>
          <t xml:space="preserve">South 1 </t>
        </is>
      </c>
      <c r="D3" s="5" t="inlineStr">
        <is>
          <t>TBH</t>
        </is>
      </c>
      <c r="E3" s="5" t="inlineStr">
        <is>
          <t>TBH</t>
        </is>
      </c>
      <c r="F3" s="5" t="inlineStr">
        <is>
          <t>Debashreeta</t>
        </is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</row>
    <row r="4">
      <c r="A4" s="5" t="inlineStr">
        <is>
          <t>AMNS</t>
        </is>
      </c>
      <c r="B4" s="5" t="inlineStr">
        <is>
          <t>Metals &amp; Mining (Steel)</t>
        </is>
      </c>
      <c r="C4" s="5" t="inlineStr">
        <is>
          <t>West 1</t>
        </is>
      </c>
      <c r="D4" s="5" t="inlineStr">
        <is>
          <t>Alifiya</t>
        </is>
      </c>
      <c r="E4" s="5" t="inlineStr">
        <is>
          <t>Anjli Zutshi</t>
        </is>
      </c>
      <c r="F4" s="5" t="inlineStr">
        <is>
          <t>Rishab</t>
        </is>
      </c>
      <c r="G4" s="5" t="n">
        <v>2</v>
      </c>
      <c r="H4" s="5" t="n">
        <v>5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</row>
    <row r="5">
      <c r="A5" s="5" t="inlineStr">
        <is>
          <t>Ashok Leyland</t>
        </is>
      </c>
      <c r="B5" s="5" t="inlineStr">
        <is>
          <t>Automotive (Commercial Vehicles)</t>
        </is>
      </c>
      <c r="C5" s="5" t="inlineStr">
        <is>
          <t>South 2</t>
        </is>
      </c>
      <c r="D5" s="5" t="inlineStr">
        <is>
          <t>Krishna</t>
        </is>
      </c>
      <c r="E5" s="5" t="inlineStr">
        <is>
          <t>TBH</t>
        </is>
      </c>
      <c r="F5" s="5" t="inlineStr">
        <is>
          <t>Mehvish Naz</t>
        </is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</row>
    <row r="6">
      <c r="A6" s="5" t="inlineStr">
        <is>
          <t>Atomberg</t>
        </is>
      </c>
      <c r="B6" s="5" t="inlineStr">
        <is>
          <t>Consumer Durables / Electronics (Home Appliances)</t>
        </is>
      </c>
      <c r="C6" s="5" t="inlineStr">
        <is>
          <t>West 1</t>
        </is>
      </c>
      <c r="D6" s="5" t="inlineStr">
        <is>
          <t>Geetu</t>
        </is>
      </c>
      <c r="E6" s="5" t="inlineStr">
        <is>
          <t>Anjli Zutshi</t>
        </is>
      </c>
      <c r="F6" s="5" t="inlineStr">
        <is>
          <t>Mehvish Naz</t>
        </is>
      </c>
      <c r="G6" s="5" t="n">
        <v>19</v>
      </c>
      <c r="H6" s="5" t="n">
        <v>21</v>
      </c>
      <c r="I6" s="5" t="n">
        <v>13</v>
      </c>
      <c r="J6" s="5" t="n">
        <v>15</v>
      </c>
      <c r="K6" s="5" t="n">
        <v>17</v>
      </c>
      <c r="L6" s="5" t="n">
        <v>14</v>
      </c>
      <c r="M6" s="5" t="n">
        <v>15</v>
      </c>
      <c r="N6" s="5" t="n">
        <v>15</v>
      </c>
      <c r="O6" s="5" t="n">
        <v>18</v>
      </c>
      <c r="P6" s="5" t="n">
        <v>17</v>
      </c>
      <c r="Q6" s="5" t="n">
        <v>28</v>
      </c>
      <c r="R6" s="5" t="n">
        <v>12</v>
      </c>
      <c r="S6" s="5" t="n">
        <v>20</v>
      </c>
      <c r="T6" s="5" t="n">
        <v>15</v>
      </c>
      <c r="U6" s="5" t="n">
        <v>24</v>
      </c>
      <c r="V6" s="5" t="n">
        <v>12</v>
      </c>
      <c r="W6" s="5" t="n">
        <v>19</v>
      </c>
      <c r="X6" s="5" t="n">
        <v>22</v>
      </c>
      <c r="Y6" s="5" t="n">
        <v>20</v>
      </c>
      <c r="Z6" s="5" t="n">
        <v>21</v>
      </c>
      <c r="AA6" s="5" t="n">
        <v>0</v>
      </c>
      <c r="AB6" s="5" t="n">
        <v>0</v>
      </c>
    </row>
    <row r="7">
      <c r="A7" s="5" t="inlineStr">
        <is>
          <t>Birla Paints</t>
        </is>
      </c>
      <c r="B7" s="5" t="inlineStr">
        <is>
          <t>Chemicals (Paints &amp; Coatings)</t>
        </is>
      </c>
      <c r="C7" s="5" t="inlineStr">
        <is>
          <t>West 1</t>
        </is>
      </c>
      <c r="D7" s="5" t="inlineStr">
        <is>
          <t>Geetu</t>
        </is>
      </c>
      <c r="E7" s="5" t="inlineStr">
        <is>
          <t>Anjli Zutshi</t>
        </is>
      </c>
      <c r="F7" s="5" t="inlineStr">
        <is>
          <t>Sahil</t>
        </is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4</v>
      </c>
      <c r="T7" s="5" t="n">
        <v>2</v>
      </c>
      <c r="U7" s="5" t="n">
        <v>4</v>
      </c>
      <c r="V7" s="5" t="n">
        <v>4</v>
      </c>
      <c r="W7" s="5" t="n">
        <v>4</v>
      </c>
      <c r="X7" s="5" t="n">
        <v>4</v>
      </c>
      <c r="Y7" s="5" t="n">
        <v>3</v>
      </c>
      <c r="Z7" s="5" t="n">
        <v>5</v>
      </c>
      <c r="AA7" s="5" t="n">
        <v>0</v>
      </c>
      <c r="AB7" s="5" t="n">
        <v>0</v>
      </c>
    </row>
    <row r="8">
      <c r="A8" s="5" t="inlineStr">
        <is>
          <t>BITS</t>
        </is>
      </c>
      <c r="B8" s="5" t="inlineStr">
        <is>
          <t>Education (Higher Education)</t>
        </is>
      </c>
      <c r="C8" s="5" t="inlineStr">
        <is>
          <t>South 2</t>
        </is>
      </c>
      <c r="D8" s="5" t="inlineStr">
        <is>
          <t>Krishna</t>
        </is>
      </c>
      <c r="E8" s="5" t="inlineStr">
        <is>
          <t>TBH</t>
        </is>
      </c>
      <c r="F8" s="5" t="inlineStr">
        <is>
          <t>Himanshu Srivastava</t>
        </is>
      </c>
      <c r="G8" s="5" t="n">
        <v>4</v>
      </c>
      <c r="H8" s="5" t="n">
        <v>0</v>
      </c>
      <c r="I8" s="5" t="n">
        <v>4</v>
      </c>
      <c r="J8" s="5" t="n">
        <v>0</v>
      </c>
      <c r="K8" s="5" t="n">
        <v>4</v>
      </c>
      <c r="L8" s="5" t="n">
        <v>0</v>
      </c>
      <c r="M8" s="5" t="n">
        <v>4</v>
      </c>
      <c r="N8" s="5" t="n">
        <v>0</v>
      </c>
      <c r="O8" s="5" t="n">
        <v>4</v>
      </c>
      <c r="P8" s="5" t="n">
        <v>0</v>
      </c>
      <c r="Q8" s="5" t="n">
        <v>4</v>
      </c>
      <c r="R8" s="5" t="n">
        <v>0</v>
      </c>
      <c r="S8" s="5" t="n">
        <v>4</v>
      </c>
      <c r="T8" s="5" t="n">
        <v>0</v>
      </c>
      <c r="U8" s="5" t="n">
        <v>4</v>
      </c>
      <c r="V8" s="5" t="n">
        <v>0</v>
      </c>
      <c r="W8" s="5" t="n">
        <v>4</v>
      </c>
      <c r="X8" s="5" t="n">
        <v>0</v>
      </c>
      <c r="Y8" s="5" t="n">
        <v>4</v>
      </c>
      <c r="Z8" s="5" t="n">
        <v>0</v>
      </c>
      <c r="AA8" s="5" t="n">
        <v>0</v>
      </c>
      <c r="AB8" s="5" t="n">
        <v>0</v>
      </c>
    </row>
    <row r="9">
      <c r="A9" s="5" t="inlineStr">
        <is>
          <t>Bridgestone</t>
        </is>
      </c>
      <c r="B9" s="5" t="inlineStr">
        <is>
          <t>Automotive (Tires)</t>
        </is>
      </c>
      <c r="C9" s="5" t="inlineStr">
        <is>
          <t>West 2</t>
        </is>
      </c>
      <c r="D9" s="5" t="inlineStr">
        <is>
          <t>Shweta</t>
        </is>
      </c>
      <c r="E9" s="5" t="inlineStr">
        <is>
          <t>Anjli Zutshi</t>
        </is>
      </c>
      <c r="F9" s="5" t="inlineStr">
        <is>
          <t>debashreeta</t>
        </is>
      </c>
      <c r="G9" s="5" t="n">
        <v>0</v>
      </c>
      <c r="H9" s="5" t="n">
        <v>0</v>
      </c>
      <c r="I9" s="5" t="n">
        <v>6</v>
      </c>
      <c r="J9" s="5" t="n">
        <v>0</v>
      </c>
      <c r="K9" s="5" t="n">
        <v>5</v>
      </c>
      <c r="L9" s="5" t="n">
        <v>1</v>
      </c>
      <c r="M9" s="5" t="n">
        <v>5</v>
      </c>
      <c r="N9" s="5" t="n">
        <v>1</v>
      </c>
      <c r="O9" s="5" t="n">
        <v>5</v>
      </c>
      <c r="P9" s="5" t="n">
        <v>1</v>
      </c>
      <c r="Q9" s="5" t="n">
        <v>4</v>
      </c>
      <c r="R9" s="5" t="n">
        <v>2</v>
      </c>
      <c r="S9" s="5" t="n">
        <v>4</v>
      </c>
      <c r="T9" s="5" t="n">
        <v>2</v>
      </c>
      <c r="U9" s="5" t="n">
        <v>5</v>
      </c>
      <c r="V9" s="5" t="n">
        <v>1</v>
      </c>
      <c r="W9" s="5" t="n">
        <v>5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</row>
    <row r="10">
      <c r="A10" s="5" t="inlineStr">
        <is>
          <t>DP World</t>
        </is>
      </c>
      <c r="B10" s="5" t="inlineStr">
        <is>
          <t>Logistics &amp; Transportation (Ports/Supply Chain)</t>
        </is>
      </c>
      <c r="C10" s="5" t="inlineStr">
        <is>
          <t>West 1</t>
        </is>
      </c>
      <c r="D10" s="5" t="inlineStr">
        <is>
          <t>Geetu</t>
        </is>
      </c>
      <c r="E10" s="5" t="inlineStr">
        <is>
          <t>Anjli Zutshi</t>
        </is>
      </c>
      <c r="F10" s="5" t="inlineStr">
        <is>
          <t>Sahil/Rishab</t>
        </is>
      </c>
      <c r="G10" s="5" t="n">
        <v>3</v>
      </c>
      <c r="H10" s="5" t="n">
        <v>4</v>
      </c>
      <c r="I10" s="5" t="n">
        <v>4</v>
      </c>
      <c r="J10" s="5" t="n">
        <v>3</v>
      </c>
      <c r="K10" s="5" t="n">
        <v>3</v>
      </c>
      <c r="L10" s="5" t="n">
        <v>4</v>
      </c>
      <c r="M10" s="5" t="n">
        <v>4</v>
      </c>
      <c r="N10" s="5" t="n">
        <v>3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5</v>
      </c>
      <c r="T10" s="5" t="n">
        <v>2</v>
      </c>
      <c r="U10" s="5" t="n">
        <v>4</v>
      </c>
      <c r="V10" s="5" t="n">
        <v>3</v>
      </c>
      <c r="W10" s="5" t="n">
        <v>4</v>
      </c>
      <c r="X10" s="5" t="n">
        <v>3</v>
      </c>
      <c r="Y10" s="5" t="n">
        <v>4</v>
      </c>
      <c r="Z10" s="5" t="n">
        <v>3</v>
      </c>
      <c r="AA10" s="5" t="n">
        <v>0</v>
      </c>
      <c r="AB10" s="5" t="n">
        <v>0</v>
      </c>
    </row>
    <row r="11">
      <c r="A11" s="5" t="inlineStr">
        <is>
          <t>Excelacom</t>
        </is>
      </c>
      <c r="B11" s="5" t="inlineStr">
        <is>
          <t>IT / Telecom Software</t>
        </is>
      </c>
      <c r="C11" s="5" t="inlineStr">
        <is>
          <t>South 2</t>
        </is>
      </c>
      <c r="D11" s="5" t="inlineStr">
        <is>
          <t>Krishna</t>
        </is>
      </c>
      <c r="E11" s="5" t="inlineStr">
        <is>
          <t>TBH</t>
        </is>
      </c>
      <c r="F11" s="5" t="inlineStr">
        <is>
          <t>Himanshu Srivastava</t>
        </is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</row>
    <row r="12">
      <c r="A12" s="5" t="inlineStr">
        <is>
          <t>Honeywell</t>
        </is>
      </c>
      <c r="B12" s="5" t="inlineStr">
        <is>
          <t>Industrial (Automation &amp; Aerospace)</t>
        </is>
      </c>
      <c r="C12" s="5" t="inlineStr">
        <is>
          <t xml:space="preserve">South 1 </t>
        </is>
      </c>
      <c r="D12" s="5" t="inlineStr">
        <is>
          <t>Bapi Reddy</t>
        </is>
      </c>
      <c r="E12" s="5" t="inlineStr">
        <is>
          <t>TBH</t>
        </is>
      </c>
      <c r="F12" s="5" t="inlineStr">
        <is>
          <t>Debashreeta</t>
        </is>
      </c>
      <c r="G12" s="5" t="n">
        <v>8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8</v>
      </c>
      <c r="P12" s="5" t="n">
        <v>0</v>
      </c>
      <c r="Q12" s="5" t="n">
        <v>8</v>
      </c>
      <c r="R12" s="5" t="n">
        <v>0</v>
      </c>
      <c r="S12" s="5" t="n">
        <v>8</v>
      </c>
      <c r="T12" s="5" t="n">
        <v>0</v>
      </c>
      <c r="U12" s="5" t="n">
        <v>7</v>
      </c>
      <c r="V12" s="5" t="n">
        <v>0</v>
      </c>
      <c r="W12" s="5" t="n">
        <v>6</v>
      </c>
      <c r="X12" s="5" t="n">
        <v>1</v>
      </c>
      <c r="Y12" s="5" t="n">
        <v>7</v>
      </c>
      <c r="Z12" s="5" t="n">
        <v>1</v>
      </c>
      <c r="AA12" s="5" t="n">
        <v>0</v>
      </c>
      <c r="AB12" s="5" t="n">
        <v>0</v>
      </c>
    </row>
    <row r="13">
      <c r="A13" s="5" t="inlineStr">
        <is>
          <t>HPE</t>
        </is>
      </c>
      <c r="B13" s="5" t="inlineStr">
        <is>
          <t>IT (Hardware/Enterprise Technology)</t>
        </is>
      </c>
      <c r="C13" s="5" t="inlineStr">
        <is>
          <t xml:space="preserve">South 1 </t>
        </is>
      </c>
      <c r="D13" s="5" t="inlineStr">
        <is>
          <t>Mahak</t>
        </is>
      </c>
      <c r="E13" s="5" t="inlineStr">
        <is>
          <t>TBH</t>
        </is>
      </c>
      <c r="F13" s="5" t="inlineStr">
        <is>
          <t>Debashreeta</t>
        </is>
      </c>
      <c r="G13" s="5" t="n">
        <v>0</v>
      </c>
      <c r="H13" s="5" t="n">
        <v>0</v>
      </c>
      <c r="I13" s="5" t="n">
        <v>8</v>
      </c>
      <c r="J13" s="5" t="n">
        <v>2</v>
      </c>
      <c r="K13" s="5" t="n">
        <v>8</v>
      </c>
      <c r="L13" s="5" t="n">
        <v>2</v>
      </c>
      <c r="M13" s="5" t="n">
        <v>8</v>
      </c>
      <c r="N13" s="5" t="n">
        <v>2</v>
      </c>
      <c r="O13" s="5" t="n">
        <v>10</v>
      </c>
      <c r="P13" s="5" t="n">
        <v>0</v>
      </c>
      <c r="Q13" s="5" t="n">
        <v>10</v>
      </c>
      <c r="R13" s="5" t="n">
        <v>0</v>
      </c>
      <c r="S13" s="5" t="n">
        <v>10</v>
      </c>
      <c r="T13" s="5" t="n">
        <v>0</v>
      </c>
      <c r="U13" s="5" t="n">
        <v>10</v>
      </c>
      <c r="V13" s="5" t="n">
        <v>0</v>
      </c>
      <c r="W13" s="5" t="n">
        <v>9</v>
      </c>
      <c r="X13" s="5" t="n">
        <v>1</v>
      </c>
      <c r="Y13" s="5" t="n">
        <v>8</v>
      </c>
      <c r="Z13" s="5" t="n">
        <v>2</v>
      </c>
      <c r="AA13" s="5" t="n">
        <v>0</v>
      </c>
      <c r="AB13" s="5" t="n">
        <v>0</v>
      </c>
    </row>
    <row r="14">
      <c r="A14" s="5" t="inlineStr">
        <is>
          <t>Hyundai</t>
        </is>
      </c>
      <c r="B14" s="5" t="inlineStr">
        <is>
          <t>Automotive (OEM)</t>
        </is>
      </c>
      <c r="C14" s="5" t="inlineStr">
        <is>
          <t>West 2</t>
        </is>
      </c>
      <c r="D14" s="5" t="inlineStr">
        <is>
          <t>Shweta</t>
        </is>
      </c>
      <c r="E14" s="5" t="inlineStr">
        <is>
          <t>Anjli Zutshi</t>
        </is>
      </c>
      <c r="F14" s="5" t="inlineStr">
        <is>
          <t>Debashreeta</t>
        </is>
      </c>
      <c r="G14" s="5" t="n">
        <v>0</v>
      </c>
      <c r="H14" s="5" t="n">
        <v>6</v>
      </c>
      <c r="I14" s="5" t="n">
        <v>1</v>
      </c>
      <c r="J14" s="5" t="n">
        <v>5</v>
      </c>
      <c r="K14" s="5" t="n">
        <v>1</v>
      </c>
      <c r="L14" s="5" t="n">
        <v>5</v>
      </c>
      <c r="M14" s="5" t="n">
        <v>2</v>
      </c>
      <c r="N14" s="5" t="n">
        <v>4</v>
      </c>
      <c r="O14" s="5" t="n">
        <v>3</v>
      </c>
      <c r="P14" s="5" t="n">
        <v>3</v>
      </c>
      <c r="Q14" s="5" t="n">
        <v>3</v>
      </c>
      <c r="R14" s="5" t="n">
        <v>3</v>
      </c>
      <c r="S14" s="5" t="n">
        <v>1</v>
      </c>
      <c r="T14" s="5" t="n">
        <v>5</v>
      </c>
      <c r="U14" s="5" t="n">
        <v>0</v>
      </c>
      <c r="V14" s="5" t="n">
        <v>0</v>
      </c>
      <c r="W14" s="5" t="n">
        <v>1</v>
      </c>
      <c r="X14" s="5" t="n">
        <v>5</v>
      </c>
      <c r="Y14" s="5" t="n">
        <v>0</v>
      </c>
      <c r="Z14" s="5" t="n">
        <v>0</v>
      </c>
      <c r="AA14" s="5" t="n">
        <v>0</v>
      </c>
      <c r="AB14" s="5" t="n">
        <v>0</v>
      </c>
    </row>
    <row r="15">
      <c r="A15" s="5" t="inlineStr">
        <is>
          <t>Ingram Micro</t>
        </is>
      </c>
      <c r="B15" s="5" t="inlineStr">
        <is>
          <t>IT (Technology Distribution)</t>
        </is>
      </c>
      <c r="C15" s="5" t="inlineStr">
        <is>
          <t>West 1</t>
        </is>
      </c>
      <c r="D15" s="5" t="inlineStr">
        <is>
          <t>Usha</t>
        </is>
      </c>
      <c r="E15" s="5" t="inlineStr">
        <is>
          <t>Anjli Zutshi</t>
        </is>
      </c>
      <c r="F15" s="5" t="inlineStr">
        <is>
          <t>Himanshu Srivastava</t>
        </is>
      </c>
      <c r="G15" s="5" t="n">
        <v>6</v>
      </c>
      <c r="H15" s="5" t="n">
        <v>1</v>
      </c>
      <c r="I15" s="5" t="n">
        <v>6</v>
      </c>
      <c r="J15" s="5" t="n">
        <v>2</v>
      </c>
      <c r="K15" s="5" t="n">
        <v>6</v>
      </c>
      <c r="L15" s="5" t="n">
        <v>2</v>
      </c>
      <c r="M15" s="5" t="n">
        <v>5</v>
      </c>
      <c r="N15" s="5" t="n">
        <v>3</v>
      </c>
      <c r="O15" s="5" t="n">
        <v>6</v>
      </c>
      <c r="P15" s="5" t="n">
        <v>2</v>
      </c>
      <c r="Q15" s="5" t="n">
        <v>7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</row>
    <row r="16">
      <c r="A16" s="5" t="inlineStr">
        <is>
          <t>ISUZU (UD Trucks)</t>
        </is>
      </c>
      <c r="B16" s="5" t="inlineStr">
        <is>
          <t>Automotive (Commercial Vehicles)</t>
        </is>
      </c>
      <c r="C16" s="5" t="inlineStr">
        <is>
          <t xml:space="preserve">South 1 </t>
        </is>
      </c>
      <c r="D16" s="5" t="inlineStr">
        <is>
          <t>TBH</t>
        </is>
      </c>
      <c r="E16" s="5" t="inlineStr">
        <is>
          <t>TBH</t>
        </is>
      </c>
      <c r="F16" s="5" t="inlineStr">
        <is>
          <t>Debashreeta</t>
        </is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5</v>
      </c>
      <c r="Z16" s="5" t="n">
        <v>3</v>
      </c>
      <c r="AA16" s="5" t="n">
        <v>0</v>
      </c>
      <c r="AB16" s="5" t="n">
        <v>0</v>
      </c>
    </row>
    <row r="17">
      <c r="A17" s="5" t="inlineStr">
        <is>
          <t>Jindal</t>
        </is>
      </c>
      <c r="B17" s="5" t="inlineStr">
        <is>
          <t>Metals &amp; Mining (Steel)</t>
        </is>
      </c>
      <c r="C17" s="5" t="inlineStr">
        <is>
          <t>North</t>
        </is>
      </c>
      <c r="D17" s="5" t="inlineStr">
        <is>
          <t>Archana Trikha</t>
        </is>
      </c>
      <c r="E17" s="5" t="inlineStr">
        <is>
          <t>Anjli Zutshi</t>
        </is>
      </c>
      <c r="F17" s="5" t="inlineStr">
        <is>
          <t>Rishab</t>
        </is>
      </c>
      <c r="G17" s="5" t="n">
        <v>5</v>
      </c>
      <c r="H17" s="5" t="n">
        <v>2</v>
      </c>
      <c r="I17" s="5" t="n">
        <v>5</v>
      </c>
      <c r="J17" s="5" t="n">
        <v>2</v>
      </c>
      <c r="K17" s="5" t="n">
        <v>5</v>
      </c>
      <c r="L17" s="5" t="n">
        <v>2</v>
      </c>
      <c r="M17" s="5" t="n">
        <v>6</v>
      </c>
      <c r="N17" s="5" t="n">
        <v>1</v>
      </c>
      <c r="O17" s="5" t="n">
        <v>6</v>
      </c>
      <c r="P17" s="5" t="n">
        <v>1</v>
      </c>
      <c r="Q17" s="5" t="n">
        <v>5</v>
      </c>
      <c r="R17" s="5" t="n">
        <v>2</v>
      </c>
      <c r="S17" s="5" t="n">
        <v>5</v>
      </c>
      <c r="T17" s="5" t="n">
        <v>2</v>
      </c>
      <c r="U17" s="5" t="n">
        <v>4</v>
      </c>
      <c r="V17" s="5" t="n">
        <v>3</v>
      </c>
      <c r="W17" s="5" t="n">
        <v>4</v>
      </c>
      <c r="X17" s="5" t="n">
        <v>3</v>
      </c>
      <c r="Y17" s="5" t="n">
        <v>4</v>
      </c>
      <c r="Z17" s="5" t="n">
        <v>3</v>
      </c>
      <c r="AA17" s="5" t="n">
        <v>5</v>
      </c>
      <c r="AB17" s="5" t="n">
        <v>2</v>
      </c>
    </row>
    <row r="18">
      <c r="A18" s="5" t="inlineStr">
        <is>
          <t>Leap India</t>
        </is>
      </c>
      <c r="B18" s="5" t="inlineStr">
        <is>
          <t>Logistics (Supply Chain Solutions/Pooling)</t>
        </is>
      </c>
      <c r="C18" s="5" t="inlineStr">
        <is>
          <t>West 1</t>
        </is>
      </c>
      <c r="D18" s="5" t="inlineStr">
        <is>
          <t>Geetu</t>
        </is>
      </c>
      <c r="E18" s="5" t="inlineStr">
        <is>
          <t>Anjli Zutshi</t>
        </is>
      </c>
      <c r="F18" s="5" t="inlineStr">
        <is>
          <t>Sahil, Debashreeta &amp; Mandeep</t>
        </is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3</v>
      </c>
      <c r="V18" s="5" t="n">
        <v>3</v>
      </c>
      <c r="W18" s="5" t="n">
        <v>0</v>
      </c>
      <c r="X18" s="5" t="n">
        <v>0</v>
      </c>
      <c r="Y18" s="5" t="n">
        <v>3</v>
      </c>
      <c r="Z18" s="5" t="n">
        <v>3</v>
      </c>
      <c r="AA18" s="5" t="n">
        <v>0</v>
      </c>
      <c r="AB18" s="5" t="n">
        <v>0</v>
      </c>
    </row>
    <row r="19">
      <c r="A19" s="5" t="inlineStr">
        <is>
          <t>M&amp;M</t>
        </is>
      </c>
      <c r="B19" s="5" t="inlineStr">
        <is>
          <t>Automotive (OEM)</t>
        </is>
      </c>
      <c r="C19" s="5" t="inlineStr">
        <is>
          <t>West 1</t>
        </is>
      </c>
      <c r="D19" s="5" t="inlineStr">
        <is>
          <t>Megha</t>
        </is>
      </c>
      <c r="E19" s="5" t="inlineStr">
        <is>
          <t>Anjli Zutshi</t>
        </is>
      </c>
      <c r="F19" s="5" t="inlineStr">
        <is>
          <t>Rishab</t>
        </is>
      </c>
      <c r="G19" s="5" t="n">
        <v>10</v>
      </c>
      <c r="H19" s="5" t="n">
        <v>3</v>
      </c>
      <c r="I19" s="5" t="n">
        <v>5</v>
      </c>
      <c r="J19" s="5" t="n">
        <v>8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5</v>
      </c>
      <c r="Z19" s="5" t="n">
        <v>7</v>
      </c>
      <c r="AA19" s="5" t="n">
        <v>0</v>
      </c>
      <c r="AB19" s="5" t="n">
        <v>0</v>
      </c>
    </row>
    <row r="20">
      <c r="A20" s="5" t="inlineStr">
        <is>
          <t>Mahindra Finance</t>
        </is>
      </c>
      <c r="B20" s="5" t="inlineStr">
        <is>
          <t>BFSI (NBFC/Auto Finance)</t>
        </is>
      </c>
      <c r="C20" s="5" t="inlineStr">
        <is>
          <t>West 1</t>
        </is>
      </c>
      <c r="D20" s="5" t="inlineStr">
        <is>
          <t>Geetu</t>
        </is>
      </c>
      <c r="E20" s="5" t="inlineStr">
        <is>
          <t>Anjli Zutshi</t>
        </is>
      </c>
      <c r="F20" s="5" t="inlineStr">
        <is>
          <t>Sahil</t>
        </is>
      </c>
      <c r="G20" s="5" t="n">
        <v>3</v>
      </c>
      <c r="H20" s="5" t="n">
        <v>4</v>
      </c>
      <c r="I20" s="5" t="n">
        <v>2</v>
      </c>
      <c r="J20" s="5" t="n">
        <v>5</v>
      </c>
      <c r="K20" s="5" t="n">
        <v>4</v>
      </c>
      <c r="L20" s="5" t="n">
        <v>3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</row>
    <row r="21">
      <c r="A21" s="5" t="inlineStr">
        <is>
          <t>Mahindra Holidays</t>
        </is>
      </c>
      <c r="B21" s="5" t="inlineStr">
        <is>
          <t>Hospitality &amp; Travel (Timeshare)</t>
        </is>
      </c>
      <c r="C21" s="5" t="inlineStr">
        <is>
          <t>West 1</t>
        </is>
      </c>
      <c r="D21" s="5" t="inlineStr">
        <is>
          <t>Geetu</t>
        </is>
      </c>
      <c r="E21" s="5" t="inlineStr">
        <is>
          <t>Anjli Zutshi</t>
        </is>
      </c>
      <c r="F21" s="5" t="inlineStr">
        <is>
          <t>Sahil</t>
        </is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4</v>
      </c>
      <c r="X21" s="5" t="n">
        <v>3</v>
      </c>
      <c r="Y21" s="5" t="n">
        <v>0</v>
      </c>
      <c r="Z21" s="5" t="n">
        <v>0</v>
      </c>
      <c r="AA21" s="5" t="n">
        <v>0</v>
      </c>
      <c r="AB21" s="5" t="n">
        <v>0</v>
      </c>
    </row>
    <row r="22">
      <c r="A22" s="5" t="inlineStr">
        <is>
          <t>Maruti Suzuki</t>
        </is>
      </c>
      <c r="B22" s="5" t="inlineStr">
        <is>
          <t>Automotive (OEM)</t>
        </is>
      </c>
      <c r="C22" s="5" t="inlineStr">
        <is>
          <t>North</t>
        </is>
      </c>
      <c r="D22" s="5" t="inlineStr">
        <is>
          <t>Archana Trikha</t>
        </is>
      </c>
      <c r="E22" s="5" t="inlineStr">
        <is>
          <t>Anjli Zutshi</t>
        </is>
      </c>
      <c r="F22" s="5" t="inlineStr">
        <is>
          <t>Rishab</t>
        </is>
      </c>
      <c r="G22" s="5" t="n">
        <v>0</v>
      </c>
      <c r="H22" s="5" t="n">
        <v>0</v>
      </c>
      <c r="I22" s="5" t="n">
        <v>3</v>
      </c>
      <c r="J22" s="5" t="n">
        <v>4</v>
      </c>
      <c r="K22" s="5" t="n">
        <v>3</v>
      </c>
      <c r="L22" s="5" t="n">
        <v>2</v>
      </c>
      <c r="M22" s="5" t="n">
        <v>3</v>
      </c>
      <c r="N22" s="5" t="n">
        <v>4</v>
      </c>
      <c r="O22" s="5" t="n">
        <v>2</v>
      </c>
      <c r="P22" s="5" t="n">
        <v>6</v>
      </c>
      <c r="Q22" s="5" t="n">
        <v>2</v>
      </c>
      <c r="R22" s="5" t="n">
        <v>6</v>
      </c>
      <c r="S22" s="5" t="n">
        <v>4</v>
      </c>
      <c r="T22" s="5" t="n">
        <v>3</v>
      </c>
      <c r="U22" s="5" t="n">
        <v>3</v>
      </c>
      <c r="V22" s="5" t="n">
        <v>5</v>
      </c>
      <c r="W22" s="5" t="n">
        <v>1</v>
      </c>
      <c r="X22" s="5" t="n">
        <v>5</v>
      </c>
      <c r="Y22" s="5" t="n">
        <v>3</v>
      </c>
      <c r="Z22" s="5" t="n">
        <v>4</v>
      </c>
      <c r="AA22" s="5" t="n">
        <v>3</v>
      </c>
      <c r="AB22" s="5" t="n">
        <v>4</v>
      </c>
    </row>
    <row r="23">
      <c r="A23" s="5" t="inlineStr">
        <is>
          <t>P&amp;G</t>
        </is>
      </c>
      <c r="B23" s="5" t="inlineStr">
        <is>
          <t>FMCG / Consumer Goods</t>
        </is>
      </c>
      <c r="C23" s="5" t="inlineStr">
        <is>
          <t>South 2</t>
        </is>
      </c>
      <c r="D23" s="5" t="inlineStr">
        <is>
          <t>Krishna</t>
        </is>
      </c>
      <c r="E23" s="5" t="inlineStr">
        <is>
          <t>TBH</t>
        </is>
      </c>
      <c r="F23" s="5" t="inlineStr">
        <is>
          <t>Himanshu Srivastava</t>
        </is>
      </c>
      <c r="G23" s="5" t="n">
        <v>4</v>
      </c>
      <c r="H23" s="5" t="n">
        <v>0</v>
      </c>
      <c r="I23" s="5" t="n">
        <v>4</v>
      </c>
      <c r="J23" s="5" t="n">
        <v>0</v>
      </c>
      <c r="K23" s="5" t="n">
        <v>4</v>
      </c>
      <c r="L23" s="5" t="n">
        <v>0</v>
      </c>
      <c r="M23" s="5" t="n">
        <v>4</v>
      </c>
      <c r="N23" s="5" t="n">
        <v>0</v>
      </c>
      <c r="O23" s="5" t="n">
        <v>4</v>
      </c>
      <c r="P23" s="5" t="n">
        <v>0</v>
      </c>
      <c r="Q23" s="5" t="n">
        <v>4</v>
      </c>
      <c r="R23" s="5" t="n">
        <v>0</v>
      </c>
      <c r="S23" s="5" t="n">
        <v>4</v>
      </c>
      <c r="T23" s="5" t="n">
        <v>0</v>
      </c>
      <c r="U23" s="5" t="n">
        <v>4</v>
      </c>
      <c r="V23" s="5" t="n">
        <v>0</v>
      </c>
      <c r="W23" s="5" t="n">
        <v>4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</row>
    <row r="24">
      <c r="A24" s="5" t="inlineStr">
        <is>
          <t>Pernod Ricard</t>
        </is>
      </c>
      <c r="B24" s="5" t="inlineStr">
        <is>
          <t>FMCG (Alcoholic Beverages)</t>
        </is>
      </c>
      <c r="C24" s="5" t="inlineStr">
        <is>
          <t>North</t>
        </is>
      </c>
      <c r="D24" s="5" t="inlineStr">
        <is>
          <t>Archana Trikha</t>
        </is>
      </c>
      <c r="E24" s="5" t="inlineStr">
        <is>
          <t>Anjli Zutshi</t>
        </is>
      </c>
      <c r="F24" s="5" t="inlineStr">
        <is>
          <t>Rishab</t>
        </is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6</v>
      </c>
      <c r="V24" s="5" t="n">
        <v>1</v>
      </c>
      <c r="W24" s="5" t="n">
        <v>6</v>
      </c>
      <c r="X24" s="5" t="n">
        <v>1</v>
      </c>
      <c r="Y24" s="5" t="n">
        <v>6</v>
      </c>
      <c r="Z24" s="5" t="n">
        <v>2</v>
      </c>
      <c r="AA24" s="5" t="n">
        <v>5</v>
      </c>
      <c r="AB24" s="5" t="n">
        <v>2</v>
      </c>
    </row>
    <row r="25">
      <c r="A25" s="5" t="inlineStr">
        <is>
          <t>Pfizer</t>
        </is>
      </c>
      <c r="B25" s="5" t="inlineStr">
        <is>
          <t>Pharma</t>
        </is>
      </c>
      <c r="C25" s="5" t="inlineStr">
        <is>
          <t>West 1</t>
        </is>
      </c>
      <c r="D25" s="5" t="inlineStr">
        <is>
          <t>Usha</t>
        </is>
      </c>
      <c r="E25" s="5" t="inlineStr">
        <is>
          <t>Anjli Zutshi</t>
        </is>
      </c>
      <c r="F25" s="5" t="inlineStr">
        <is>
          <t>Himanshu Srivastava</t>
        </is>
      </c>
      <c r="G25" s="5" t="n">
        <v>1</v>
      </c>
      <c r="H25" s="5" t="n">
        <v>1</v>
      </c>
      <c r="I25" s="5" t="n">
        <v>0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9</v>
      </c>
      <c r="P25" s="5" t="n">
        <v>4</v>
      </c>
      <c r="Q25" s="5" t="n">
        <v>1</v>
      </c>
      <c r="R25" s="5" t="n">
        <v>1</v>
      </c>
      <c r="S25" s="5" t="n">
        <v>2</v>
      </c>
      <c r="T25" s="5" t="n">
        <v>0</v>
      </c>
      <c r="U25" s="5" t="n">
        <v>0</v>
      </c>
      <c r="V25" s="5" t="n">
        <v>2</v>
      </c>
      <c r="W25" s="5" t="n">
        <v>1</v>
      </c>
      <c r="X25" s="5" t="n">
        <v>2</v>
      </c>
      <c r="Y25" s="5" t="n">
        <v>1</v>
      </c>
      <c r="Z25" s="5" t="n">
        <v>1</v>
      </c>
      <c r="AA25" s="5" t="n">
        <v>0</v>
      </c>
      <c r="AB25" s="5" t="n">
        <v>0</v>
      </c>
    </row>
    <row r="26">
      <c r="A26" s="5" t="inlineStr">
        <is>
          <t>Pidilite</t>
        </is>
      </c>
      <c r="B26" s="5" t="inlineStr">
        <is>
          <t>Chemicals (Adhesives &amp; Construction Chemicals)</t>
        </is>
      </c>
      <c r="C26" s="5" t="inlineStr">
        <is>
          <t>West 1</t>
        </is>
      </c>
      <c r="D26" s="5" t="inlineStr">
        <is>
          <t>Usha</t>
        </is>
      </c>
      <c r="E26" s="5" t="inlineStr">
        <is>
          <t>Anjli Zutshi</t>
        </is>
      </c>
      <c r="F26" s="5" t="inlineStr">
        <is>
          <t>Himanshu Srivastava</t>
        </is>
      </c>
      <c r="G26" s="5" t="n">
        <v>4</v>
      </c>
      <c r="H26" s="5" t="n">
        <v>8</v>
      </c>
      <c r="I26" s="5" t="n">
        <v>9</v>
      </c>
      <c r="J26" s="5" t="n">
        <v>3</v>
      </c>
      <c r="K26" s="5" t="n">
        <v>5</v>
      </c>
      <c r="L26" s="5" t="n">
        <v>7</v>
      </c>
      <c r="M26" s="5" t="n">
        <v>3</v>
      </c>
      <c r="N26" s="5" t="n">
        <v>9</v>
      </c>
      <c r="O26" s="5" t="n">
        <v>5</v>
      </c>
      <c r="P26" s="5" t="n">
        <v>6</v>
      </c>
      <c r="Q26" s="5" t="n">
        <v>7</v>
      </c>
      <c r="R26" s="5" t="n">
        <v>5</v>
      </c>
      <c r="S26" s="5" t="n">
        <v>7</v>
      </c>
      <c r="T26" s="5" t="n">
        <v>5</v>
      </c>
      <c r="U26" s="5" t="n">
        <v>8</v>
      </c>
      <c r="V26" s="5" t="n">
        <v>3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</row>
    <row r="27">
      <c r="A27" s="5" t="inlineStr">
        <is>
          <t>Robert Bosch</t>
        </is>
      </c>
      <c r="B27" s="5" t="inlineStr">
        <is>
          <t>Automotive (Auto Components) / Industrial Technology</t>
        </is>
      </c>
      <c r="C27" s="5" t="inlineStr">
        <is>
          <t xml:space="preserve">South 1 </t>
        </is>
      </c>
      <c r="D27" s="5" t="inlineStr">
        <is>
          <t>TBH</t>
        </is>
      </c>
      <c r="E27" s="5" t="inlineStr">
        <is>
          <t>TBH</t>
        </is>
      </c>
      <c r="F27" s="5" t="inlineStr">
        <is>
          <t>Debashreeta</t>
        </is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</row>
    <row r="28">
      <c r="A28" s="5" t="inlineStr">
        <is>
          <t>Royal Enfield</t>
        </is>
      </c>
      <c r="B28" s="5" t="inlineStr">
        <is>
          <t>Automotive (Two-Wheeler OEM)</t>
        </is>
      </c>
      <c r="C28" s="5" t="inlineStr">
        <is>
          <t>South 2</t>
        </is>
      </c>
      <c r="D28" s="5" t="inlineStr">
        <is>
          <t>Krishna</t>
        </is>
      </c>
      <c r="E28" s="5" t="inlineStr">
        <is>
          <t>TBH</t>
        </is>
      </c>
      <c r="F28" s="5" t="inlineStr">
        <is>
          <t>Mehvish Naz</t>
        </is>
      </c>
      <c r="G28" s="5" t="n">
        <v>1</v>
      </c>
      <c r="H28" s="5" t="n">
        <v>5</v>
      </c>
      <c r="I28" s="5" t="n">
        <v>2</v>
      </c>
      <c r="J28" s="5" t="n">
        <v>5</v>
      </c>
      <c r="K28" s="5" t="n">
        <v>3</v>
      </c>
      <c r="L28" s="5" t="n">
        <v>5</v>
      </c>
      <c r="M28" s="5" t="n">
        <v>0</v>
      </c>
      <c r="N28" s="5" t="n">
        <v>8</v>
      </c>
      <c r="O28" s="5" t="n">
        <v>3</v>
      </c>
      <c r="P28" s="5" t="n">
        <v>5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</row>
    <row r="29">
      <c r="A29" s="5" t="inlineStr">
        <is>
          <t>SBI Card</t>
        </is>
      </c>
      <c r="B29" s="5" t="inlineStr">
        <is>
          <t>BFSI (Cards/Payments)</t>
        </is>
      </c>
      <c r="C29" s="5" t="inlineStr">
        <is>
          <t>North</t>
        </is>
      </c>
      <c r="D29" s="5" t="inlineStr">
        <is>
          <t>Archana Trikha</t>
        </is>
      </c>
      <c r="E29" s="5" t="inlineStr">
        <is>
          <t>Anjli Zutshi</t>
        </is>
      </c>
      <c r="F29" s="5" t="inlineStr">
        <is>
          <t>Rishab</t>
        </is>
      </c>
      <c r="G29" s="5" t="n">
        <v>0</v>
      </c>
      <c r="H29" s="5" t="n">
        <v>0</v>
      </c>
      <c r="I29" s="5" t="n">
        <v>6</v>
      </c>
      <c r="J29" s="5" t="n">
        <v>2</v>
      </c>
      <c r="K29" s="5" t="n">
        <v>7</v>
      </c>
      <c r="L29" s="5" t="n">
        <v>0</v>
      </c>
      <c r="M29" s="5" t="n">
        <v>5</v>
      </c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6</v>
      </c>
      <c r="T29" s="5" t="n">
        <v>2</v>
      </c>
      <c r="U29" s="5" t="n">
        <v>6</v>
      </c>
      <c r="V29" s="5" t="n">
        <v>3</v>
      </c>
      <c r="W29" s="5" t="n">
        <v>8</v>
      </c>
      <c r="X29" s="5" t="n">
        <v>1</v>
      </c>
      <c r="Y29" s="5" t="n">
        <v>5</v>
      </c>
      <c r="Z29" s="5" t="n">
        <v>2</v>
      </c>
      <c r="AA29" s="5" t="n">
        <v>3</v>
      </c>
      <c r="AB29" s="5" t="n">
        <v>4</v>
      </c>
    </row>
    <row r="30">
      <c r="A30" s="5" t="inlineStr">
        <is>
          <t>Schaeffler</t>
        </is>
      </c>
      <c r="B30" s="5" t="inlineStr">
        <is>
          <t>Automotive (Auto Components) / Industrial Technology</t>
        </is>
      </c>
      <c r="C30" s="5" t="inlineStr">
        <is>
          <t>West 2</t>
        </is>
      </c>
      <c r="D30" s="5" t="inlineStr">
        <is>
          <t>Shweta</t>
        </is>
      </c>
      <c r="E30" s="5" t="inlineStr">
        <is>
          <t>Anjli Zutshi</t>
        </is>
      </c>
      <c r="F30" s="5" t="inlineStr">
        <is>
          <t>Debashreeta</t>
        </is>
      </c>
      <c r="G30" s="5" t="n">
        <v>3</v>
      </c>
      <c r="H30" s="5" t="n">
        <v>4</v>
      </c>
      <c r="I30" s="5" t="n">
        <v>5</v>
      </c>
      <c r="J30" s="5" t="n">
        <v>2</v>
      </c>
      <c r="K30" s="5" t="n">
        <v>4</v>
      </c>
      <c r="L30" s="5" t="n">
        <v>2</v>
      </c>
      <c r="M30" s="5" t="n">
        <v>3</v>
      </c>
      <c r="N30" s="5" t="n">
        <v>3</v>
      </c>
      <c r="O30" s="5" t="n">
        <v>3</v>
      </c>
      <c r="P30" s="5" t="n">
        <v>4</v>
      </c>
      <c r="Q30" s="5" t="n">
        <v>1</v>
      </c>
      <c r="R30" s="5" t="n">
        <v>6</v>
      </c>
      <c r="S30" s="5" t="n">
        <v>3</v>
      </c>
      <c r="T30" s="5" t="n">
        <v>2</v>
      </c>
      <c r="U30" s="5" t="n">
        <v>2</v>
      </c>
      <c r="V30" s="5" t="n">
        <v>5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</row>
    <row r="31">
      <c r="A31" s="5" t="inlineStr">
        <is>
          <t>Servify</t>
        </is>
      </c>
      <c r="B31" s="5" t="inlineStr">
        <is>
          <t>Technology (Device Lifecycle/After-sales)</t>
        </is>
      </c>
      <c r="C31" s="5" t="inlineStr">
        <is>
          <t>West 1</t>
        </is>
      </c>
      <c r="D31" s="5" t="inlineStr">
        <is>
          <t>Ashish</t>
        </is>
      </c>
      <c r="E31" s="5" t="inlineStr">
        <is>
          <t>Anjli Zutshi</t>
        </is>
      </c>
      <c r="F31" s="5" t="inlineStr">
        <is>
          <t>Sahil</t>
        </is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</row>
    <row r="32">
      <c r="A32" s="5" t="inlineStr">
        <is>
          <t>Siemens - Advanta</t>
        </is>
      </c>
      <c r="B32" s="5" t="inlineStr">
        <is>
          <t>IT / Digital Services (Industrial Digitalization)</t>
        </is>
      </c>
      <c r="C32" s="5" t="inlineStr">
        <is>
          <t xml:space="preserve">South 1 </t>
        </is>
      </c>
      <c r="D32" s="5" t="inlineStr">
        <is>
          <t>TBH</t>
        </is>
      </c>
      <c r="E32" s="5" t="inlineStr">
        <is>
          <t>TBH</t>
        </is>
      </c>
      <c r="F32" s="5" t="inlineStr">
        <is>
          <t>Debashreeta</t>
        </is>
      </c>
      <c r="G32" s="5" t="n">
        <v>7</v>
      </c>
      <c r="H32" s="5" t="n">
        <v>4</v>
      </c>
      <c r="I32" s="5" t="n">
        <v>7</v>
      </c>
      <c r="J32" s="5" t="n">
        <v>4</v>
      </c>
      <c r="K32" s="5" t="n">
        <v>7</v>
      </c>
      <c r="L32" s="5" t="n">
        <v>4</v>
      </c>
      <c r="M32" s="5" t="n">
        <v>7</v>
      </c>
      <c r="N32" s="5" t="n">
        <v>4</v>
      </c>
      <c r="O32" s="5" t="n">
        <v>6</v>
      </c>
      <c r="P32" s="5" t="n">
        <v>5</v>
      </c>
      <c r="Q32" s="5" t="n">
        <v>0</v>
      </c>
      <c r="R32" s="5" t="n">
        <v>0</v>
      </c>
      <c r="S32" s="5" t="n">
        <v>9</v>
      </c>
      <c r="T32" s="5" t="n">
        <v>2</v>
      </c>
      <c r="U32" s="5" t="n">
        <v>8</v>
      </c>
      <c r="V32" s="5" t="n">
        <v>3</v>
      </c>
      <c r="W32" s="5" t="n">
        <v>0</v>
      </c>
      <c r="X32" s="5" t="n">
        <v>0</v>
      </c>
      <c r="Y32" s="5" t="n">
        <v>6</v>
      </c>
      <c r="Z32" s="5" t="n">
        <v>5</v>
      </c>
      <c r="AA32" s="5" t="n">
        <v>0</v>
      </c>
      <c r="AB32" s="5" t="n">
        <v>0</v>
      </c>
    </row>
    <row r="33">
      <c r="A33" s="5" t="inlineStr">
        <is>
          <t>Siemens - Energy</t>
        </is>
      </c>
      <c r="B33" s="5" t="inlineStr">
        <is>
          <t>Energy (Power Generation/Transmission)</t>
        </is>
      </c>
      <c r="C33" s="5" t="inlineStr">
        <is>
          <t xml:space="preserve">South 1 </t>
        </is>
      </c>
      <c r="D33" s="5" t="inlineStr">
        <is>
          <t>TBH</t>
        </is>
      </c>
      <c r="E33" s="5" t="inlineStr">
        <is>
          <t>TBH</t>
        </is>
      </c>
      <c r="F33" s="5" t="inlineStr">
        <is>
          <t>Debashreeta</t>
        </is>
      </c>
      <c r="G33" s="5" t="n">
        <v>9</v>
      </c>
      <c r="H33" s="5" t="n">
        <v>2</v>
      </c>
      <c r="I33" s="5" t="n">
        <v>8</v>
      </c>
      <c r="J33" s="5" t="n">
        <v>3</v>
      </c>
      <c r="K33" s="5" t="n">
        <v>9</v>
      </c>
      <c r="L33" s="5" t="n">
        <v>2</v>
      </c>
      <c r="M33" s="5" t="n">
        <v>7</v>
      </c>
      <c r="N33" s="5" t="n">
        <v>4</v>
      </c>
      <c r="O33" s="5" t="n">
        <v>6</v>
      </c>
      <c r="P33" s="5" t="n">
        <v>5</v>
      </c>
      <c r="Q33" s="5" t="n">
        <v>0</v>
      </c>
      <c r="R33" s="5" t="n">
        <v>0</v>
      </c>
      <c r="S33" s="5" t="n">
        <v>6</v>
      </c>
      <c r="T33" s="5" t="n">
        <v>5</v>
      </c>
      <c r="U33" s="5" t="n">
        <v>7</v>
      </c>
      <c r="V33" s="5" t="n">
        <v>4</v>
      </c>
      <c r="W33" s="5" t="n">
        <v>0</v>
      </c>
      <c r="X33" s="5" t="n">
        <v>0</v>
      </c>
      <c r="Y33" s="5" t="n">
        <v>7</v>
      </c>
      <c r="Z33" s="5" t="n">
        <v>4</v>
      </c>
      <c r="AA33" s="5" t="n">
        <v>0</v>
      </c>
      <c r="AB33" s="5" t="n">
        <v>0</v>
      </c>
    </row>
    <row r="34">
      <c r="A34" s="5" t="inlineStr">
        <is>
          <t>Siemens - GBS</t>
        </is>
      </c>
      <c r="B34" s="5" t="inlineStr">
        <is>
          <t>Industrial / Engineering Services (Shared Services)</t>
        </is>
      </c>
      <c r="C34" s="5" t="inlineStr">
        <is>
          <t xml:space="preserve">South 1 </t>
        </is>
      </c>
      <c r="D34" s="5" t="inlineStr">
        <is>
          <t>TBH</t>
        </is>
      </c>
      <c r="E34" s="5" t="inlineStr">
        <is>
          <t>TBH</t>
        </is>
      </c>
      <c r="F34" s="5" t="inlineStr">
        <is>
          <t>Debashreeta</t>
        </is>
      </c>
      <c r="G34" s="5" t="n">
        <v>10</v>
      </c>
      <c r="H34" s="5" t="n">
        <v>1</v>
      </c>
      <c r="I34" s="5" t="n">
        <v>10</v>
      </c>
      <c r="J34" s="5" t="n">
        <v>1</v>
      </c>
      <c r="K34" s="5" t="n">
        <v>9</v>
      </c>
      <c r="L34" s="5" t="n">
        <v>2</v>
      </c>
      <c r="M34" s="5" t="n">
        <v>7</v>
      </c>
      <c r="N34" s="5" t="n">
        <v>4</v>
      </c>
      <c r="O34" s="5" t="n">
        <v>9</v>
      </c>
      <c r="P34" s="5" t="n">
        <v>2</v>
      </c>
      <c r="Q34" s="5" t="n">
        <v>0</v>
      </c>
      <c r="R34" s="5" t="n">
        <v>0</v>
      </c>
      <c r="S34" s="5" t="n">
        <v>9</v>
      </c>
      <c r="T34" s="5" t="n">
        <v>2</v>
      </c>
      <c r="U34" s="5" t="n">
        <v>9</v>
      </c>
      <c r="V34" s="5" t="n">
        <v>2</v>
      </c>
      <c r="W34" s="5" t="n">
        <v>0</v>
      </c>
      <c r="X34" s="5" t="n">
        <v>0</v>
      </c>
      <c r="Y34" s="5" t="n">
        <v>10</v>
      </c>
      <c r="Z34" s="5" t="n">
        <v>1</v>
      </c>
      <c r="AA34" s="5" t="n">
        <v>0</v>
      </c>
      <c r="AB34" s="5" t="n">
        <v>0</v>
      </c>
    </row>
    <row r="35">
      <c r="A35" s="5" t="inlineStr">
        <is>
          <t>SKF</t>
        </is>
      </c>
      <c r="B35" s="5" t="inlineStr">
        <is>
          <t>Industrial Manufacturing (Bearings)</t>
        </is>
      </c>
      <c r="C35" s="5" t="inlineStr">
        <is>
          <t>North</t>
        </is>
      </c>
      <c r="D35" s="5" t="inlineStr">
        <is>
          <t>Archana Trikha</t>
        </is>
      </c>
      <c r="E35" s="5" t="inlineStr">
        <is>
          <t>Anjli Zutshi</t>
        </is>
      </c>
      <c r="F35" s="5" t="inlineStr">
        <is>
          <t>Rishab</t>
        </is>
      </c>
      <c r="G35" s="5" t="n">
        <v>11</v>
      </c>
      <c r="H35" s="5" t="n">
        <v>3</v>
      </c>
      <c r="I35" s="5" t="n">
        <v>10</v>
      </c>
      <c r="J35" s="5" t="n">
        <v>4</v>
      </c>
      <c r="K35" s="5" t="n">
        <v>11</v>
      </c>
      <c r="L35" s="5" t="n">
        <v>3</v>
      </c>
      <c r="M35" s="5" t="n">
        <v>12</v>
      </c>
      <c r="N35" s="5" t="n">
        <v>2</v>
      </c>
      <c r="O35" s="5" t="n">
        <v>10</v>
      </c>
      <c r="P35" s="5" t="n">
        <v>4</v>
      </c>
      <c r="Q35" s="5" t="n">
        <v>9</v>
      </c>
      <c r="R35" s="5" t="n">
        <v>5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</row>
    <row r="36">
      <c r="A36" s="5" t="inlineStr">
        <is>
          <t>SKF Auto</t>
        </is>
      </c>
      <c r="B36" s="5" t="inlineStr">
        <is>
          <t>Automotive (Auto Components - Bearings)</t>
        </is>
      </c>
      <c r="C36" s="5" t="inlineStr">
        <is>
          <t>North</t>
        </is>
      </c>
      <c r="D36" s="5" t="inlineStr">
        <is>
          <t>Archana Trikha</t>
        </is>
      </c>
      <c r="E36" s="5" t="inlineStr">
        <is>
          <t>Anjli Zutshi</t>
        </is>
      </c>
      <c r="F36" s="5" t="inlineStr">
        <is>
          <t>Rishab</t>
        </is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12</v>
      </c>
      <c r="T36" s="5" t="n">
        <v>2</v>
      </c>
      <c r="U36" s="5" t="n">
        <v>11</v>
      </c>
      <c r="V36" s="5" t="n">
        <v>3</v>
      </c>
      <c r="W36" s="5" t="n">
        <v>10</v>
      </c>
      <c r="X36" s="5" t="n">
        <v>4</v>
      </c>
      <c r="Y36" s="5" t="n">
        <v>11</v>
      </c>
      <c r="Z36" s="5" t="n">
        <v>3</v>
      </c>
      <c r="AA36" s="5" t="n">
        <v>11</v>
      </c>
      <c r="AB36" s="5" t="n">
        <v>3</v>
      </c>
    </row>
    <row r="37">
      <c r="A37" s="5" t="inlineStr">
        <is>
          <t>SKF Industrial</t>
        </is>
      </c>
      <c r="B37" s="5" t="inlineStr">
        <is>
          <t>Industrial Manufacturing (Bearings)</t>
        </is>
      </c>
      <c r="C37" s="5" t="inlineStr">
        <is>
          <t>North</t>
        </is>
      </c>
      <c r="D37" s="5" t="inlineStr">
        <is>
          <t>Archana Trikha</t>
        </is>
      </c>
      <c r="E37" s="5" t="inlineStr">
        <is>
          <t>Anjli Zutshi</t>
        </is>
      </c>
      <c r="F37" s="5" t="inlineStr">
        <is>
          <t>Rishab</t>
        </is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9</v>
      </c>
      <c r="T37" s="5" t="n">
        <v>5</v>
      </c>
      <c r="U37" s="5" t="n">
        <v>9</v>
      </c>
      <c r="V37" s="5" t="n">
        <v>5</v>
      </c>
      <c r="W37" s="5" t="n">
        <v>11</v>
      </c>
      <c r="X37" s="5" t="n">
        <v>3</v>
      </c>
      <c r="Y37" s="5" t="n">
        <v>11</v>
      </c>
      <c r="Z37" s="5" t="n">
        <v>3</v>
      </c>
      <c r="AA37" s="5" t="n">
        <v>12</v>
      </c>
      <c r="AB37" s="5" t="n">
        <v>2</v>
      </c>
    </row>
    <row r="38">
      <c r="A38" s="5" t="inlineStr">
        <is>
          <t>Sterling tools</t>
        </is>
      </c>
      <c r="B38" s="5" t="inlineStr">
        <is>
          <t>Automotive (Auto Components)</t>
        </is>
      </c>
      <c r="C38" s="5" t="inlineStr">
        <is>
          <t>North</t>
        </is>
      </c>
      <c r="D38" s="5" t="inlineStr">
        <is>
          <t>Archana Trikha</t>
        </is>
      </c>
      <c r="E38" s="5" t="inlineStr">
        <is>
          <t>Anjli Zutshi</t>
        </is>
      </c>
      <c r="F38" s="5" t="inlineStr">
        <is>
          <t>sahil</t>
        </is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5</v>
      </c>
      <c r="P38" s="5" t="n">
        <v>1</v>
      </c>
      <c r="Q38" s="5" t="n">
        <v>5</v>
      </c>
      <c r="R38" s="5" t="n">
        <v>1</v>
      </c>
      <c r="S38" s="5" t="n">
        <v>4</v>
      </c>
      <c r="T38" s="5" t="n">
        <v>2</v>
      </c>
      <c r="U38" s="5" t="n">
        <v>5</v>
      </c>
      <c r="V38" s="5" t="n">
        <v>1</v>
      </c>
      <c r="W38" s="5" t="n">
        <v>5</v>
      </c>
      <c r="X38" s="5" t="n">
        <v>1</v>
      </c>
      <c r="Y38" s="5" t="n">
        <v>5</v>
      </c>
      <c r="Z38" s="5" t="n">
        <v>1</v>
      </c>
      <c r="AA38" s="5" t="n">
        <v>6</v>
      </c>
      <c r="AB38" s="5" t="n">
        <v>0</v>
      </c>
    </row>
    <row r="39">
      <c r="A39" s="5" t="inlineStr">
        <is>
          <t>Subros</t>
        </is>
      </c>
      <c r="B39" s="5" t="inlineStr">
        <is>
          <t>Automotive (Auto Components / HVAC)</t>
        </is>
      </c>
      <c r="C39" s="5" t="inlineStr">
        <is>
          <t>North</t>
        </is>
      </c>
      <c r="D39" s="5" t="inlineStr">
        <is>
          <t>Archana Trikha</t>
        </is>
      </c>
      <c r="E39" s="5" t="inlineStr">
        <is>
          <t>Anjli Zutshi</t>
        </is>
      </c>
      <c r="F39" s="5" t="inlineStr">
        <is>
          <t>Rishab</t>
        </is>
      </c>
      <c r="G39" s="5" t="n">
        <v>3</v>
      </c>
      <c r="H39" s="5" t="n">
        <v>5</v>
      </c>
      <c r="I39" s="5" t="n">
        <v>1</v>
      </c>
      <c r="J39" s="5" t="n">
        <v>5</v>
      </c>
      <c r="K39" s="5" t="n">
        <v>3</v>
      </c>
      <c r="L39" s="5" t="n">
        <v>5</v>
      </c>
      <c r="M39" s="5" t="n">
        <v>2</v>
      </c>
      <c r="N39" s="5" t="n">
        <v>6</v>
      </c>
      <c r="O39" s="5" t="n">
        <v>2</v>
      </c>
      <c r="P39" s="5" t="n">
        <v>6</v>
      </c>
      <c r="Q39" s="5" t="n">
        <v>0</v>
      </c>
      <c r="R39" s="5" t="n">
        <v>0</v>
      </c>
      <c r="S39" s="5" t="n">
        <v>2</v>
      </c>
      <c r="T39" s="5" t="n">
        <v>6</v>
      </c>
      <c r="U39" s="5" t="n">
        <v>2</v>
      </c>
      <c r="V39" s="5" t="n">
        <v>6</v>
      </c>
      <c r="W39" s="5" t="n">
        <v>2</v>
      </c>
      <c r="X39" s="5" t="n">
        <v>5</v>
      </c>
      <c r="Y39" s="5" t="n">
        <v>3</v>
      </c>
      <c r="Z39" s="5" t="n">
        <v>4</v>
      </c>
      <c r="AA39" s="5" t="n">
        <v>3</v>
      </c>
      <c r="AB39" s="5" t="n">
        <v>4</v>
      </c>
    </row>
    <row r="40">
      <c r="A40" s="5" t="inlineStr">
        <is>
          <t>TATA Consumer</t>
        </is>
      </c>
      <c r="B40" s="5" t="inlineStr">
        <is>
          <t>FMCG / Consumer Goods</t>
        </is>
      </c>
      <c r="C40" s="5" t="inlineStr">
        <is>
          <t>West 1</t>
        </is>
      </c>
      <c r="D40" s="5" t="inlineStr">
        <is>
          <t>Usha</t>
        </is>
      </c>
      <c r="E40" s="5" t="inlineStr">
        <is>
          <t>Anjli Zutshi</t>
        </is>
      </c>
      <c r="F40" s="5" t="inlineStr">
        <is>
          <t>Himanshu Srivastava</t>
        </is>
      </c>
      <c r="G40" s="5" t="n">
        <v>6</v>
      </c>
      <c r="H40" s="5" t="n">
        <v>5</v>
      </c>
      <c r="I40" s="5" t="n">
        <v>8</v>
      </c>
      <c r="J40" s="5" t="n">
        <v>3</v>
      </c>
      <c r="K40" s="5" t="n">
        <v>5</v>
      </c>
      <c r="L40" s="5" t="n">
        <v>4</v>
      </c>
      <c r="M40" s="5" t="n">
        <v>7</v>
      </c>
      <c r="N40" s="5" t="n">
        <v>4</v>
      </c>
      <c r="O40" s="5" t="n">
        <v>6</v>
      </c>
      <c r="P40" s="5" t="n">
        <v>5</v>
      </c>
      <c r="Q40" s="5" t="n">
        <v>8</v>
      </c>
      <c r="R40" s="5" t="n">
        <v>3</v>
      </c>
      <c r="S40" s="5" t="n">
        <v>7</v>
      </c>
      <c r="T40" s="5" t="n">
        <v>4</v>
      </c>
      <c r="U40" s="5" t="n">
        <v>9</v>
      </c>
      <c r="V40" s="5" t="n">
        <v>2</v>
      </c>
      <c r="W40" s="5" t="n">
        <v>7</v>
      </c>
      <c r="X40" s="5" t="n">
        <v>4</v>
      </c>
      <c r="Y40" s="5" t="n">
        <v>9</v>
      </c>
      <c r="Z40" s="5" t="n">
        <v>2</v>
      </c>
      <c r="AA40" s="5" t="n">
        <v>0</v>
      </c>
      <c r="AB40" s="5" t="n">
        <v>0</v>
      </c>
    </row>
    <row r="41">
      <c r="A41" s="5" t="inlineStr">
        <is>
          <t>TATA Electronics</t>
        </is>
      </c>
      <c r="B41" s="5" t="inlineStr">
        <is>
          <t>Electronics Manufacturing</t>
        </is>
      </c>
      <c r="C41" s="5" t="inlineStr">
        <is>
          <t>South 2</t>
        </is>
      </c>
      <c r="D41" s="5" t="inlineStr">
        <is>
          <t>Krishna</t>
        </is>
      </c>
      <c r="E41" s="5" t="inlineStr">
        <is>
          <t>TBH</t>
        </is>
      </c>
      <c r="F41" s="5" t="inlineStr">
        <is>
          <t>Mehvish Naz</t>
        </is>
      </c>
      <c r="G41" s="5" t="n">
        <v>0</v>
      </c>
      <c r="H41" s="5" t="n">
        <v>0</v>
      </c>
      <c r="I41" s="5" t="n">
        <v>2</v>
      </c>
      <c r="J41" s="5" t="n">
        <v>2</v>
      </c>
      <c r="K41" s="5" t="n">
        <v>3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2</v>
      </c>
      <c r="V41" s="5" t="n">
        <v>6</v>
      </c>
      <c r="W41" s="5" t="n">
        <v>3</v>
      </c>
      <c r="X41" s="5" t="n">
        <v>3</v>
      </c>
      <c r="Y41" s="5" t="n">
        <v>1</v>
      </c>
      <c r="Z41" s="5" t="n">
        <v>7</v>
      </c>
      <c r="AA41" s="5" t="n">
        <v>0</v>
      </c>
      <c r="AB41" s="5" t="n">
        <v>0</v>
      </c>
    </row>
    <row r="42">
      <c r="A42" s="5" t="inlineStr">
        <is>
          <t>TATA Fiber</t>
        </is>
      </c>
      <c r="B42" s="5" t="inlineStr">
        <is>
          <t>Telecom (Fiber/Infrastructure)</t>
        </is>
      </c>
      <c r="C42" s="5" t="inlineStr">
        <is>
          <t>West 1</t>
        </is>
      </c>
      <c r="D42" s="5" t="inlineStr">
        <is>
          <t>Usha</t>
        </is>
      </c>
      <c r="E42" s="5" t="inlineStr">
        <is>
          <t>Anjli Zutshi</t>
        </is>
      </c>
      <c r="F42" s="5" t="inlineStr">
        <is>
          <t>Himanshu Srivastava</t>
        </is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</row>
    <row r="43">
      <c r="A43" s="5" t="inlineStr">
        <is>
          <t>TATA Power</t>
        </is>
      </c>
      <c r="B43" s="5" t="inlineStr">
        <is>
          <t>Energy &amp; Utilities (Power)</t>
        </is>
      </c>
      <c r="C43" s="5" t="inlineStr">
        <is>
          <t>West 1</t>
        </is>
      </c>
      <c r="D43" s="5" t="inlineStr">
        <is>
          <t>Elton</t>
        </is>
      </c>
      <c r="E43" s="5" t="inlineStr">
        <is>
          <t>Anjli Zutshi</t>
        </is>
      </c>
      <c r="F43" s="5" t="inlineStr">
        <is>
          <t>Sahil</t>
        </is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</row>
    <row r="44">
      <c r="A44" s="5" t="inlineStr">
        <is>
          <t>TATA Tele</t>
        </is>
      </c>
      <c r="B44" s="5" t="inlineStr">
        <is>
          <t>Telecom</t>
        </is>
      </c>
      <c r="C44" s="5" t="inlineStr">
        <is>
          <t>West 1</t>
        </is>
      </c>
      <c r="D44" s="5" t="inlineStr">
        <is>
          <t>Elton</t>
        </is>
      </c>
      <c r="E44" s="5" t="inlineStr">
        <is>
          <t>Anjli Zutshi</t>
        </is>
      </c>
      <c r="F44" s="5" t="inlineStr">
        <is>
          <t>Sahil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</row>
    <row r="45">
      <c r="A45" s="5" t="inlineStr">
        <is>
          <t>TITAN</t>
        </is>
      </c>
      <c r="B45" s="5" t="inlineStr">
        <is>
          <t>Retail (Watches &amp; Jewellery)</t>
        </is>
      </c>
      <c r="C45" s="5" t="inlineStr">
        <is>
          <t xml:space="preserve">South 1 </t>
        </is>
      </c>
      <c r="D45" s="5" t="inlineStr">
        <is>
          <t>TBH</t>
        </is>
      </c>
      <c r="E45" s="5" t="inlineStr">
        <is>
          <t>TBH</t>
        </is>
      </c>
      <c r="F45" s="5" t="inlineStr">
        <is>
          <t>Debashreeta</t>
        </is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</row>
    <row r="46">
      <c r="A46" s="5" t="inlineStr">
        <is>
          <t>Ultratech</t>
        </is>
      </c>
      <c r="B46" s="5" t="inlineStr">
        <is>
          <t>Cement / Building Materials</t>
        </is>
      </c>
      <c r="C46" s="5" t="inlineStr">
        <is>
          <t>West 2</t>
        </is>
      </c>
      <c r="D46" s="5" t="inlineStr">
        <is>
          <t>Shweta</t>
        </is>
      </c>
      <c r="E46" s="5" t="inlineStr">
        <is>
          <t>Anjli Zutshi</t>
        </is>
      </c>
      <c r="F46" s="5" t="inlineStr">
        <is>
          <t>Himanshu Srivastava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</row>
    <row r="47">
      <c r="A47" s="5" t="inlineStr">
        <is>
          <t>Vertiv Energy</t>
        </is>
      </c>
      <c r="B47" s="5" t="inlineStr">
        <is>
          <t>Industrial (Data Center Infrastructure/Power &amp; Cooling)</t>
        </is>
      </c>
      <c r="C47" s="5" t="inlineStr">
        <is>
          <t>West 2</t>
        </is>
      </c>
      <c r="D47" s="5" t="inlineStr">
        <is>
          <t>Shweta</t>
        </is>
      </c>
      <c r="E47" s="5" t="inlineStr">
        <is>
          <t>Anjli Zutshi</t>
        </is>
      </c>
      <c r="F47" s="5" t="inlineStr">
        <is>
          <t>Debashreeta</t>
        </is>
      </c>
      <c r="G47" s="5" t="n">
        <v>4</v>
      </c>
      <c r="H47" s="5" t="n">
        <v>4</v>
      </c>
      <c r="I47" s="5" t="n">
        <v>5</v>
      </c>
      <c r="J47" s="5" t="n">
        <v>3</v>
      </c>
      <c r="K47" s="5" t="n">
        <v>3</v>
      </c>
      <c r="L47" s="5" t="n">
        <v>5</v>
      </c>
      <c r="M47" s="5" t="n">
        <v>4</v>
      </c>
      <c r="N47" s="5" t="n">
        <v>4</v>
      </c>
      <c r="O47" s="5" t="n">
        <v>5</v>
      </c>
      <c r="P47" s="5" t="n">
        <v>2</v>
      </c>
      <c r="Q47" s="5" t="n">
        <v>3</v>
      </c>
      <c r="R47" s="5" t="n">
        <v>5</v>
      </c>
      <c r="S47" s="5" t="n">
        <v>4</v>
      </c>
      <c r="T47" s="5" t="n">
        <v>4</v>
      </c>
      <c r="U47" s="5" t="n">
        <v>4</v>
      </c>
      <c r="V47" s="5" t="n">
        <v>4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</row>
    <row r="48">
      <c r="A48" s="5" t="inlineStr">
        <is>
          <t>Wipro</t>
        </is>
      </c>
      <c r="B48" s="5" t="inlineStr">
        <is>
          <t>IT Services</t>
        </is>
      </c>
      <c r="C48" s="5" t="inlineStr">
        <is>
          <t xml:space="preserve">South 1 </t>
        </is>
      </c>
      <c r="D48" s="5" t="inlineStr">
        <is>
          <t>TBH</t>
        </is>
      </c>
      <c r="E48" s="5" t="inlineStr">
        <is>
          <t>TBH</t>
        </is>
      </c>
      <c r="F48" s="5" t="inlineStr">
        <is>
          <t>Himanshu Srivastava</t>
        </is>
      </c>
      <c r="G48" s="5" t="n">
        <v>6</v>
      </c>
      <c r="H48" s="5" t="n">
        <v>1</v>
      </c>
      <c r="I48" s="5" t="n">
        <v>7</v>
      </c>
      <c r="J48" s="5" t="n">
        <v>0</v>
      </c>
      <c r="K48" s="5" t="n">
        <v>8</v>
      </c>
      <c r="L48" s="5" t="n">
        <v>0</v>
      </c>
      <c r="M48" s="5" t="n">
        <v>7</v>
      </c>
      <c r="N48" s="5" t="n">
        <v>0</v>
      </c>
      <c r="O48" s="5" t="n">
        <v>7</v>
      </c>
      <c r="P48" s="5" t="n">
        <v>0</v>
      </c>
      <c r="Q48" s="5" t="n">
        <v>6</v>
      </c>
      <c r="R48" s="5" t="n">
        <v>1</v>
      </c>
      <c r="S48" s="5" t="n">
        <v>7</v>
      </c>
      <c r="T48" s="5" t="n">
        <v>0</v>
      </c>
      <c r="U48" s="5" t="n">
        <v>7</v>
      </c>
      <c r="V48" s="5" t="n">
        <v>0</v>
      </c>
      <c r="W48" s="5" t="n">
        <v>6</v>
      </c>
      <c r="X48" s="5" t="n">
        <v>1</v>
      </c>
      <c r="Y48" s="5" t="n">
        <v>6</v>
      </c>
      <c r="Z48" s="5" t="n">
        <v>1</v>
      </c>
      <c r="AA48" s="5" t="n">
        <v>0</v>
      </c>
      <c r="AB48" s="5" t="n">
        <v>0</v>
      </c>
    </row>
    <row r="49">
      <c r="A49" s="5" t="inlineStr">
        <is>
          <t>WTW (Ops &amp; Tech)</t>
        </is>
      </c>
      <c r="B49" s="5" t="inlineStr">
        <is>
          <t>BFSI (Insurance/Consulting)</t>
        </is>
      </c>
      <c r="C49" s="5" t="inlineStr">
        <is>
          <t>West 1</t>
        </is>
      </c>
      <c r="D49" s="5" t="inlineStr">
        <is>
          <t>Elton</t>
        </is>
      </c>
      <c r="E49" s="5" t="inlineStr">
        <is>
          <t>Anjli Zutshi</t>
        </is>
      </c>
      <c r="F49" s="5" t="inlineStr">
        <is>
          <t>Sahil</t>
        </is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</row>
  </sheetData>
  <autoFilter ref="A1:AB49"/>
  <conditionalFormatting sqref="A2">
    <cfRule type="containsText" priority="1" operator="containsText" dxfId="1" text="Not Met">
      <formula>NOT(ISERROR(SEARCH("Not Met",A2)))</formula>
    </cfRule>
    <cfRule type="containsText" priority="2" operator="containsText" dxfId="0" text="Met">
      <formula>NOT(ISERROR(SEARCH("Met",A2)))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07"/>
  <sheetViews>
    <sheetView topLeftCell="Z1" workbookViewId="0">
      <selection activeCell="AG2" sqref="AG2"/>
    </sheetView>
  </sheetViews>
  <sheetFormatPr baseColWidth="8" defaultRowHeight="15"/>
  <cols>
    <col width="25.5703125" bestFit="1" customWidth="1" min="1" max="1"/>
    <col width="8" bestFit="1" customWidth="1" min="2" max="2"/>
    <col width="17.7109375" bestFit="1" customWidth="1" min="3" max="3"/>
    <col width="28.85546875" bestFit="1" customWidth="1" min="4" max="4"/>
    <col width="12" bestFit="1" customWidth="1" min="5" max="5"/>
    <col width="17.5703125" bestFit="1" customWidth="1" min="6" max="6"/>
    <col width="7.7109375" bestFit="1" customWidth="1" min="7" max="7"/>
    <col width="89.28515625" bestFit="1" customWidth="1" min="8" max="8"/>
    <col width="70.7109375" bestFit="1" customWidth="1" min="9" max="9"/>
    <col width="17.140625" bestFit="1" customWidth="1" min="10" max="10"/>
    <col width="23.7109375" bestFit="1" customWidth="1" min="11" max="11"/>
    <col width="16.5703125" bestFit="1" customWidth="1" min="12" max="12"/>
    <col width="23.140625" bestFit="1" customWidth="1" min="13" max="13"/>
    <col width="17" bestFit="1" customWidth="1" min="14" max="14"/>
    <col width="23.5703125" bestFit="1" customWidth="1" min="15" max="15"/>
    <col width="16.5703125" bestFit="1" customWidth="1" min="16" max="16"/>
    <col width="23.140625" bestFit="1" customWidth="1" min="17" max="17"/>
    <col width="16.28515625" bestFit="1" customWidth="1" min="18" max="18"/>
    <col width="22.85546875" bestFit="1" customWidth="1" min="19" max="19"/>
    <col width="16.28515625" bestFit="1" customWidth="1" min="20" max="20"/>
    <col width="22.85546875" bestFit="1" customWidth="1" min="21" max="21"/>
    <col width="16.140625" bestFit="1" customWidth="1" min="22" max="22"/>
    <col width="22.7109375" bestFit="1" customWidth="1" min="23" max="23"/>
    <col width="15.85546875" bestFit="1" customWidth="1" min="24" max="24"/>
    <col width="22.42578125" bestFit="1" customWidth="1" min="25" max="25"/>
    <col width="15.85546875" bestFit="1" customWidth="1" min="26" max="26"/>
    <col width="22.42578125" bestFit="1" customWidth="1" min="27" max="27"/>
    <col width="16.42578125" bestFit="1" customWidth="1" style="1" min="28" max="28"/>
    <col width="23" bestFit="1" customWidth="1" style="1" min="29" max="29"/>
    <col width="16.140625" bestFit="1" customWidth="1" style="1" min="30" max="30"/>
    <col width="22.7109375" bestFit="1" customWidth="1" style="1" min="31" max="31"/>
    <col width="15.7109375" bestFit="1" customWidth="1" style="1" min="32" max="32"/>
    <col width="18.42578125" customWidth="1" style="1" min="33" max="33"/>
    <col width="13.140625" bestFit="1" customWidth="1" style="1" min="34" max="34"/>
    <col width="18.140625" bestFit="1" customWidth="1" style="1" min="35" max="35"/>
  </cols>
  <sheetData>
    <row r="1">
      <c r="A1" s="22" t="inlineStr">
        <is>
          <t>Project</t>
        </is>
      </c>
      <c r="B1" s="22" t="inlineStr">
        <is>
          <t>Region</t>
        </is>
      </c>
      <c r="C1" s="23" t="inlineStr">
        <is>
          <t>Practice Head</t>
        </is>
      </c>
      <c r="D1" s="23" t="inlineStr">
        <is>
          <t>BE SPOC</t>
        </is>
      </c>
      <c r="E1" s="23" t="inlineStr">
        <is>
          <t>Category</t>
        </is>
      </c>
      <c r="F1" s="23" t="inlineStr">
        <is>
          <t>Category Sub Type</t>
        </is>
      </c>
      <c r="G1" s="23" t="inlineStr">
        <is>
          <t>Penalty</t>
        </is>
      </c>
      <c r="H1" s="24" t="inlineStr">
        <is>
          <t xml:space="preserve">Performance Measure </t>
        </is>
      </c>
      <c r="I1" s="23" t="inlineStr">
        <is>
          <t>Target</t>
        </is>
      </c>
      <c r="J1" s="25" t="inlineStr">
        <is>
          <t>April25 Score</t>
        </is>
      </c>
      <c r="K1" s="25" t="inlineStr">
        <is>
          <t>April MET/NOT_MET</t>
        </is>
      </c>
      <c r="L1" s="25" t="inlineStr">
        <is>
          <t>May25 Score</t>
        </is>
      </c>
      <c r="M1" s="25" t="inlineStr">
        <is>
          <t>May MET/NOT_MET</t>
        </is>
      </c>
      <c r="N1" s="25" t="inlineStr">
        <is>
          <t>June25 Score</t>
        </is>
      </c>
      <c r="O1" s="25" t="inlineStr">
        <is>
          <t>June MET/NOT_MET</t>
        </is>
      </c>
      <c r="P1" s="25" t="inlineStr">
        <is>
          <t>AMJ25 Score</t>
        </is>
      </c>
      <c r="Q1" s="25" t="inlineStr">
        <is>
          <t>AMJ MET/NOT_MET</t>
        </is>
      </c>
      <c r="R1" s="25" t="inlineStr">
        <is>
          <t>July25 Score</t>
        </is>
      </c>
      <c r="S1" s="25" t="inlineStr">
        <is>
          <t>July MET/NOT_MET</t>
        </is>
      </c>
      <c r="T1" s="25" t="inlineStr">
        <is>
          <t>Aug25 Score</t>
        </is>
      </c>
      <c r="U1" s="25" t="inlineStr">
        <is>
          <t>Aug MET/NOT_MET</t>
        </is>
      </c>
      <c r="V1" s="25" t="inlineStr">
        <is>
          <t>Sep25 Score</t>
        </is>
      </c>
      <c r="W1" s="25" t="inlineStr">
        <is>
          <t>Sep MET/NOT_MET</t>
        </is>
      </c>
      <c r="X1" s="25" t="inlineStr">
        <is>
          <t>JAS25 Score</t>
        </is>
      </c>
      <c r="Y1" s="25" t="inlineStr">
        <is>
          <t>JAS MET/NOT_MET</t>
        </is>
      </c>
      <c r="Z1" s="25" t="inlineStr">
        <is>
          <t>Oct25 Score</t>
        </is>
      </c>
      <c r="AA1" s="25" t="inlineStr">
        <is>
          <t>Oct MET/NOT_MET</t>
        </is>
      </c>
      <c r="AB1" s="91" t="inlineStr">
        <is>
          <t>Nov25 Score</t>
        </is>
      </c>
      <c r="AC1" s="91" t="inlineStr">
        <is>
          <t>Nov MET/NOT_MET</t>
        </is>
      </c>
      <c r="AD1" s="91" t="inlineStr">
        <is>
          <t>Dec25 Score</t>
        </is>
      </c>
      <c r="AE1" s="91" t="inlineStr">
        <is>
          <t>Dec MET/NOT_MET</t>
        </is>
      </c>
      <c r="AF1" s="91" t="inlineStr">
        <is>
          <t>Jan26 Score</t>
        </is>
      </c>
      <c r="AG1" s="91" t="inlineStr">
        <is>
          <t>Jan MET/NOT_MET</t>
        </is>
      </c>
      <c r="AH1" s="284" t="inlineStr">
        <is>
          <t>Feb26 Score</t>
        </is>
      </c>
      <c r="AI1" s="284" t="inlineStr">
        <is>
          <t>Feb MET/NOT_MET</t>
        </is>
      </c>
      <c r="AJ1" s="92" t="inlineStr">
        <is>
          <t>YTD Score</t>
        </is>
      </c>
      <c r="AK1" s="92" t="inlineStr">
        <is>
          <t>YTD MET/NOT_MET</t>
        </is>
      </c>
    </row>
    <row r="2">
      <c r="A2" s="195" t="inlineStr">
        <is>
          <t>Ambuja Cement</t>
        </is>
      </c>
      <c r="B2" s="196" t="inlineStr">
        <is>
          <t>West 1</t>
        </is>
      </c>
      <c r="C2" s="276" t="inlineStr">
        <is>
          <t>Elton</t>
        </is>
      </c>
      <c r="D2" s="197" t="inlineStr">
        <is>
          <t>Sahil, Debashreeta &amp; Mandeep</t>
        </is>
      </c>
      <c r="E2" s="198" t="inlineStr">
        <is>
          <t>Category (A)</t>
        </is>
      </c>
      <c r="F2" s="195" t="inlineStr">
        <is>
          <t>Internal KPI</t>
        </is>
      </c>
      <c r="G2" s="195" t="inlineStr">
        <is>
          <t>No</t>
        </is>
      </c>
      <c r="H2" s="198" t="inlineStr">
        <is>
          <t>Time-to-Fill
(Req. Ageing) - Officer/ Grade 0</t>
        </is>
      </c>
      <c r="I2" s="199" t="n">
        <v>39</v>
      </c>
      <c r="J2" s="200" t="inlineStr">
        <is>
          <t>NA</t>
        </is>
      </c>
      <c r="K2" s="200" t="inlineStr">
        <is>
          <t>NA</t>
        </is>
      </c>
      <c r="L2" s="200" t="inlineStr">
        <is>
          <t>NA</t>
        </is>
      </c>
      <c r="M2" s="200" t="inlineStr">
        <is>
          <t>NA</t>
        </is>
      </c>
      <c r="N2" s="200" t="inlineStr">
        <is>
          <t>NA</t>
        </is>
      </c>
      <c r="O2" s="200" t="inlineStr">
        <is>
          <t>NA</t>
        </is>
      </c>
      <c r="P2" s="200" t="inlineStr">
        <is>
          <t>NA</t>
        </is>
      </c>
      <c r="Q2" s="200" t="inlineStr">
        <is>
          <t>NA</t>
        </is>
      </c>
      <c r="R2" s="200" t="inlineStr">
        <is>
          <t>NA</t>
        </is>
      </c>
      <c r="S2" s="200" t="inlineStr">
        <is>
          <t>NA</t>
        </is>
      </c>
      <c r="T2" s="200" t="inlineStr">
        <is>
          <t>NA</t>
        </is>
      </c>
      <c r="U2" s="200" t="inlineStr">
        <is>
          <t>NA</t>
        </is>
      </c>
      <c r="V2" s="200" t="inlineStr">
        <is>
          <t>NA</t>
        </is>
      </c>
      <c r="W2" s="200" t="inlineStr">
        <is>
          <t>NA</t>
        </is>
      </c>
      <c r="X2" s="200" t="inlineStr">
        <is>
          <t>NA</t>
        </is>
      </c>
      <c r="Y2" s="200" t="inlineStr">
        <is>
          <t>NA</t>
        </is>
      </c>
      <c r="Z2" s="200" t="inlineStr">
        <is>
          <t>NA</t>
        </is>
      </c>
      <c r="AA2" s="200" t="inlineStr">
        <is>
          <t>NA</t>
        </is>
      </c>
      <c r="AB2" s="199" t="inlineStr">
        <is>
          <t>Not Reported</t>
        </is>
      </c>
      <c r="AC2" s="199" t="inlineStr">
        <is>
          <t>Not Reported</t>
        </is>
      </c>
      <c r="AD2" s="201" t="n">
        <v>59</v>
      </c>
      <c r="AE2" s="202" t="inlineStr">
        <is>
          <t>Not Met</t>
        </is>
      </c>
      <c r="AF2" s="261" t="n">
        <v>37</v>
      </c>
      <c r="AG2" s="202" t="inlineStr">
        <is>
          <t>Met</t>
        </is>
      </c>
      <c r="AH2" s="285" t="n">
        <v>0</v>
      </c>
      <c r="AI2" s="285" t="inlineStr">
        <is>
          <t>Not Reported</t>
        </is>
      </c>
      <c r="AJ2" s="261" t="n">
        <v>34</v>
      </c>
      <c r="AK2" s="202" t="inlineStr">
        <is>
          <t>Met</t>
        </is>
      </c>
      <c r="AM2" s="283" t="n"/>
    </row>
    <row r="3">
      <c r="A3" s="87" t="inlineStr">
        <is>
          <t>Ambuja Cement</t>
        </is>
      </c>
      <c r="B3" s="88" t="inlineStr">
        <is>
          <t>West 1</t>
        </is>
      </c>
      <c r="C3" s="277" t="inlineStr">
        <is>
          <t>Elton</t>
        </is>
      </c>
      <c r="D3" s="89" t="inlineStr">
        <is>
          <t>Sahil, Debashreeta &amp; Mandeep</t>
        </is>
      </c>
      <c r="E3" s="85" t="inlineStr">
        <is>
          <t>Category (A)</t>
        </is>
      </c>
      <c r="F3" s="87" t="inlineStr">
        <is>
          <t>Internal KPI</t>
        </is>
      </c>
      <c r="G3" s="87" t="inlineStr">
        <is>
          <t>No</t>
        </is>
      </c>
      <c r="H3" s="85" t="inlineStr">
        <is>
          <t>Time-to-Fill
(Req. Ageing) -Mid Executive/ Grade E</t>
        </is>
      </c>
      <c r="I3" s="90" t="n">
        <v>39</v>
      </c>
      <c r="J3" s="20" t="inlineStr">
        <is>
          <t>NA</t>
        </is>
      </c>
      <c r="K3" s="20" t="inlineStr">
        <is>
          <t>NA</t>
        </is>
      </c>
      <c r="L3" s="20" t="inlineStr">
        <is>
          <t>NA</t>
        </is>
      </c>
      <c r="M3" s="20" t="inlineStr">
        <is>
          <t>NA</t>
        </is>
      </c>
      <c r="N3" s="20" t="inlineStr">
        <is>
          <t>NA</t>
        </is>
      </c>
      <c r="O3" s="20" t="inlineStr">
        <is>
          <t>NA</t>
        </is>
      </c>
      <c r="P3" s="20" t="inlineStr">
        <is>
          <t>NA</t>
        </is>
      </c>
      <c r="Q3" s="20" t="inlineStr">
        <is>
          <t>NA</t>
        </is>
      </c>
      <c r="R3" s="20" t="inlineStr">
        <is>
          <t>NA</t>
        </is>
      </c>
      <c r="S3" s="20" t="inlineStr">
        <is>
          <t>NA</t>
        </is>
      </c>
      <c r="T3" s="20" t="inlineStr">
        <is>
          <t>NA</t>
        </is>
      </c>
      <c r="U3" s="20" t="inlineStr">
        <is>
          <t>NA</t>
        </is>
      </c>
      <c r="V3" s="20" t="inlineStr">
        <is>
          <t>NA</t>
        </is>
      </c>
      <c r="W3" s="20" t="inlineStr">
        <is>
          <t>NA</t>
        </is>
      </c>
      <c r="X3" s="20" t="inlineStr">
        <is>
          <t>NA</t>
        </is>
      </c>
      <c r="Y3" s="20" t="inlineStr">
        <is>
          <t>NA</t>
        </is>
      </c>
      <c r="Z3" s="20" t="inlineStr">
        <is>
          <t>NA</t>
        </is>
      </c>
      <c r="AA3" s="20" t="inlineStr">
        <is>
          <t>NA</t>
        </is>
      </c>
      <c r="AB3" s="90" t="inlineStr">
        <is>
          <t>Not Reported</t>
        </is>
      </c>
      <c r="AC3" s="90" t="inlineStr">
        <is>
          <t>Not Reported</t>
        </is>
      </c>
      <c r="AD3" s="125" t="n">
        <v>81</v>
      </c>
      <c r="AE3" s="28" t="inlineStr">
        <is>
          <t>Not Met</t>
        </is>
      </c>
      <c r="AF3" s="262" t="n">
        <v>27</v>
      </c>
      <c r="AG3" s="202" t="inlineStr">
        <is>
          <t>Met</t>
        </is>
      </c>
      <c r="AH3" s="285" t="n">
        <v>0</v>
      </c>
      <c r="AI3" s="285" t="inlineStr">
        <is>
          <t>Not Reported</t>
        </is>
      </c>
      <c r="AJ3" s="262" t="n">
        <v>51</v>
      </c>
      <c r="AK3" s="28" t="inlineStr">
        <is>
          <t>Not Met</t>
        </is>
      </c>
    </row>
    <row r="4">
      <c r="A4" s="87" t="inlineStr">
        <is>
          <t>Ambuja Cement</t>
        </is>
      </c>
      <c r="B4" s="88" t="inlineStr">
        <is>
          <t>West 1</t>
        </is>
      </c>
      <c r="C4" s="277" t="inlineStr">
        <is>
          <t>Elton</t>
        </is>
      </c>
      <c r="D4" s="89" t="inlineStr">
        <is>
          <t>Sahil, Debashreeta &amp; Mandeep</t>
        </is>
      </c>
      <c r="E4" s="85" t="inlineStr">
        <is>
          <t>Category (A)</t>
        </is>
      </c>
      <c r="F4" s="87" t="inlineStr">
        <is>
          <t>Internal KPI</t>
        </is>
      </c>
      <c r="G4" s="87" t="inlineStr">
        <is>
          <t>No</t>
        </is>
      </c>
      <c r="H4" s="85" t="inlineStr">
        <is>
          <t>Time-to-Fill
(Req. Ageing) - Senior Executive / Grade GM &amp; AVP</t>
        </is>
      </c>
      <c r="I4" s="90" t="n">
        <v>69</v>
      </c>
      <c r="J4" s="20" t="inlineStr">
        <is>
          <t>NA</t>
        </is>
      </c>
      <c r="K4" s="20" t="inlineStr">
        <is>
          <t>NA</t>
        </is>
      </c>
      <c r="L4" s="20" t="inlineStr">
        <is>
          <t>NA</t>
        </is>
      </c>
      <c r="M4" s="20" t="inlineStr">
        <is>
          <t>NA</t>
        </is>
      </c>
      <c r="N4" s="20" t="inlineStr">
        <is>
          <t>NA</t>
        </is>
      </c>
      <c r="O4" s="20" t="inlineStr">
        <is>
          <t>NA</t>
        </is>
      </c>
      <c r="P4" s="20" t="inlineStr">
        <is>
          <t>NA</t>
        </is>
      </c>
      <c r="Q4" s="20" t="inlineStr">
        <is>
          <t>NA</t>
        </is>
      </c>
      <c r="R4" s="20" t="inlineStr">
        <is>
          <t>NA</t>
        </is>
      </c>
      <c r="S4" s="20" t="inlineStr">
        <is>
          <t>NA</t>
        </is>
      </c>
      <c r="T4" s="20" t="inlineStr">
        <is>
          <t>NA</t>
        </is>
      </c>
      <c r="U4" s="20" t="inlineStr">
        <is>
          <t>NA</t>
        </is>
      </c>
      <c r="V4" s="20" t="inlineStr">
        <is>
          <t>NA</t>
        </is>
      </c>
      <c r="W4" s="20" t="inlineStr">
        <is>
          <t>NA</t>
        </is>
      </c>
      <c r="X4" s="20" t="inlineStr">
        <is>
          <t>NA</t>
        </is>
      </c>
      <c r="Y4" s="20" t="inlineStr">
        <is>
          <t>NA</t>
        </is>
      </c>
      <c r="Z4" s="20" t="inlineStr">
        <is>
          <t>NA</t>
        </is>
      </c>
      <c r="AA4" s="20" t="inlineStr">
        <is>
          <t>NA</t>
        </is>
      </c>
      <c r="AB4" s="90" t="inlineStr">
        <is>
          <t>Not Reported</t>
        </is>
      </c>
      <c r="AC4" s="90" t="inlineStr">
        <is>
          <t>Not Reported</t>
        </is>
      </c>
      <c r="AD4" s="125" t="n">
        <v>0</v>
      </c>
      <c r="AE4" s="28" t="inlineStr">
        <is>
          <t>Met</t>
        </is>
      </c>
      <c r="AF4" s="262" t="inlineStr">
        <is>
          <t>NA</t>
        </is>
      </c>
      <c r="AG4" s="97" t="inlineStr">
        <is>
          <t>NA</t>
        </is>
      </c>
      <c r="AH4" s="285" t="n">
        <v>0</v>
      </c>
      <c r="AI4" s="285" t="inlineStr">
        <is>
          <t>Not Reported</t>
        </is>
      </c>
      <c r="AJ4" s="262" t="inlineStr">
        <is>
          <t>NA</t>
        </is>
      </c>
      <c r="AK4" s="262" t="inlineStr">
        <is>
          <t>NA</t>
        </is>
      </c>
    </row>
    <row r="5">
      <c r="A5" s="87" t="inlineStr">
        <is>
          <t>Ambuja Cement</t>
        </is>
      </c>
      <c r="B5" s="88" t="inlineStr">
        <is>
          <t>West 1</t>
        </is>
      </c>
      <c r="C5" s="277" t="inlineStr">
        <is>
          <t>Elton</t>
        </is>
      </c>
      <c r="D5" s="89" t="inlineStr">
        <is>
          <t>Sahil, Debashreeta &amp; Mandeep</t>
        </is>
      </c>
      <c r="E5" s="85" t="inlineStr">
        <is>
          <t>Category (A)</t>
        </is>
      </c>
      <c r="F5" s="87" t="inlineStr">
        <is>
          <t>Internal KPI</t>
        </is>
      </c>
      <c r="G5" s="87" t="inlineStr">
        <is>
          <t>No</t>
        </is>
      </c>
      <c r="H5" s="85" t="inlineStr">
        <is>
          <t>Hiring Cycle Time - Officer/ Grade 0</t>
        </is>
      </c>
      <c r="I5" s="90" t="n">
        <v>99</v>
      </c>
      <c r="J5" s="20" t="inlineStr">
        <is>
          <t>NA</t>
        </is>
      </c>
      <c r="K5" s="20" t="inlineStr">
        <is>
          <t>NA</t>
        </is>
      </c>
      <c r="L5" s="20" t="inlineStr">
        <is>
          <t>NA</t>
        </is>
      </c>
      <c r="M5" s="20" t="inlineStr">
        <is>
          <t>NA</t>
        </is>
      </c>
      <c r="N5" s="20" t="inlineStr">
        <is>
          <t>NA</t>
        </is>
      </c>
      <c r="O5" s="20" t="inlineStr">
        <is>
          <t>NA</t>
        </is>
      </c>
      <c r="P5" s="20" t="inlineStr">
        <is>
          <t>NA</t>
        </is>
      </c>
      <c r="Q5" s="20" t="inlineStr">
        <is>
          <t>NA</t>
        </is>
      </c>
      <c r="R5" s="20" t="inlineStr">
        <is>
          <t>NA</t>
        </is>
      </c>
      <c r="S5" s="20" t="inlineStr">
        <is>
          <t>NA</t>
        </is>
      </c>
      <c r="T5" s="20" t="inlineStr">
        <is>
          <t>NA</t>
        </is>
      </c>
      <c r="U5" s="20" t="inlineStr">
        <is>
          <t>NA</t>
        </is>
      </c>
      <c r="V5" s="20" t="inlineStr">
        <is>
          <t>NA</t>
        </is>
      </c>
      <c r="W5" s="20" t="inlineStr">
        <is>
          <t>NA</t>
        </is>
      </c>
      <c r="X5" s="20" t="inlineStr">
        <is>
          <t>NA</t>
        </is>
      </c>
      <c r="Y5" s="20" t="inlineStr">
        <is>
          <t>NA</t>
        </is>
      </c>
      <c r="Z5" s="20" t="inlineStr">
        <is>
          <t>NA</t>
        </is>
      </c>
      <c r="AA5" s="20" t="inlineStr">
        <is>
          <t>NA</t>
        </is>
      </c>
      <c r="AB5" s="90" t="inlineStr">
        <is>
          <t>Not Reported</t>
        </is>
      </c>
      <c r="AC5" s="90" t="inlineStr">
        <is>
          <t>Not Reported</t>
        </is>
      </c>
      <c r="AD5" s="125" t="n">
        <v>122</v>
      </c>
      <c r="AE5" s="28" t="inlineStr">
        <is>
          <t>Not Met</t>
        </is>
      </c>
      <c r="AF5" s="262" t="n">
        <v>114</v>
      </c>
      <c r="AG5" s="28" t="inlineStr">
        <is>
          <t>Not Met</t>
        </is>
      </c>
      <c r="AH5" s="285" t="n">
        <v>0</v>
      </c>
      <c r="AI5" s="285" t="inlineStr">
        <is>
          <t>Not Reported</t>
        </is>
      </c>
      <c r="AJ5" s="262" t="n">
        <v>88</v>
      </c>
      <c r="AK5" s="202" t="inlineStr">
        <is>
          <t>Met</t>
        </is>
      </c>
    </row>
    <row r="6">
      <c r="A6" s="87" t="inlineStr">
        <is>
          <t>Ambuja Cement</t>
        </is>
      </c>
      <c r="B6" s="88" t="inlineStr">
        <is>
          <t>West 1</t>
        </is>
      </c>
      <c r="C6" s="277" t="inlineStr">
        <is>
          <t>Elton</t>
        </is>
      </c>
      <c r="D6" s="89" t="inlineStr">
        <is>
          <t>Sahil, Debashreeta &amp; Mandeep</t>
        </is>
      </c>
      <c r="E6" s="85" t="inlineStr">
        <is>
          <t>Category (A)</t>
        </is>
      </c>
      <c r="F6" s="87" t="inlineStr">
        <is>
          <t>Internal KPI</t>
        </is>
      </c>
      <c r="G6" s="87" t="inlineStr">
        <is>
          <t>No</t>
        </is>
      </c>
      <c r="H6" s="85" t="inlineStr">
        <is>
          <t>Hiring Cycle Time - Mid Executive/ Grade E</t>
        </is>
      </c>
      <c r="I6" s="90" t="n">
        <v>99</v>
      </c>
      <c r="J6" s="20" t="inlineStr">
        <is>
          <t>NA</t>
        </is>
      </c>
      <c r="K6" s="20" t="inlineStr">
        <is>
          <t>NA</t>
        </is>
      </c>
      <c r="L6" s="20" t="inlineStr">
        <is>
          <t>NA</t>
        </is>
      </c>
      <c r="M6" s="20" t="inlineStr">
        <is>
          <t>NA</t>
        </is>
      </c>
      <c r="N6" s="20" t="inlineStr">
        <is>
          <t>NA</t>
        </is>
      </c>
      <c r="O6" s="20" t="inlineStr">
        <is>
          <t>NA</t>
        </is>
      </c>
      <c r="P6" s="20" t="inlineStr">
        <is>
          <t>NA</t>
        </is>
      </c>
      <c r="Q6" s="20" t="inlineStr">
        <is>
          <t>NA</t>
        </is>
      </c>
      <c r="R6" s="20" t="inlineStr">
        <is>
          <t>NA</t>
        </is>
      </c>
      <c r="S6" s="20" t="inlineStr">
        <is>
          <t>NA</t>
        </is>
      </c>
      <c r="T6" s="20" t="inlineStr">
        <is>
          <t>NA</t>
        </is>
      </c>
      <c r="U6" s="20" t="inlineStr">
        <is>
          <t>NA</t>
        </is>
      </c>
      <c r="V6" s="20" t="inlineStr">
        <is>
          <t>NA</t>
        </is>
      </c>
      <c r="W6" s="20" t="inlineStr">
        <is>
          <t>NA</t>
        </is>
      </c>
      <c r="X6" s="20" t="inlineStr">
        <is>
          <t>NA</t>
        </is>
      </c>
      <c r="Y6" s="20" t="inlineStr">
        <is>
          <t>NA</t>
        </is>
      </c>
      <c r="Z6" s="20" t="inlineStr">
        <is>
          <t>NA</t>
        </is>
      </c>
      <c r="AA6" s="20" t="inlineStr">
        <is>
          <t>NA</t>
        </is>
      </c>
      <c r="AB6" s="90" t="inlineStr">
        <is>
          <t>Not Reported</t>
        </is>
      </c>
      <c r="AC6" s="90" t="inlineStr">
        <is>
          <t>Not Reported</t>
        </is>
      </c>
      <c r="AD6" s="125" t="n">
        <v>139</v>
      </c>
      <c r="AE6" s="28" t="inlineStr">
        <is>
          <t>Not Met</t>
        </is>
      </c>
      <c r="AF6" s="262" t="n">
        <v>84</v>
      </c>
      <c r="AG6" s="202" t="inlineStr">
        <is>
          <t>Met</t>
        </is>
      </c>
      <c r="AH6" s="285" t="n">
        <v>0</v>
      </c>
      <c r="AI6" s="285" t="inlineStr">
        <is>
          <t>Not Reported</t>
        </is>
      </c>
      <c r="AJ6" s="262" t="n">
        <v>109</v>
      </c>
      <c r="AK6" s="28" t="inlineStr">
        <is>
          <t>Not Met</t>
        </is>
      </c>
    </row>
    <row r="7">
      <c r="A7" s="87" t="inlineStr">
        <is>
          <t>Ambuja Cement</t>
        </is>
      </c>
      <c r="B7" s="88" t="inlineStr">
        <is>
          <t>West 1</t>
        </is>
      </c>
      <c r="C7" s="277" t="inlineStr">
        <is>
          <t>Elton</t>
        </is>
      </c>
      <c r="D7" s="89" t="inlineStr">
        <is>
          <t>Sahil, Debashreeta &amp; Mandeep</t>
        </is>
      </c>
      <c r="E7" s="85" t="inlineStr">
        <is>
          <t>Category (A)</t>
        </is>
      </c>
      <c r="F7" s="87" t="inlineStr">
        <is>
          <t>Internal KPI</t>
        </is>
      </c>
      <c r="G7" s="87" t="inlineStr">
        <is>
          <t>No</t>
        </is>
      </c>
      <c r="H7" s="85" t="inlineStr">
        <is>
          <t>Hiring Cycle Time - Senior Executive / Grade GM &amp; AVP</t>
        </is>
      </c>
      <c r="I7" s="90" t="n">
        <v>129</v>
      </c>
      <c r="J7" s="20" t="inlineStr">
        <is>
          <t>NA</t>
        </is>
      </c>
      <c r="K7" s="20" t="inlineStr">
        <is>
          <t>NA</t>
        </is>
      </c>
      <c r="L7" s="20" t="inlineStr">
        <is>
          <t>NA</t>
        </is>
      </c>
      <c r="M7" s="20" t="inlineStr">
        <is>
          <t>NA</t>
        </is>
      </c>
      <c r="N7" s="20" t="inlineStr">
        <is>
          <t>NA</t>
        </is>
      </c>
      <c r="O7" s="20" t="inlineStr">
        <is>
          <t>NA</t>
        </is>
      </c>
      <c r="P7" s="20" t="inlineStr">
        <is>
          <t>NA</t>
        </is>
      </c>
      <c r="Q7" s="20" t="inlineStr">
        <is>
          <t>NA</t>
        </is>
      </c>
      <c r="R7" s="20" t="inlineStr">
        <is>
          <t>NA</t>
        </is>
      </c>
      <c r="S7" s="20" t="inlineStr">
        <is>
          <t>NA</t>
        </is>
      </c>
      <c r="T7" s="20" t="inlineStr">
        <is>
          <t>NA</t>
        </is>
      </c>
      <c r="U7" s="20" t="inlineStr">
        <is>
          <t>NA</t>
        </is>
      </c>
      <c r="V7" s="20" t="inlineStr">
        <is>
          <t>NA</t>
        </is>
      </c>
      <c r="W7" s="20" t="inlineStr">
        <is>
          <t>NA</t>
        </is>
      </c>
      <c r="X7" s="20" t="inlineStr">
        <is>
          <t>NA</t>
        </is>
      </c>
      <c r="Y7" s="20" t="inlineStr">
        <is>
          <t>NA</t>
        </is>
      </c>
      <c r="Z7" s="20" t="inlineStr">
        <is>
          <t>NA</t>
        </is>
      </c>
      <c r="AA7" s="20" t="inlineStr">
        <is>
          <t>NA</t>
        </is>
      </c>
      <c r="AB7" s="90" t="inlineStr">
        <is>
          <t>Not Reported</t>
        </is>
      </c>
      <c r="AC7" s="90" t="inlineStr">
        <is>
          <t>Not Reported</t>
        </is>
      </c>
      <c r="AD7" s="125" t="n">
        <v>0</v>
      </c>
      <c r="AE7" s="28" t="inlineStr">
        <is>
          <t>Met</t>
        </is>
      </c>
      <c r="AF7" s="262" t="inlineStr">
        <is>
          <t>NA</t>
        </is>
      </c>
      <c r="AG7" s="97" t="inlineStr">
        <is>
          <t>NA</t>
        </is>
      </c>
      <c r="AH7" s="285" t="n">
        <v>0</v>
      </c>
      <c r="AI7" s="285" t="inlineStr">
        <is>
          <t>Not Reported</t>
        </is>
      </c>
      <c r="AJ7" s="262" t="inlineStr">
        <is>
          <t>NA</t>
        </is>
      </c>
      <c r="AK7" s="262" t="inlineStr">
        <is>
          <t>NA</t>
        </is>
      </c>
    </row>
    <row r="8">
      <c r="A8" s="87" t="inlineStr">
        <is>
          <t>Ambuja Cement</t>
        </is>
      </c>
      <c r="B8" s="88" t="inlineStr">
        <is>
          <t>West 1</t>
        </is>
      </c>
      <c r="C8" s="277" t="inlineStr">
        <is>
          <t>Elton</t>
        </is>
      </c>
      <c r="D8" s="89" t="inlineStr">
        <is>
          <t>Sahil, Debashreeta &amp; Mandeep</t>
        </is>
      </c>
      <c r="E8" s="85" t="inlineStr">
        <is>
          <t>Category (A)</t>
        </is>
      </c>
      <c r="F8" s="87" t="inlineStr">
        <is>
          <t>Internal KPI</t>
        </is>
      </c>
      <c r="G8" s="87" t="inlineStr">
        <is>
          <t>No</t>
        </is>
      </c>
      <c r="H8" s="85" t="inlineStr">
        <is>
          <t>Offer Rollout and Acceptance - &gt; 7 layers of approval</t>
        </is>
      </c>
      <c r="I8" s="90" t="n">
        <v>7</v>
      </c>
      <c r="J8" s="20" t="inlineStr">
        <is>
          <t>NA</t>
        </is>
      </c>
      <c r="K8" s="20" t="inlineStr">
        <is>
          <t>NA</t>
        </is>
      </c>
      <c r="L8" s="20" t="inlineStr">
        <is>
          <t>NA</t>
        </is>
      </c>
      <c r="M8" s="20" t="inlineStr">
        <is>
          <t>NA</t>
        </is>
      </c>
      <c r="N8" s="20" t="inlineStr">
        <is>
          <t>NA</t>
        </is>
      </c>
      <c r="O8" s="20" t="inlineStr">
        <is>
          <t>NA</t>
        </is>
      </c>
      <c r="P8" s="20" t="inlineStr">
        <is>
          <t>NA</t>
        </is>
      </c>
      <c r="Q8" s="20" t="inlineStr">
        <is>
          <t>NA</t>
        </is>
      </c>
      <c r="R8" s="20" t="inlineStr">
        <is>
          <t>NA</t>
        </is>
      </c>
      <c r="S8" s="20" t="inlineStr">
        <is>
          <t>NA</t>
        </is>
      </c>
      <c r="T8" s="20" t="inlineStr">
        <is>
          <t>NA</t>
        </is>
      </c>
      <c r="U8" s="20" t="inlineStr">
        <is>
          <t>NA</t>
        </is>
      </c>
      <c r="V8" s="20" t="inlineStr">
        <is>
          <t>NA</t>
        </is>
      </c>
      <c r="W8" s="20" t="inlineStr">
        <is>
          <t>NA</t>
        </is>
      </c>
      <c r="X8" s="20" t="inlineStr">
        <is>
          <t>NA</t>
        </is>
      </c>
      <c r="Y8" s="20" t="inlineStr">
        <is>
          <t>NA</t>
        </is>
      </c>
      <c r="Z8" s="20" t="inlineStr">
        <is>
          <t>NA</t>
        </is>
      </c>
      <c r="AA8" s="20" t="inlineStr">
        <is>
          <t>NA</t>
        </is>
      </c>
      <c r="AB8" s="90" t="inlineStr">
        <is>
          <t>Not Reported</t>
        </is>
      </c>
      <c r="AC8" s="90" t="inlineStr">
        <is>
          <t>Not Reported</t>
        </is>
      </c>
      <c r="AD8" s="125" t="n">
        <v>17</v>
      </c>
      <c r="AE8" s="28" t="inlineStr">
        <is>
          <t>Not Met</t>
        </is>
      </c>
      <c r="AF8" s="262" t="n">
        <v>11</v>
      </c>
      <c r="AG8" s="28" t="inlineStr">
        <is>
          <t>Not Met</t>
        </is>
      </c>
      <c r="AH8" s="285" t="n">
        <v>0</v>
      </c>
      <c r="AI8" s="285" t="inlineStr">
        <is>
          <t>Not Reported</t>
        </is>
      </c>
      <c r="AJ8" s="262" t="n">
        <v>12</v>
      </c>
      <c r="AK8" s="28" t="inlineStr">
        <is>
          <t>Not Met</t>
        </is>
      </c>
    </row>
    <row r="9">
      <c r="A9" s="87" t="inlineStr">
        <is>
          <t>Ambuja Cement</t>
        </is>
      </c>
      <c r="B9" s="88" t="inlineStr">
        <is>
          <t>West 1</t>
        </is>
      </c>
      <c r="C9" s="277" t="inlineStr">
        <is>
          <t>Elton</t>
        </is>
      </c>
      <c r="D9" s="89" t="inlineStr">
        <is>
          <t>Sahil, Debashreeta &amp; Mandeep</t>
        </is>
      </c>
      <c r="E9" s="85" t="inlineStr">
        <is>
          <t>Category (A)</t>
        </is>
      </c>
      <c r="F9" s="87" t="inlineStr">
        <is>
          <t>Internal KPI</t>
        </is>
      </c>
      <c r="G9" s="87" t="inlineStr">
        <is>
          <t>No</t>
        </is>
      </c>
      <c r="H9" s="85" t="inlineStr">
        <is>
          <t>Offer Rollout and Acceptance - &gt; 7 layers of approval</t>
        </is>
      </c>
      <c r="I9" s="90" t="n">
        <v>15</v>
      </c>
      <c r="J9" s="20" t="inlineStr">
        <is>
          <t>NA</t>
        </is>
      </c>
      <c r="K9" s="20" t="inlineStr">
        <is>
          <t>NA</t>
        </is>
      </c>
      <c r="L9" s="20" t="inlineStr">
        <is>
          <t>NA</t>
        </is>
      </c>
      <c r="M9" s="20" t="inlineStr">
        <is>
          <t>NA</t>
        </is>
      </c>
      <c r="N9" s="20" t="inlineStr">
        <is>
          <t>NA</t>
        </is>
      </c>
      <c r="O9" s="20" t="inlineStr">
        <is>
          <t>NA</t>
        </is>
      </c>
      <c r="P9" s="20" t="inlineStr">
        <is>
          <t>NA</t>
        </is>
      </c>
      <c r="Q9" s="20" t="inlineStr">
        <is>
          <t>NA</t>
        </is>
      </c>
      <c r="R9" s="20" t="inlineStr">
        <is>
          <t>NA</t>
        </is>
      </c>
      <c r="S9" s="20" t="inlineStr">
        <is>
          <t>NA</t>
        </is>
      </c>
      <c r="T9" s="20" t="inlineStr">
        <is>
          <t>NA</t>
        </is>
      </c>
      <c r="U9" s="20" t="inlineStr">
        <is>
          <t>NA</t>
        </is>
      </c>
      <c r="V9" s="20" t="inlineStr">
        <is>
          <t>NA</t>
        </is>
      </c>
      <c r="W9" s="20" t="inlineStr">
        <is>
          <t>NA</t>
        </is>
      </c>
      <c r="X9" s="20" t="inlineStr">
        <is>
          <t>NA</t>
        </is>
      </c>
      <c r="Y9" s="20" t="inlineStr">
        <is>
          <t>NA</t>
        </is>
      </c>
      <c r="Z9" s="20" t="inlineStr">
        <is>
          <t>NA</t>
        </is>
      </c>
      <c r="AA9" s="20" t="inlineStr">
        <is>
          <t>NA</t>
        </is>
      </c>
      <c r="AB9" s="90" t="inlineStr">
        <is>
          <t>Not Reported</t>
        </is>
      </c>
      <c r="AC9" s="90" t="inlineStr">
        <is>
          <t>Not Reported</t>
        </is>
      </c>
      <c r="AD9" s="125" t="n">
        <v>14</v>
      </c>
      <c r="AE9" s="28" t="inlineStr">
        <is>
          <t>Met</t>
        </is>
      </c>
      <c r="AF9" s="262" t="n">
        <v>21</v>
      </c>
      <c r="AG9" s="28" t="inlineStr">
        <is>
          <t>Not Met</t>
        </is>
      </c>
      <c r="AH9" s="285" t="n">
        <v>0</v>
      </c>
      <c r="AI9" s="285" t="inlineStr">
        <is>
          <t>Not Reported</t>
        </is>
      </c>
      <c r="AJ9" s="262" t="n">
        <v>16</v>
      </c>
      <c r="AK9" s="28" t="inlineStr">
        <is>
          <t>Not Met</t>
        </is>
      </c>
    </row>
    <row r="10">
      <c r="A10" s="87" t="inlineStr">
        <is>
          <t>Ametek</t>
        </is>
      </c>
      <c r="B10" s="5" t="inlineStr">
        <is>
          <t xml:space="preserve">South 1 </t>
        </is>
      </c>
      <c r="C10" s="5" t="inlineStr">
        <is>
          <t>TBH</t>
        </is>
      </c>
      <c r="D10" s="26" t="inlineStr">
        <is>
          <t>Debashreeta</t>
        </is>
      </c>
      <c r="E10" s="26" t="inlineStr">
        <is>
          <t>Category (A)</t>
        </is>
      </c>
      <c r="F10" s="21" t="inlineStr">
        <is>
          <t>Internal KPI</t>
        </is>
      </c>
      <c r="G10" s="21" t="inlineStr">
        <is>
          <t>No</t>
        </is>
      </c>
      <c r="H10" s="27" t="inlineStr">
        <is>
          <t>Time to Fill</t>
        </is>
      </c>
      <c r="I10" s="20" t="inlineStr">
        <is>
          <t>50 Days</t>
        </is>
      </c>
      <c r="J10" s="17" t="inlineStr">
        <is>
          <t>Not Reported</t>
        </is>
      </c>
      <c r="K10" s="28" t="inlineStr">
        <is>
          <t>Not Reported</t>
        </is>
      </c>
      <c r="L10" s="17" t="inlineStr">
        <is>
          <t>Not Reported</t>
        </is>
      </c>
      <c r="M10" s="28" t="inlineStr">
        <is>
          <t>Not Reported</t>
        </is>
      </c>
      <c r="N10" s="17" t="inlineStr">
        <is>
          <t>Not Reported</t>
        </is>
      </c>
      <c r="O10" s="28" t="inlineStr">
        <is>
          <t>Not Reported</t>
        </is>
      </c>
      <c r="P10" s="17" t="inlineStr">
        <is>
          <t>Not Reported</t>
        </is>
      </c>
      <c r="Q10" s="28" t="inlineStr">
        <is>
          <t>Not Reported</t>
        </is>
      </c>
      <c r="R10" s="28" t="inlineStr">
        <is>
          <t>Not Reported</t>
        </is>
      </c>
      <c r="S10" s="28" t="inlineStr">
        <is>
          <t xml:space="preserve">Not Reported </t>
        </is>
      </c>
      <c r="T10" s="28" t="inlineStr">
        <is>
          <t>Not Reported</t>
        </is>
      </c>
      <c r="U10" s="28" t="inlineStr">
        <is>
          <t>Not Reported</t>
        </is>
      </c>
      <c r="V10" s="28" t="inlineStr">
        <is>
          <t>Not Reported</t>
        </is>
      </c>
      <c r="W10" s="28" t="inlineStr">
        <is>
          <t>Not Reported</t>
        </is>
      </c>
      <c r="X10" s="28" t="inlineStr">
        <is>
          <t>Not Reported</t>
        </is>
      </c>
      <c r="Y10" s="28" t="inlineStr">
        <is>
          <t>Not Reported</t>
        </is>
      </c>
      <c r="Z10" s="28" t="inlineStr">
        <is>
          <t>NA</t>
        </is>
      </c>
      <c r="AA10" s="20" t="inlineStr">
        <is>
          <t>NA</t>
        </is>
      </c>
      <c r="AB10" s="95" t="inlineStr">
        <is>
          <t>NA</t>
        </is>
      </c>
      <c r="AC10" s="20" t="inlineStr">
        <is>
          <t>NA</t>
        </is>
      </c>
      <c r="AD10" s="97">
        <f>IF(AC10="NA","NA",IF(AC10="Not Reported","Not Reported",IF(AC10&gt;$L$237,"Not Met","Met")))</f>
        <v/>
      </c>
      <c r="AE10" s="97" t="inlineStr">
        <is>
          <t>NA</t>
        </is>
      </c>
      <c r="AF10" s="95" t="inlineStr">
        <is>
          <t>NA</t>
        </is>
      </c>
      <c r="AG10" s="97" t="inlineStr">
        <is>
          <t>NA</t>
        </is>
      </c>
      <c r="AH10" s="285" t="n">
        <v>0</v>
      </c>
      <c r="AI10" s="285" t="inlineStr">
        <is>
          <t>Not Reported</t>
        </is>
      </c>
      <c r="AJ10" s="95" t="inlineStr">
        <is>
          <t>NA</t>
        </is>
      </c>
      <c r="AK10" s="97" t="inlineStr">
        <is>
          <t>NA</t>
        </is>
      </c>
    </row>
    <row r="11">
      <c r="A11" s="87" t="inlineStr">
        <is>
          <t>Ametek</t>
        </is>
      </c>
      <c r="B11" s="5" t="inlineStr">
        <is>
          <t xml:space="preserve">South 1 </t>
        </is>
      </c>
      <c r="C11" s="5" t="inlineStr">
        <is>
          <t>TBH</t>
        </is>
      </c>
      <c r="D11" s="26" t="inlineStr">
        <is>
          <t>Debashreeta</t>
        </is>
      </c>
      <c r="E11" s="26" t="inlineStr">
        <is>
          <t>Category (A)</t>
        </is>
      </c>
      <c r="F11" s="21" t="inlineStr">
        <is>
          <t>Internal KPI</t>
        </is>
      </c>
      <c r="G11" s="21" t="inlineStr">
        <is>
          <t>No</t>
        </is>
      </c>
      <c r="H11" s="21" t="inlineStr">
        <is>
          <t>Ageing</t>
        </is>
      </c>
      <c r="I11" s="20" t="n">
        <v>0.4</v>
      </c>
      <c r="J11" s="17" t="inlineStr">
        <is>
          <t>Not Reported</t>
        </is>
      </c>
      <c r="K11" s="28" t="inlineStr">
        <is>
          <t>Not Reported</t>
        </is>
      </c>
      <c r="L11" s="17" t="inlineStr">
        <is>
          <t>Not Reported</t>
        </is>
      </c>
      <c r="M11" s="28" t="inlineStr">
        <is>
          <t>Not Reported</t>
        </is>
      </c>
      <c r="N11" s="17" t="inlineStr">
        <is>
          <t>Not Reported</t>
        </is>
      </c>
      <c r="O11" s="28" t="inlineStr">
        <is>
          <t>Not Reported</t>
        </is>
      </c>
      <c r="P11" s="17" t="inlineStr">
        <is>
          <t>Not Reported</t>
        </is>
      </c>
      <c r="Q11" s="28" t="inlineStr">
        <is>
          <t>Not Reported</t>
        </is>
      </c>
      <c r="R11" s="28" t="inlineStr">
        <is>
          <t>Not Reported</t>
        </is>
      </c>
      <c r="S11" s="28" t="inlineStr">
        <is>
          <t xml:space="preserve">Not Reported </t>
        </is>
      </c>
      <c r="T11" s="28" t="inlineStr">
        <is>
          <t>Not Reported</t>
        </is>
      </c>
      <c r="U11" s="28" t="inlineStr">
        <is>
          <t>Not Reported</t>
        </is>
      </c>
      <c r="V11" s="28" t="inlineStr">
        <is>
          <t>Not Reported</t>
        </is>
      </c>
      <c r="W11" s="28" t="inlineStr">
        <is>
          <t>Not Reported</t>
        </is>
      </c>
      <c r="X11" s="28" t="inlineStr">
        <is>
          <t>Not Reported</t>
        </is>
      </c>
      <c r="Y11" s="28" t="inlineStr">
        <is>
          <t>Not Reported</t>
        </is>
      </c>
      <c r="Z11" s="28" t="inlineStr">
        <is>
          <t>NA</t>
        </is>
      </c>
      <c r="AA11" s="20" t="inlineStr">
        <is>
          <t>NA</t>
        </is>
      </c>
      <c r="AB11" s="95" t="inlineStr">
        <is>
          <t>NA</t>
        </is>
      </c>
      <c r="AC11" s="20" t="inlineStr">
        <is>
          <t>NA</t>
        </is>
      </c>
      <c r="AD11" s="97">
        <f>IF(AC11="NA","NA",IF(AC11="Not Reported","Not Reported",IF(AC11&gt;$L$237,"Not Met","Met")))</f>
        <v/>
      </c>
      <c r="AE11" s="97" t="inlineStr">
        <is>
          <t>NA</t>
        </is>
      </c>
      <c r="AF11" s="95" t="inlineStr">
        <is>
          <t>NA</t>
        </is>
      </c>
      <c r="AG11" s="97" t="inlineStr">
        <is>
          <t>NA</t>
        </is>
      </c>
      <c r="AH11" s="285" t="n">
        <v>0</v>
      </c>
      <c r="AI11" s="285" t="inlineStr">
        <is>
          <t>Not Reported</t>
        </is>
      </c>
      <c r="AJ11" s="95" t="inlineStr">
        <is>
          <t>NA</t>
        </is>
      </c>
      <c r="AK11" s="97" t="inlineStr">
        <is>
          <t>NA</t>
        </is>
      </c>
    </row>
    <row r="12">
      <c r="A12" s="87" t="inlineStr">
        <is>
          <t>Ametek</t>
        </is>
      </c>
      <c r="B12" s="5" t="inlineStr">
        <is>
          <t xml:space="preserve">South 1 </t>
        </is>
      </c>
      <c r="C12" s="5" t="inlineStr">
        <is>
          <t>TBH</t>
        </is>
      </c>
      <c r="D12" s="26" t="inlineStr">
        <is>
          <t>Debashreeta</t>
        </is>
      </c>
      <c r="E12" s="26" t="inlineStr">
        <is>
          <t>Category (A)</t>
        </is>
      </c>
      <c r="F12" s="21" t="inlineStr">
        <is>
          <t>Internal KPI</t>
        </is>
      </c>
      <c r="G12" s="21" t="inlineStr">
        <is>
          <t>No</t>
        </is>
      </c>
      <c r="H12" s="27" t="inlineStr">
        <is>
          <t>First Time Right Ratio</t>
        </is>
      </c>
      <c r="I12" s="20" t="n">
        <v>0.2</v>
      </c>
      <c r="J12" s="17" t="inlineStr">
        <is>
          <t>Not Reported</t>
        </is>
      </c>
      <c r="K12" s="28" t="inlineStr">
        <is>
          <t>Not Reported</t>
        </is>
      </c>
      <c r="L12" s="17" t="inlineStr">
        <is>
          <t>Not Reported</t>
        </is>
      </c>
      <c r="M12" s="28" t="inlineStr">
        <is>
          <t>Not Reported</t>
        </is>
      </c>
      <c r="N12" s="17" t="inlineStr">
        <is>
          <t>Not Reported</t>
        </is>
      </c>
      <c r="O12" s="28" t="inlineStr">
        <is>
          <t>Not Reported</t>
        </is>
      </c>
      <c r="P12" s="17" t="inlineStr">
        <is>
          <t>Not Reported</t>
        </is>
      </c>
      <c r="Q12" s="28" t="inlineStr">
        <is>
          <t>Not Reported</t>
        </is>
      </c>
      <c r="R12" s="28" t="inlineStr">
        <is>
          <t>Not Reported</t>
        </is>
      </c>
      <c r="S12" s="28" t="inlineStr">
        <is>
          <t xml:space="preserve">Not Reported </t>
        </is>
      </c>
      <c r="T12" s="28" t="inlineStr">
        <is>
          <t>Not Reported</t>
        </is>
      </c>
      <c r="U12" s="28" t="inlineStr">
        <is>
          <t>Not Reported</t>
        </is>
      </c>
      <c r="V12" s="28" t="inlineStr">
        <is>
          <t>Not Reported</t>
        </is>
      </c>
      <c r="W12" s="28" t="inlineStr">
        <is>
          <t>Not Reported</t>
        </is>
      </c>
      <c r="X12" s="28" t="inlineStr">
        <is>
          <t>Not Reported</t>
        </is>
      </c>
      <c r="Y12" s="28" t="inlineStr">
        <is>
          <t>Not Reported</t>
        </is>
      </c>
      <c r="Z12" s="28" t="inlineStr">
        <is>
          <t>NA</t>
        </is>
      </c>
      <c r="AA12" s="20" t="inlineStr">
        <is>
          <t>NA</t>
        </is>
      </c>
      <c r="AB12" s="95" t="inlineStr">
        <is>
          <t>NA</t>
        </is>
      </c>
      <c r="AC12" s="20" t="inlineStr">
        <is>
          <t>NA</t>
        </is>
      </c>
      <c r="AD12" s="97">
        <f>IF(AC12="NA","NA",IF(AC12="Not Reported","Not Reported",IF(AC12&gt;$L$237,"Not Met","Met")))</f>
        <v/>
      </c>
      <c r="AE12" s="97" t="inlineStr">
        <is>
          <t>NA</t>
        </is>
      </c>
      <c r="AF12" s="95" t="inlineStr">
        <is>
          <t>NA</t>
        </is>
      </c>
      <c r="AG12" s="97" t="inlineStr">
        <is>
          <t>NA</t>
        </is>
      </c>
      <c r="AH12" s="285" t="n">
        <v>0</v>
      </c>
      <c r="AI12" s="285" t="inlineStr">
        <is>
          <t>Not Reported</t>
        </is>
      </c>
      <c r="AJ12" s="95" t="inlineStr">
        <is>
          <t>NA</t>
        </is>
      </c>
      <c r="AK12" s="97" t="inlineStr">
        <is>
          <t>NA</t>
        </is>
      </c>
    </row>
    <row r="13">
      <c r="A13" s="21" t="inlineStr">
        <is>
          <t>Ametek</t>
        </is>
      </c>
      <c r="B13" s="5" t="inlineStr">
        <is>
          <t xml:space="preserve">South 1 </t>
        </is>
      </c>
      <c r="C13" s="5" t="inlineStr">
        <is>
          <t>TBH</t>
        </is>
      </c>
      <c r="D13" s="26" t="inlineStr">
        <is>
          <t>Debashreeta</t>
        </is>
      </c>
      <c r="E13" s="26" t="inlineStr">
        <is>
          <t>Category (A)</t>
        </is>
      </c>
      <c r="F13" s="21" t="inlineStr">
        <is>
          <t>Internal KPI</t>
        </is>
      </c>
      <c r="G13" s="21" t="inlineStr">
        <is>
          <t>No</t>
        </is>
      </c>
      <c r="H13" s="27" t="inlineStr">
        <is>
          <t xml:space="preserve">Fulfilment </t>
        </is>
      </c>
      <c r="I13" s="20" t="n">
        <v>0.9</v>
      </c>
      <c r="J13" s="17" t="inlineStr">
        <is>
          <t>Not Reported</t>
        </is>
      </c>
      <c r="K13" s="28" t="inlineStr">
        <is>
          <t>Not Reported</t>
        </is>
      </c>
      <c r="L13" s="17" t="inlineStr">
        <is>
          <t>Not Reported</t>
        </is>
      </c>
      <c r="M13" s="28" t="inlineStr">
        <is>
          <t>Not Reported</t>
        </is>
      </c>
      <c r="N13" s="17" t="inlineStr">
        <is>
          <t>Not Reported</t>
        </is>
      </c>
      <c r="O13" s="28" t="inlineStr">
        <is>
          <t>Not Reported</t>
        </is>
      </c>
      <c r="P13" s="17" t="inlineStr">
        <is>
          <t>Not Reported</t>
        </is>
      </c>
      <c r="Q13" s="28" t="inlineStr">
        <is>
          <t>Not Reported</t>
        </is>
      </c>
      <c r="R13" s="28" t="inlineStr">
        <is>
          <t>Not Reported</t>
        </is>
      </c>
      <c r="S13" s="28" t="inlineStr">
        <is>
          <t xml:space="preserve">Not Reported </t>
        </is>
      </c>
      <c r="T13" s="28" t="inlineStr">
        <is>
          <t>Not Reported</t>
        </is>
      </c>
      <c r="U13" s="28" t="inlineStr">
        <is>
          <t>Not Reported</t>
        </is>
      </c>
      <c r="V13" s="28" t="inlineStr">
        <is>
          <t>Not Reported</t>
        </is>
      </c>
      <c r="W13" s="28" t="inlineStr">
        <is>
          <t>Not Reported</t>
        </is>
      </c>
      <c r="X13" s="28" t="inlineStr">
        <is>
          <t>Not Reported</t>
        </is>
      </c>
      <c r="Y13" s="28" t="inlineStr">
        <is>
          <t>Not Reported</t>
        </is>
      </c>
      <c r="Z13" s="28" t="inlineStr">
        <is>
          <t>NA</t>
        </is>
      </c>
      <c r="AA13" s="20" t="inlineStr">
        <is>
          <t>NA</t>
        </is>
      </c>
      <c r="AB13" s="95" t="inlineStr">
        <is>
          <t>NA</t>
        </is>
      </c>
      <c r="AC13" s="20" t="inlineStr">
        <is>
          <t>NA</t>
        </is>
      </c>
      <c r="AD13" s="97">
        <f>IF(AC13="NA","NA",IF(AC13="Not Reported","Not Reported",IF(AC13&gt;$L$237,"Not Met","Met")))</f>
        <v/>
      </c>
      <c r="AE13" s="97" t="inlineStr">
        <is>
          <t>NA</t>
        </is>
      </c>
      <c r="AF13" s="95" t="inlineStr">
        <is>
          <t>NA</t>
        </is>
      </c>
      <c r="AG13" s="97" t="inlineStr">
        <is>
          <t>NA</t>
        </is>
      </c>
      <c r="AH13" s="285" t="n">
        <v>0</v>
      </c>
      <c r="AI13" s="285" t="inlineStr">
        <is>
          <t>Not Reported</t>
        </is>
      </c>
      <c r="AJ13" s="95" t="inlineStr">
        <is>
          <t>NA</t>
        </is>
      </c>
      <c r="AK13" s="97" t="inlineStr">
        <is>
          <t>NA</t>
        </is>
      </c>
    </row>
    <row r="14">
      <c r="A14" s="21" t="inlineStr">
        <is>
          <t>Ametek</t>
        </is>
      </c>
      <c r="B14" s="5" t="inlineStr">
        <is>
          <t xml:space="preserve">South 1 </t>
        </is>
      </c>
      <c r="C14" s="5" t="inlineStr">
        <is>
          <t>TBH</t>
        </is>
      </c>
      <c r="D14" s="26" t="inlineStr">
        <is>
          <t>Debashreeta</t>
        </is>
      </c>
      <c r="E14" s="26" t="inlineStr">
        <is>
          <t>Category (A)</t>
        </is>
      </c>
      <c r="F14" s="21" t="inlineStr">
        <is>
          <t>Internal KPI</t>
        </is>
      </c>
      <c r="G14" s="21" t="inlineStr">
        <is>
          <t>No</t>
        </is>
      </c>
      <c r="H14" s="27" t="inlineStr">
        <is>
          <t>Time to Hire</t>
        </is>
      </c>
      <c r="I14" s="20" t="inlineStr">
        <is>
          <t>140 Days</t>
        </is>
      </c>
      <c r="J14" s="17" t="inlineStr">
        <is>
          <t>Not Reported</t>
        </is>
      </c>
      <c r="K14" s="28" t="inlineStr">
        <is>
          <t>Not Reported</t>
        </is>
      </c>
      <c r="L14" s="17" t="inlineStr">
        <is>
          <t>Not Reported</t>
        </is>
      </c>
      <c r="M14" s="28" t="inlineStr">
        <is>
          <t>Not Reported</t>
        </is>
      </c>
      <c r="N14" s="17" t="inlineStr">
        <is>
          <t>Not Reported</t>
        </is>
      </c>
      <c r="O14" s="28" t="inlineStr">
        <is>
          <t>Not Reported</t>
        </is>
      </c>
      <c r="P14" s="17" t="inlineStr">
        <is>
          <t>Not Reported</t>
        </is>
      </c>
      <c r="Q14" s="28" t="inlineStr">
        <is>
          <t>Not Reported</t>
        </is>
      </c>
      <c r="R14" s="28" t="inlineStr">
        <is>
          <t>Not Reported</t>
        </is>
      </c>
      <c r="S14" s="28" t="inlineStr">
        <is>
          <t xml:space="preserve">Not Reported </t>
        </is>
      </c>
      <c r="T14" s="28" t="inlineStr">
        <is>
          <t>Not Reported</t>
        </is>
      </c>
      <c r="U14" s="28" t="inlineStr">
        <is>
          <t>Not Reported</t>
        </is>
      </c>
      <c r="V14" s="28" t="inlineStr">
        <is>
          <t>Not Reported</t>
        </is>
      </c>
      <c r="W14" s="28" t="inlineStr">
        <is>
          <t>Not Reported</t>
        </is>
      </c>
      <c r="X14" s="28" t="inlineStr">
        <is>
          <t>Not Reported</t>
        </is>
      </c>
      <c r="Y14" s="28" t="inlineStr">
        <is>
          <t>Not Reported</t>
        </is>
      </c>
      <c r="Z14" s="28" t="inlineStr">
        <is>
          <t>NA</t>
        </is>
      </c>
      <c r="AA14" s="20" t="inlineStr">
        <is>
          <t>NA</t>
        </is>
      </c>
      <c r="AB14" s="95" t="inlineStr">
        <is>
          <t>NA</t>
        </is>
      </c>
      <c r="AC14" s="20" t="inlineStr">
        <is>
          <t>NA</t>
        </is>
      </c>
      <c r="AD14" s="97">
        <f>IF(AC14="NA","NA",IF(AC14="Not Reported","Not Reported",IF(AC14&gt;$L$237,"Not Met","Met")))</f>
        <v/>
      </c>
      <c r="AE14" s="97" t="inlineStr">
        <is>
          <t>NA</t>
        </is>
      </c>
      <c r="AF14" s="95" t="inlineStr">
        <is>
          <t>NA</t>
        </is>
      </c>
      <c r="AG14" s="97" t="inlineStr">
        <is>
          <t>NA</t>
        </is>
      </c>
      <c r="AH14" s="285" t="n">
        <v>0</v>
      </c>
      <c r="AI14" s="285" t="inlineStr">
        <is>
          <t>Not Reported</t>
        </is>
      </c>
      <c r="AJ14" s="95" t="inlineStr">
        <is>
          <t>NA</t>
        </is>
      </c>
      <c r="AK14" s="97" t="inlineStr">
        <is>
          <t>NA</t>
        </is>
      </c>
    </row>
    <row r="15">
      <c r="A15" s="21" t="inlineStr">
        <is>
          <t>Ametek</t>
        </is>
      </c>
      <c r="B15" s="5" t="inlineStr">
        <is>
          <t xml:space="preserve">South 1 </t>
        </is>
      </c>
      <c r="C15" s="5" t="inlineStr">
        <is>
          <t>TBH</t>
        </is>
      </c>
      <c r="D15" s="26" t="inlineStr">
        <is>
          <t>Debashreeta</t>
        </is>
      </c>
      <c r="E15" s="26" t="inlineStr">
        <is>
          <t>Category (A)</t>
        </is>
      </c>
      <c r="F15" s="21" t="inlineStr">
        <is>
          <t>Internal KPI</t>
        </is>
      </c>
      <c r="G15" s="21" t="inlineStr">
        <is>
          <t>No</t>
        </is>
      </c>
      <c r="H15" s="27" t="inlineStr">
        <is>
          <t>Hit Ratio</t>
        </is>
      </c>
      <c r="I15" s="20" t="n">
        <v>0.2</v>
      </c>
      <c r="J15" s="17" t="inlineStr">
        <is>
          <t>Not Reported</t>
        </is>
      </c>
      <c r="K15" s="28" t="inlineStr">
        <is>
          <t>Not Reported</t>
        </is>
      </c>
      <c r="L15" s="17" t="inlineStr">
        <is>
          <t>Not Reported</t>
        </is>
      </c>
      <c r="M15" s="28" t="inlineStr">
        <is>
          <t>Not Reported</t>
        </is>
      </c>
      <c r="N15" s="17" t="inlineStr">
        <is>
          <t>Not Reported</t>
        </is>
      </c>
      <c r="O15" s="28" t="inlineStr">
        <is>
          <t>Not Reported</t>
        </is>
      </c>
      <c r="P15" s="17" t="inlineStr">
        <is>
          <t>Not Reported</t>
        </is>
      </c>
      <c r="Q15" s="28" t="inlineStr">
        <is>
          <t>Not Reported</t>
        </is>
      </c>
      <c r="R15" s="28" t="inlineStr">
        <is>
          <t>Not Reported</t>
        </is>
      </c>
      <c r="S15" s="28" t="inlineStr">
        <is>
          <t xml:space="preserve">Not Reported </t>
        </is>
      </c>
      <c r="T15" s="28" t="inlineStr">
        <is>
          <t>Not Reported</t>
        </is>
      </c>
      <c r="U15" s="28" t="inlineStr">
        <is>
          <t>Not Reported</t>
        </is>
      </c>
      <c r="V15" s="28" t="inlineStr">
        <is>
          <t>Not Reported</t>
        </is>
      </c>
      <c r="W15" s="28" t="inlineStr">
        <is>
          <t>Not Reported</t>
        </is>
      </c>
      <c r="X15" s="28" t="inlineStr">
        <is>
          <t>Not Reported</t>
        </is>
      </c>
      <c r="Y15" s="28" t="inlineStr">
        <is>
          <t>Not Reported</t>
        </is>
      </c>
      <c r="Z15" s="28" t="inlineStr">
        <is>
          <t>NA</t>
        </is>
      </c>
      <c r="AA15" s="20" t="inlineStr">
        <is>
          <t>NA</t>
        </is>
      </c>
      <c r="AB15" s="95" t="inlineStr">
        <is>
          <t>NA</t>
        </is>
      </c>
      <c r="AC15" s="20" t="inlineStr">
        <is>
          <t>NA</t>
        </is>
      </c>
      <c r="AD15" s="97">
        <f>IF(AC15="NA","NA",IF(AC15="Not Reported","Not Reported",IF(AC15&gt;$L$237,"Not Met","Met")))</f>
        <v/>
      </c>
      <c r="AE15" s="97" t="inlineStr">
        <is>
          <t>NA</t>
        </is>
      </c>
      <c r="AF15" s="95" t="inlineStr">
        <is>
          <t>NA</t>
        </is>
      </c>
      <c r="AG15" s="97" t="inlineStr">
        <is>
          <t>NA</t>
        </is>
      </c>
      <c r="AH15" s="285" t="n">
        <v>0</v>
      </c>
      <c r="AI15" s="285" t="inlineStr">
        <is>
          <t>Not Reported</t>
        </is>
      </c>
      <c r="AJ15" s="95" t="inlineStr">
        <is>
          <t>NA</t>
        </is>
      </c>
      <c r="AK15" s="97" t="inlineStr">
        <is>
          <t>NA</t>
        </is>
      </c>
    </row>
    <row r="16">
      <c r="A16" s="21" t="inlineStr">
        <is>
          <t>Ametek</t>
        </is>
      </c>
      <c r="B16" s="5" t="inlineStr">
        <is>
          <t xml:space="preserve">South 1 </t>
        </is>
      </c>
      <c r="C16" s="5" t="inlineStr">
        <is>
          <t>TBH</t>
        </is>
      </c>
      <c r="D16" s="26" t="inlineStr">
        <is>
          <t>Debashreeta</t>
        </is>
      </c>
      <c r="E16" s="26" t="inlineStr">
        <is>
          <t>Category (A)</t>
        </is>
      </c>
      <c r="F16" s="21" t="inlineStr">
        <is>
          <t>Internal KPI</t>
        </is>
      </c>
      <c r="G16" s="21" t="inlineStr">
        <is>
          <t>No</t>
        </is>
      </c>
      <c r="H16" s="21" t="inlineStr">
        <is>
          <t>Offer Drop</t>
        </is>
      </c>
      <c r="I16" s="20" t="n">
        <v>0.25</v>
      </c>
      <c r="J16" s="17" t="inlineStr">
        <is>
          <t>Not Reported</t>
        </is>
      </c>
      <c r="K16" s="28" t="inlineStr">
        <is>
          <t>Not Reported</t>
        </is>
      </c>
      <c r="L16" s="17" t="inlineStr">
        <is>
          <t>Not Reported</t>
        </is>
      </c>
      <c r="M16" s="28" t="inlineStr">
        <is>
          <t>Not Reported</t>
        </is>
      </c>
      <c r="N16" s="17" t="inlineStr">
        <is>
          <t>Not Reported</t>
        </is>
      </c>
      <c r="O16" s="28" t="inlineStr">
        <is>
          <t>Not Reported</t>
        </is>
      </c>
      <c r="P16" s="17" t="inlineStr">
        <is>
          <t>Not Reported</t>
        </is>
      </c>
      <c r="Q16" s="28" t="inlineStr">
        <is>
          <t>Not Reported</t>
        </is>
      </c>
      <c r="R16" s="28" t="inlineStr">
        <is>
          <t>Not Reported</t>
        </is>
      </c>
      <c r="S16" s="28" t="inlineStr">
        <is>
          <t xml:space="preserve">Not Reported </t>
        </is>
      </c>
      <c r="T16" s="28" t="inlineStr">
        <is>
          <t>Not Reported</t>
        </is>
      </c>
      <c r="U16" s="28" t="inlineStr">
        <is>
          <t>Not Reported</t>
        </is>
      </c>
      <c r="V16" s="28" t="inlineStr">
        <is>
          <t>Not Reported</t>
        </is>
      </c>
      <c r="W16" s="28" t="inlineStr">
        <is>
          <t>Not Reported</t>
        </is>
      </c>
      <c r="X16" s="28" t="inlineStr">
        <is>
          <t>Not Reported</t>
        </is>
      </c>
      <c r="Y16" s="28" t="inlineStr">
        <is>
          <t>Not Reported</t>
        </is>
      </c>
      <c r="Z16" s="28" t="inlineStr">
        <is>
          <t>NA</t>
        </is>
      </c>
      <c r="AA16" s="20" t="inlineStr">
        <is>
          <t>NA</t>
        </is>
      </c>
      <c r="AB16" s="95" t="inlineStr">
        <is>
          <t>NA</t>
        </is>
      </c>
      <c r="AC16" s="20" t="inlineStr">
        <is>
          <t>NA</t>
        </is>
      </c>
      <c r="AD16" s="97">
        <f>IF(AC16="NA","NA",IF(AC16="Not Reported","Not Reported",IF(AC16&gt;$L$237,"Not Met","Met")))</f>
        <v/>
      </c>
      <c r="AE16" s="97" t="inlineStr">
        <is>
          <t>NA</t>
        </is>
      </c>
      <c r="AF16" s="95" t="inlineStr">
        <is>
          <t>NA</t>
        </is>
      </c>
      <c r="AG16" s="97" t="inlineStr">
        <is>
          <t>NA</t>
        </is>
      </c>
      <c r="AH16" s="285" t="n">
        <v>0</v>
      </c>
      <c r="AI16" s="285" t="inlineStr">
        <is>
          <t>Not Reported</t>
        </is>
      </c>
      <c r="AJ16" s="95" t="inlineStr">
        <is>
          <t>NA</t>
        </is>
      </c>
      <c r="AK16" s="97" t="inlineStr">
        <is>
          <t>NA</t>
        </is>
      </c>
    </row>
    <row r="17">
      <c r="A17" s="21" t="inlineStr">
        <is>
          <t>AMNS</t>
        </is>
      </c>
      <c r="B17" s="5" t="inlineStr">
        <is>
          <t>West 1</t>
        </is>
      </c>
      <c r="C17" s="76" t="inlineStr">
        <is>
          <t>Alifiya</t>
        </is>
      </c>
      <c r="D17" s="26" t="inlineStr">
        <is>
          <t>Rishab</t>
        </is>
      </c>
      <c r="E17" s="26" t="inlineStr">
        <is>
          <t>Category (B)</t>
        </is>
      </c>
      <c r="F17" s="21" t="inlineStr">
        <is>
          <t>Contractual SLA</t>
        </is>
      </c>
      <c r="G17" s="21" t="inlineStr">
        <is>
          <t>No</t>
        </is>
      </c>
      <c r="H17" s="27" t="inlineStr">
        <is>
          <t>Time to Fill</t>
        </is>
      </c>
      <c r="I17" s="14" t="inlineStr">
        <is>
          <t>45 Days</t>
        </is>
      </c>
      <c r="J17" s="28" t="inlineStr">
        <is>
          <t xml:space="preserve">86 Days </t>
        </is>
      </c>
      <c r="K17" s="28" t="inlineStr">
        <is>
          <t>Not Met</t>
        </is>
      </c>
      <c r="L17" s="28" t="inlineStr">
        <is>
          <t xml:space="preserve">NA </t>
        </is>
      </c>
      <c r="M17" s="20" t="inlineStr">
        <is>
          <t>NA</t>
        </is>
      </c>
      <c r="N17" s="28" t="inlineStr">
        <is>
          <t xml:space="preserve">NA </t>
        </is>
      </c>
      <c r="O17" s="20" t="inlineStr">
        <is>
          <t>NA</t>
        </is>
      </c>
      <c r="P17" s="28" t="inlineStr">
        <is>
          <t xml:space="preserve">NA </t>
        </is>
      </c>
      <c r="Q17" s="20" t="inlineStr">
        <is>
          <t>NA</t>
        </is>
      </c>
      <c r="R17" s="17" t="inlineStr">
        <is>
          <t>NA</t>
        </is>
      </c>
      <c r="S17" s="20" t="inlineStr">
        <is>
          <t>NA</t>
        </is>
      </c>
      <c r="T17" s="17" t="inlineStr">
        <is>
          <t>NA</t>
        </is>
      </c>
      <c r="U17" s="20" t="inlineStr">
        <is>
          <t>NA</t>
        </is>
      </c>
      <c r="V17" s="17" t="inlineStr">
        <is>
          <t>NA</t>
        </is>
      </c>
      <c r="W17" s="20" t="inlineStr">
        <is>
          <t>NA</t>
        </is>
      </c>
      <c r="X17" s="17" t="inlineStr">
        <is>
          <t>NA</t>
        </is>
      </c>
      <c r="Y17" s="20" t="inlineStr">
        <is>
          <t>NA</t>
        </is>
      </c>
      <c r="Z17" s="17" t="inlineStr">
        <is>
          <t>NA</t>
        </is>
      </c>
      <c r="AA17" s="20" t="inlineStr">
        <is>
          <t>NA</t>
        </is>
      </c>
      <c r="AB17" s="95" t="inlineStr">
        <is>
          <t>NA</t>
        </is>
      </c>
      <c r="AC17" s="20" t="inlineStr">
        <is>
          <t>NA</t>
        </is>
      </c>
      <c r="AD17" s="97" t="inlineStr">
        <is>
          <t>NA</t>
        </is>
      </c>
      <c r="AE17" s="97" t="inlineStr">
        <is>
          <t>NA</t>
        </is>
      </c>
      <c r="AF17" s="95" t="inlineStr">
        <is>
          <t>NA</t>
        </is>
      </c>
      <c r="AG17" s="97" t="inlineStr">
        <is>
          <t>NA</t>
        </is>
      </c>
      <c r="AH17" s="285" t="n">
        <v>0</v>
      </c>
      <c r="AI17" s="285" t="inlineStr">
        <is>
          <t>Not Reported</t>
        </is>
      </c>
      <c r="AJ17" s="95" t="n">
        <v>86</v>
      </c>
      <c r="AK17" s="28" t="inlineStr">
        <is>
          <t>Not Met</t>
        </is>
      </c>
    </row>
    <row r="18">
      <c r="A18" s="21" t="inlineStr">
        <is>
          <t>AMNS</t>
        </is>
      </c>
      <c r="B18" s="5" t="inlineStr">
        <is>
          <t>West 1</t>
        </is>
      </c>
      <c r="C18" s="76" t="inlineStr">
        <is>
          <t>Alifiya</t>
        </is>
      </c>
      <c r="D18" s="26" t="inlineStr">
        <is>
          <t>Rishab</t>
        </is>
      </c>
      <c r="E18" s="26" t="inlineStr">
        <is>
          <t>Category (B)</t>
        </is>
      </c>
      <c r="F18" s="21" t="inlineStr">
        <is>
          <t>Contractual SLA</t>
        </is>
      </c>
      <c r="G18" s="21" t="inlineStr">
        <is>
          <t>No</t>
        </is>
      </c>
      <c r="H18" s="27" t="inlineStr">
        <is>
          <t>Time to Hire</t>
        </is>
      </c>
      <c r="I18" s="14" t="inlineStr">
        <is>
          <t>105 Days</t>
        </is>
      </c>
      <c r="J18" s="28" t="inlineStr">
        <is>
          <t xml:space="preserve">146 Days </t>
        </is>
      </c>
      <c r="K18" s="28" t="inlineStr">
        <is>
          <t>Not Met</t>
        </is>
      </c>
      <c r="L18" s="28" t="inlineStr">
        <is>
          <t xml:space="preserve">NA </t>
        </is>
      </c>
      <c r="M18" s="20" t="inlineStr">
        <is>
          <t>NA</t>
        </is>
      </c>
      <c r="N18" s="28" t="inlineStr">
        <is>
          <t xml:space="preserve">NA </t>
        </is>
      </c>
      <c r="O18" s="20" t="inlineStr">
        <is>
          <t>NA</t>
        </is>
      </c>
      <c r="P18" s="28" t="inlineStr">
        <is>
          <t xml:space="preserve">NA </t>
        </is>
      </c>
      <c r="Q18" s="20" t="inlineStr">
        <is>
          <t>NA</t>
        </is>
      </c>
      <c r="R18" s="17" t="inlineStr">
        <is>
          <t>NA</t>
        </is>
      </c>
      <c r="S18" s="20" t="inlineStr">
        <is>
          <t>NA</t>
        </is>
      </c>
      <c r="T18" s="17" t="inlineStr">
        <is>
          <t>NA</t>
        </is>
      </c>
      <c r="U18" s="20" t="inlineStr">
        <is>
          <t>NA</t>
        </is>
      </c>
      <c r="V18" s="17" t="inlineStr">
        <is>
          <t>NA</t>
        </is>
      </c>
      <c r="W18" s="20" t="inlineStr">
        <is>
          <t>NA</t>
        </is>
      </c>
      <c r="X18" s="17" t="inlineStr">
        <is>
          <t>NA</t>
        </is>
      </c>
      <c r="Y18" s="20" t="inlineStr">
        <is>
          <t>NA</t>
        </is>
      </c>
      <c r="Z18" s="17" t="inlineStr">
        <is>
          <t>NA</t>
        </is>
      </c>
      <c r="AA18" s="20" t="inlineStr">
        <is>
          <t>NA</t>
        </is>
      </c>
      <c r="AB18" s="95" t="inlineStr">
        <is>
          <t>NA</t>
        </is>
      </c>
      <c r="AC18" s="20" t="inlineStr">
        <is>
          <t>NA</t>
        </is>
      </c>
      <c r="AD18" s="97" t="inlineStr">
        <is>
          <t>NA</t>
        </is>
      </c>
      <c r="AE18" s="97" t="inlineStr">
        <is>
          <t>NA</t>
        </is>
      </c>
      <c r="AF18" s="95" t="inlineStr">
        <is>
          <t>NA</t>
        </is>
      </c>
      <c r="AG18" s="97" t="inlineStr">
        <is>
          <t>NA</t>
        </is>
      </c>
      <c r="AH18" s="285" t="n">
        <v>0</v>
      </c>
      <c r="AI18" s="285" t="inlineStr">
        <is>
          <t>Not Reported</t>
        </is>
      </c>
      <c r="AJ18" s="95" t="n">
        <v>146</v>
      </c>
      <c r="AK18" s="28" t="inlineStr">
        <is>
          <t>Not Met</t>
        </is>
      </c>
    </row>
    <row r="19">
      <c r="A19" s="21" t="inlineStr">
        <is>
          <t>AMNS</t>
        </is>
      </c>
      <c r="B19" s="5" t="inlineStr">
        <is>
          <t>West 1</t>
        </is>
      </c>
      <c r="C19" s="76" t="inlineStr">
        <is>
          <t>Alifiya</t>
        </is>
      </c>
      <c r="D19" s="26" t="inlineStr">
        <is>
          <t>Rishab</t>
        </is>
      </c>
      <c r="E19" s="26" t="inlineStr">
        <is>
          <t>Category (B)</t>
        </is>
      </c>
      <c r="F19" s="21" t="inlineStr">
        <is>
          <t>Contractual SLA</t>
        </is>
      </c>
      <c r="G19" s="21" t="inlineStr">
        <is>
          <t>No</t>
        </is>
      </c>
      <c r="H19" s="21" t="inlineStr">
        <is>
          <t>Offer Drop</t>
        </is>
      </c>
      <c r="I19" s="11" t="n">
        <v>0.3</v>
      </c>
      <c r="J19" s="29" t="n">
        <v>0.06</v>
      </c>
      <c r="K19" s="28" t="inlineStr">
        <is>
          <t>Met</t>
        </is>
      </c>
      <c r="L19" s="28" t="inlineStr">
        <is>
          <t xml:space="preserve">NA </t>
        </is>
      </c>
      <c r="M19" s="20" t="inlineStr">
        <is>
          <t>NA</t>
        </is>
      </c>
      <c r="N19" s="28" t="inlineStr">
        <is>
          <t xml:space="preserve">NA </t>
        </is>
      </c>
      <c r="O19" s="20" t="inlineStr">
        <is>
          <t>NA</t>
        </is>
      </c>
      <c r="P19" s="28" t="inlineStr">
        <is>
          <t xml:space="preserve">NA </t>
        </is>
      </c>
      <c r="Q19" s="20" t="inlineStr">
        <is>
          <t>NA</t>
        </is>
      </c>
      <c r="R19" s="17" t="inlineStr">
        <is>
          <t>NA</t>
        </is>
      </c>
      <c r="S19" s="20" t="inlineStr">
        <is>
          <t>NA</t>
        </is>
      </c>
      <c r="T19" s="17" t="inlineStr">
        <is>
          <t>NA</t>
        </is>
      </c>
      <c r="U19" s="20" t="inlineStr">
        <is>
          <t>NA</t>
        </is>
      </c>
      <c r="V19" s="17" t="inlineStr">
        <is>
          <t>NA</t>
        </is>
      </c>
      <c r="W19" s="20" t="inlineStr">
        <is>
          <t>NA</t>
        </is>
      </c>
      <c r="X19" s="17" t="inlineStr">
        <is>
          <t>NA</t>
        </is>
      </c>
      <c r="Y19" s="20" t="inlineStr">
        <is>
          <t>NA</t>
        </is>
      </c>
      <c r="Z19" s="17" t="inlineStr">
        <is>
          <t>NA</t>
        </is>
      </c>
      <c r="AA19" s="20" t="inlineStr">
        <is>
          <t>NA</t>
        </is>
      </c>
      <c r="AB19" s="95" t="inlineStr">
        <is>
          <t>NA</t>
        </is>
      </c>
      <c r="AC19" s="20" t="inlineStr">
        <is>
          <t>NA</t>
        </is>
      </c>
      <c r="AD19" s="97" t="inlineStr">
        <is>
          <t>NA</t>
        </is>
      </c>
      <c r="AE19" s="97" t="inlineStr">
        <is>
          <t>NA</t>
        </is>
      </c>
      <c r="AF19" s="95" t="inlineStr">
        <is>
          <t>NA</t>
        </is>
      </c>
      <c r="AG19" s="97" t="inlineStr">
        <is>
          <t>NA</t>
        </is>
      </c>
      <c r="AH19" s="285" t="n">
        <v>0</v>
      </c>
      <c r="AI19" s="285" t="inlineStr">
        <is>
          <t>Not Reported</t>
        </is>
      </c>
      <c r="AJ19" s="102" t="n">
        <v>0.06</v>
      </c>
      <c r="AK19" s="202" t="inlineStr">
        <is>
          <t>Met</t>
        </is>
      </c>
    </row>
    <row r="20">
      <c r="A20" s="21" t="inlineStr">
        <is>
          <t>AMNS</t>
        </is>
      </c>
      <c r="B20" s="5" t="inlineStr">
        <is>
          <t>West 1</t>
        </is>
      </c>
      <c r="C20" s="76" t="inlineStr">
        <is>
          <t>Alifiya</t>
        </is>
      </c>
      <c r="D20" s="26" t="inlineStr">
        <is>
          <t>Rishab</t>
        </is>
      </c>
      <c r="E20" s="26" t="inlineStr">
        <is>
          <t>Category (B)</t>
        </is>
      </c>
      <c r="F20" s="21" t="inlineStr">
        <is>
          <t>Contractual SLA</t>
        </is>
      </c>
      <c r="G20" s="21" t="inlineStr">
        <is>
          <t>No</t>
        </is>
      </c>
      <c r="H20" s="21" t="inlineStr">
        <is>
          <t>FTR (Recruiter Screening to HM Shortlisting Ratio)</t>
        </is>
      </c>
      <c r="I20" s="11" t="n">
        <v>0.6</v>
      </c>
      <c r="J20" s="29" t="n">
        <v>0.71</v>
      </c>
      <c r="K20" s="28" t="inlineStr">
        <is>
          <t>Met</t>
        </is>
      </c>
      <c r="L20" s="28" t="inlineStr">
        <is>
          <t xml:space="preserve">NA </t>
        </is>
      </c>
      <c r="M20" s="20" t="inlineStr">
        <is>
          <t>NA</t>
        </is>
      </c>
      <c r="N20" s="28" t="inlineStr">
        <is>
          <t xml:space="preserve">NA </t>
        </is>
      </c>
      <c r="O20" s="20" t="inlineStr">
        <is>
          <t>NA</t>
        </is>
      </c>
      <c r="P20" s="28" t="inlineStr">
        <is>
          <t xml:space="preserve">NA </t>
        </is>
      </c>
      <c r="Q20" s="20" t="inlineStr">
        <is>
          <t>NA</t>
        </is>
      </c>
      <c r="R20" s="17" t="inlineStr">
        <is>
          <t>NA</t>
        </is>
      </c>
      <c r="S20" s="20" t="inlineStr">
        <is>
          <t>NA</t>
        </is>
      </c>
      <c r="T20" s="17" t="inlineStr">
        <is>
          <t>NA</t>
        </is>
      </c>
      <c r="U20" s="20" t="inlineStr">
        <is>
          <t>NA</t>
        </is>
      </c>
      <c r="V20" s="17" t="inlineStr">
        <is>
          <t>NA</t>
        </is>
      </c>
      <c r="W20" s="20" t="inlineStr">
        <is>
          <t>NA</t>
        </is>
      </c>
      <c r="X20" s="17" t="inlineStr">
        <is>
          <t>NA</t>
        </is>
      </c>
      <c r="Y20" s="20" t="inlineStr">
        <is>
          <t>NA</t>
        </is>
      </c>
      <c r="Z20" s="17" t="inlineStr">
        <is>
          <t>NA</t>
        </is>
      </c>
      <c r="AA20" s="20" t="inlineStr">
        <is>
          <t>NA</t>
        </is>
      </c>
      <c r="AB20" s="95" t="inlineStr">
        <is>
          <t>NA</t>
        </is>
      </c>
      <c r="AC20" s="20" t="inlineStr">
        <is>
          <t>NA</t>
        </is>
      </c>
      <c r="AD20" s="97" t="inlineStr">
        <is>
          <t>NA</t>
        </is>
      </c>
      <c r="AE20" s="97" t="inlineStr">
        <is>
          <t>NA</t>
        </is>
      </c>
      <c r="AF20" s="95" t="inlineStr">
        <is>
          <t>NA</t>
        </is>
      </c>
      <c r="AG20" s="97" t="inlineStr">
        <is>
          <t>NA</t>
        </is>
      </c>
      <c r="AH20" s="285" t="n">
        <v>0</v>
      </c>
      <c r="AI20" s="285" t="inlineStr">
        <is>
          <t>Not Reported</t>
        </is>
      </c>
      <c r="AJ20" s="102" t="n">
        <v>0.71</v>
      </c>
      <c r="AK20" s="202" t="inlineStr">
        <is>
          <t>Met</t>
        </is>
      </c>
    </row>
    <row r="21">
      <c r="A21" s="21" t="inlineStr">
        <is>
          <t>AMNS</t>
        </is>
      </c>
      <c r="B21" s="5" t="inlineStr">
        <is>
          <t>West 1</t>
        </is>
      </c>
      <c r="C21" s="76" t="inlineStr">
        <is>
          <t>Alifiya</t>
        </is>
      </c>
      <c r="D21" s="26" t="inlineStr">
        <is>
          <t>Rishab</t>
        </is>
      </c>
      <c r="E21" s="26" t="inlineStr">
        <is>
          <t>Category (A)</t>
        </is>
      </c>
      <c r="F21" s="27" t="inlineStr">
        <is>
          <t>Internal KPI</t>
        </is>
      </c>
      <c r="G21" s="21" t="inlineStr">
        <is>
          <t>No</t>
        </is>
      </c>
      <c r="H21" s="21" t="inlineStr">
        <is>
          <t>Ageing</t>
        </is>
      </c>
      <c r="I21" s="11" t="inlineStr">
        <is>
          <t>&lt;=20%</t>
        </is>
      </c>
      <c r="J21" s="29" t="n">
        <v>0.35</v>
      </c>
      <c r="K21" s="28" t="inlineStr">
        <is>
          <t>Not Met</t>
        </is>
      </c>
      <c r="L21" s="28" t="inlineStr">
        <is>
          <t xml:space="preserve">NA </t>
        </is>
      </c>
      <c r="M21" s="20" t="inlineStr">
        <is>
          <t>NA</t>
        </is>
      </c>
      <c r="N21" s="28" t="inlineStr">
        <is>
          <t xml:space="preserve">NA </t>
        </is>
      </c>
      <c r="O21" s="20" t="inlineStr">
        <is>
          <t>NA</t>
        </is>
      </c>
      <c r="P21" s="28" t="inlineStr">
        <is>
          <t xml:space="preserve">NA </t>
        </is>
      </c>
      <c r="Q21" s="20" t="inlineStr">
        <is>
          <t>NA</t>
        </is>
      </c>
      <c r="R21" s="17" t="inlineStr">
        <is>
          <t>NA</t>
        </is>
      </c>
      <c r="S21" s="20" t="inlineStr">
        <is>
          <t>NA</t>
        </is>
      </c>
      <c r="T21" s="17" t="inlineStr">
        <is>
          <t>NA</t>
        </is>
      </c>
      <c r="U21" s="20" t="inlineStr">
        <is>
          <t>NA</t>
        </is>
      </c>
      <c r="V21" s="17" t="inlineStr">
        <is>
          <t>NA</t>
        </is>
      </c>
      <c r="W21" s="20" t="inlineStr">
        <is>
          <t>NA</t>
        </is>
      </c>
      <c r="X21" s="17" t="inlineStr">
        <is>
          <t>NA</t>
        </is>
      </c>
      <c r="Y21" s="20" t="inlineStr">
        <is>
          <t>NA</t>
        </is>
      </c>
      <c r="Z21" s="17" t="inlineStr">
        <is>
          <t>NA</t>
        </is>
      </c>
      <c r="AA21" s="20" t="inlineStr">
        <is>
          <t>NA</t>
        </is>
      </c>
      <c r="AB21" s="95" t="inlineStr">
        <is>
          <t>NA</t>
        </is>
      </c>
      <c r="AC21" s="20" t="inlineStr">
        <is>
          <t>NA</t>
        </is>
      </c>
      <c r="AD21" s="97" t="inlineStr">
        <is>
          <t>NA</t>
        </is>
      </c>
      <c r="AE21" s="97" t="inlineStr">
        <is>
          <t>NA</t>
        </is>
      </c>
      <c r="AF21" s="95" t="inlineStr">
        <is>
          <t>NA</t>
        </is>
      </c>
      <c r="AG21" s="97" t="inlineStr">
        <is>
          <t>NA</t>
        </is>
      </c>
      <c r="AH21" s="285" t="n">
        <v>0</v>
      </c>
      <c r="AI21" s="285" t="inlineStr">
        <is>
          <t>Not Reported</t>
        </is>
      </c>
      <c r="AJ21" s="102" t="n">
        <v>0.35</v>
      </c>
      <c r="AK21" s="28" t="inlineStr">
        <is>
          <t>Not Met</t>
        </is>
      </c>
    </row>
    <row r="22">
      <c r="A22" s="21" t="inlineStr">
        <is>
          <t>AMNS</t>
        </is>
      </c>
      <c r="B22" s="5" t="inlineStr">
        <is>
          <t>West 1</t>
        </is>
      </c>
      <c r="C22" s="76" t="inlineStr">
        <is>
          <t>Alifiya</t>
        </is>
      </c>
      <c r="D22" s="26" t="inlineStr">
        <is>
          <t>Rishab</t>
        </is>
      </c>
      <c r="E22" s="26" t="inlineStr">
        <is>
          <t>Category (A)</t>
        </is>
      </c>
      <c r="F22" s="27" t="inlineStr">
        <is>
          <t>Internal KPI</t>
        </is>
      </c>
      <c r="G22" s="21" t="inlineStr">
        <is>
          <t>No</t>
        </is>
      </c>
      <c r="H22" s="27" t="inlineStr">
        <is>
          <t xml:space="preserve">Fulfilment </t>
        </is>
      </c>
      <c r="I22" s="11" t="n">
        <v>0.8</v>
      </c>
      <c r="J22" s="29" t="n">
        <v>0.34</v>
      </c>
      <c r="K22" s="28" t="inlineStr">
        <is>
          <t>Not Met</t>
        </is>
      </c>
      <c r="L22" s="28" t="inlineStr">
        <is>
          <t xml:space="preserve">NA </t>
        </is>
      </c>
      <c r="M22" s="20" t="inlineStr">
        <is>
          <t>NA</t>
        </is>
      </c>
      <c r="N22" s="28" t="inlineStr">
        <is>
          <t xml:space="preserve">NA </t>
        </is>
      </c>
      <c r="O22" s="20" t="inlineStr">
        <is>
          <t>NA</t>
        </is>
      </c>
      <c r="P22" s="28" t="inlineStr">
        <is>
          <t xml:space="preserve">NA </t>
        </is>
      </c>
      <c r="Q22" s="20" t="inlineStr">
        <is>
          <t>NA</t>
        </is>
      </c>
      <c r="R22" s="17" t="inlineStr">
        <is>
          <t>NA</t>
        </is>
      </c>
      <c r="S22" s="20" t="inlineStr">
        <is>
          <t>NA</t>
        </is>
      </c>
      <c r="T22" s="17" t="inlineStr">
        <is>
          <t>NA</t>
        </is>
      </c>
      <c r="U22" s="20" t="inlineStr">
        <is>
          <t>NA</t>
        </is>
      </c>
      <c r="V22" s="17" t="inlineStr">
        <is>
          <t>NA</t>
        </is>
      </c>
      <c r="W22" s="20" t="inlineStr">
        <is>
          <t>NA</t>
        </is>
      </c>
      <c r="X22" s="17" t="inlineStr">
        <is>
          <t>NA</t>
        </is>
      </c>
      <c r="Y22" s="20" t="inlineStr">
        <is>
          <t>NA</t>
        </is>
      </c>
      <c r="Z22" s="17" t="inlineStr">
        <is>
          <t>NA</t>
        </is>
      </c>
      <c r="AA22" s="20" t="inlineStr">
        <is>
          <t>NA</t>
        </is>
      </c>
      <c r="AB22" s="95" t="inlineStr">
        <is>
          <t>NA</t>
        </is>
      </c>
      <c r="AC22" s="20" t="inlineStr">
        <is>
          <t>NA</t>
        </is>
      </c>
      <c r="AD22" s="97" t="inlineStr">
        <is>
          <t>NA</t>
        </is>
      </c>
      <c r="AE22" s="97" t="inlineStr">
        <is>
          <t>NA</t>
        </is>
      </c>
      <c r="AF22" s="95" t="inlineStr">
        <is>
          <t>NA</t>
        </is>
      </c>
      <c r="AG22" s="97" t="inlineStr">
        <is>
          <t>NA</t>
        </is>
      </c>
      <c r="AH22" s="285" t="n">
        <v>0</v>
      </c>
      <c r="AI22" s="285" t="inlineStr">
        <is>
          <t>Not Reported</t>
        </is>
      </c>
      <c r="AJ22" s="102" t="n">
        <v>0.34</v>
      </c>
      <c r="AK22" s="28" t="inlineStr">
        <is>
          <t>Not Met</t>
        </is>
      </c>
    </row>
    <row r="23">
      <c r="A23" s="164" t="inlineStr">
        <is>
          <t>AMNS</t>
        </is>
      </c>
      <c r="B23" s="165" t="inlineStr">
        <is>
          <t>West 1</t>
        </is>
      </c>
      <c r="C23" s="278" t="inlineStr">
        <is>
          <t>Alifiya</t>
        </is>
      </c>
      <c r="D23" s="166" t="inlineStr">
        <is>
          <t>Rishab</t>
        </is>
      </c>
      <c r="E23" s="166" t="inlineStr">
        <is>
          <t>Category (A)</t>
        </is>
      </c>
      <c r="F23" s="167" t="inlineStr">
        <is>
          <t>Internal KPI</t>
        </is>
      </c>
      <c r="G23" s="164" t="inlineStr">
        <is>
          <t>No</t>
        </is>
      </c>
      <c r="H23" s="167" t="inlineStr">
        <is>
          <t>Hit Ratio</t>
        </is>
      </c>
      <c r="I23" s="191" t="n">
        <v>0.2</v>
      </c>
      <c r="J23" s="169" t="n">
        <v>0.11</v>
      </c>
      <c r="K23" s="170" t="inlineStr">
        <is>
          <t>Not Met</t>
        </is>
      </c>
      <c r="L23" s="170" t="inlineStr">
        <is>
          <t xml:space="preserve">NA </t>
        </is>
      </c>
      <c r="M23" s="191" t="inlineStr">
        <is>
          <t>NA</t>
        </is>
      </c>
      <c r="N23" s="170" t="inlineStr">
        <is>
          <t xml:space="preserve">NA </t>
        </is>
      </c>
      <c r="O23" s="191" t="inlineStr">
        <is>
          <t>NA</t>
        </is>
      </c>
      <c r="P23" s="170" t="inlineStr">
        <is>
          <t xml:space="preserve">NA </t>
        </is>
      </c>
      <c r="Q23" s="191" t="inlineStr">
        <is>
          <t>NA</t>
        </is>
      </c>
      <c r="R23" s="171" t="inlineStr">
        <is>
          <t>NA</t>
        </is>
      </c>
      <c r="S23" s="191" t="inlineStr">
        <is>
          <t>NA</t>
        </is>
      </c>
      <c r="T23" s="171" t="inlineStr">
        <is>
          <t>NA</t>
        </is>
      </c>
      <c r="U23" s="191" t="inlineStr">
        <is>
          <t>NA</t>
        </is>
      </c>
      <c r="V23" s="171" t="inlineStr">
        <is>
          <t>NA</t>
        </is>
      </c>
      <c r="W23" s="191" t="inlineStr">
        <is>
          <t>NA</t>
        </is>
      </c>
      <c r="X23" s="171" t="inlineStr">
        <is>
          <t>NA</t>
        </is>
      </c>
      <c r="Y23" s="191" t="inlineStr">
        <is>
          <t>NA</t>
        </is>
      </c>
      <c r="Z23" s="171" t="inlineStr">
        <is>
          <t>NA</t>
        </is>
      </c>
      <c r="AA23" s="191" t="inlineStr">
        <is>
          <t>NA</t>
        </is>
      </c>
      <c r="AB23" s="172" t="inlineStr">
        <is>
          <t>NA</t>
        </is>
      </c>
      <c r="AC23" s="191" t="inlineStr">
        <is>
          <t>NA</t>
        </is>
      </c>
      <c r="AD23" s="156" t="inlineStr">
        <is>
          <t>NA</t>
        </is>
      </c>
      <c r="AE23" s="156" t="inlineStr">
        <is>
          <t>NA</t>
        </is>
      </c>
      <c r="AF23" s="95" t="inlineStr">
        <is>
          <t>NA</t>
        </is>
      </c>
      <c r="AG23" s="97" t="inlineStr">
        <is>
          <t>NA</t>
        </is>
      </c>
      <c r="AH23" s="285" t="n">
        <v>0</v>
      </c>
      <c r="AI23" s="285" t="inlineStr">
        <is>
          <t>Not Reported</t>
        </is>
      </c>
      <c r="AJ23" s="102" t="n">
        <v>0.11</v>
      </c>
      <c r="AK23" s="28" t="inlineStr">
        <is>
          <t>Not Met</t>
        </is>
      </c>
    </row>
    <row r="24">
      <c r="A24" s="21" t="inlineStr">
        <is>
          <t>Ashok Leyland</t>
        </is>
      </c>
      <c r="B24" s="5" t="inlineStr">
        <is>
          <t>South 2</t>
        </is>
      </c>
      <c r="C24" s="76" t="inlineStr">
        <is>
          <t>Krishna</t>
        </is>
      </c>
      <c r="D24" s="26" t="inlineStr">
        <is>
          <t>Mehvish Naz</t>
        </is>
      </c>
      <c r="E24" s="26" t="inlineStr">
        <is>
          <t>Category (A)</t>
        </is>
      </c>
      <c r="F24" s="21" t="inlineStr">
        <is>
          <t>Contractual SLA</t>
        </is>
      </c>
      <c r="G24" s="21" t="inlineStr">
        <is>
          <t>Yes</t>
        </is>
      </c>
      <c r="H24" s="26" t="inlineStr">
        <is>
          <t>TTF</t>
        </is>
      </c>
      <c r="I24" s="11" t="inlineStr">
        <is>
          <t>32 Days</t>
        </is>
      </c>
      <c r="J24" s="14" t="inlineStr">
        <is>
          <t>NA</t>
        </is>
      </c>
      <c r="K24" s="14" t="inlineStr">
        <is>
          <t>NA</t>
        </is>
      </c>
      <c r="L24" s="14" t="inlineStr">
        <is>
          <t>NA</t>
        </is>
      </c>
      <c r="M24" s="20" t="inlineStr">
        <is>
          <t>NA</t>
        </is>
      </c>
      <c r="N24" s="14" t="inlineStr">
        <is>
          <t>NA</t>
        </is>
      </c>
      <c r="O24" s="14" t="inlineStr">
        <is>
          <t>NA</t>
        </is>
      </c>
      <c r="P24" s="14" t="inlineStr">
        <is>
          <t>NA</t>
        </is>
      </c>
      <c r="Q24" s="14" t="inlineStr">
        <is>
          <t>NA</t>
        </is>
      </c>
      <c r="R24" s="17" t="inlineStr">
        <is>
          <t>NA</t>
        </is>
      </c>
      <c r="S24" s="20" t="inlineStr">
        <is>
          <t>NA</t>
        </is>
      </c>
      <c r="T24" s="17" t="inlineStr">
        <is>
          <t>NA</t>
        </is>
      </c>
      <c r="U24" s="20" t="inlineStr">
        <is>
          <t>NA</t>
        </is>
      </c>
      <c r="V24" s="20" t="inlineStr">
        <is>
          <t>Not Reported</t>
        </is>
      </c>
      <c r="W24" s="28" t="inlineStr">
        <is>
          <t>Not Reported</t>
        </is>
      </c>
      <c r="X24" s="20" t="inlineStr">
        <is>
          <t>Not Reported</t>
        </is>
      </c>
      <c r="Y24" s="28" t="inlineStr">
        <is>
          <t>Not Reported</t>
        </is>
      </c>
      <c r="Z24" s="28" t="inlineStr">
        <is>
          <t>Not Reported</t>
        </is>
      </c>
      <c r="AA24" s="28" t="inlineStr">
        <is>
          <t>Not Reported</t>
        </is>
      </c>
      <c r="AB24" s="94" t="inlineStr">
        <is>
          <t>Not Reported</t>
        </is>
      </c>
      <c r="AC24" s="90" t="inlineStr">
        <is>
          <t>Not Reported</t>
        </is>
      </c>
      <c r="AD24" s="97" t="inlineStr">
        <is>
          <t>Not Reported</t>
        </is>
      </c>
      <c r="AE24" s="97" t="inlineStr">
        <is>
          <t>Not Reported</t>
        </is>
      </c>
      <c r="AF24" s="149" t="inlineStr">
        <is>
          <t>Not Reported</t>
        </is>
      </c>
      <c r="AG24" s="149" t="inlineStr">
        <is>
          <t>Not Reported</t>
        </is>
      </c>
      <c r="AH24" s="285" t="n">
        <v>0</v>
      </c>
      <c r="AI24" s="285" t="inlineStr">
        <is>
          <t>Not Reported</t>
        </is>
      </c>
      <c r="AJ24" s="149" t="inlineStr">
        <is>
          <t>Not Reported</t>
        </is>
      </c>
      <c r="AK24" s="97" t="inlineStr">
        <is>
          <t>Not Reported</t>
        </is>
      </c>
    </row>
    <row r="25">
      <c r="A25" s="21" t="inlineStr">
        <is>
          <t>Ashok Leyland</t>
        </is>
      </c>
      <c r="B25" s="5" t="inlineStr">
        <is>
          <t>South 2</t>
        </is>
      </c>
      <c r="C25" s="76" t="inlineStr">
        <is>
          <t>Krishna</t>
        </is>
      </c>
      <c r="D25" s="26" t="inlineStr">
        <is>
          <t>Mehvish Naz</t>
        </is>
      </c>
      <c r="E25" s="26" t="inlineStr">
        <is>
          <t>Category (A)</t>
        </is>
      </c>
      <c r="F25" s="21" t="inlineStr">
        <is>
          <t>Contractual SLA</t>
        </is>
      </c>
      <c r="G25" s="21" t="inlineStr">
        <is>
          <t>Yes</t>
        </is>
      </c>
      <c r="H25" s="26" t="inlineStr">
        <is>
          <t>Time to Supply</t>
        </is>
      </c>
      <c r="I25" s="11" t="inlineStr">
        <is>
          <t>5 profile in 7 days</t>
        </is>
      </c>
      <c r="J25" s="14" t="inlineStr">
        <is>
          <t>NA</t>
        </is>
      </c>
      <c r="K25" s="14" t="inlineStr">
        <is>
          <t>NA</t>
        </is>
      </c>
      <c r="L25" s="14" t="inlineStr">
        <is>
          <t>NA</t>
        </is>
      </c>
      <c r="M25" s="20" t="inlineStr">
        <is>
          <t>NA</t>
        </is>
      </c>
      <c r="N25" s="14" t="inlineStr">
        <is>
          <t>NA</t>
        </is>
      </c>
      <c r="O25" s="14" t="inlineStr">
        <is>
          <t>NA</t>
        </is>
      </c>
      <c r="P25" s="14" t="inlineStr">
        <is>
          <t>NA</t>
        </is>
      </c>
      <c r="Q25" s="14" t="inlineStr">
        <is>
          <t>NA</t>
        </is>
      </c>
      <c r="R25" s="17" t="inlineStr">
        <is>
          <t>NA</t>
        </is>
      </c>
      <c r="S25" s="20" t="inlineStr">
        <is>
          <t>NA</t>
        </is>
      </c>
      <c r="T25" s="17" t="inlineStr">
        <is>
          <t>NA</t>
        </is>
      </c>
      <c r="U25" s="20" t="inlineStr">
        <is>
          <t>NA</t>
        </is>
      </c>
      <c r="V25" s="20" t="inlineStr">
        <is>
          <t>Not Reported</t>
        </is>
      </c>
      <c r="W25" s="28" t="inlineStr">
        <is>
          <t>Not Reported</t>
        </is>
      </c>
      <c r="X25" s="20" t="inlineStr">
        <is>
          <t>Not Reported</t>
        </is>
      </c>
      <c r="Y25" s="28" t="inlineStr">
        <is>
          <t>Not Reported</t>
        </is>
      </c>
      <c r="Z25" s="28" t="inlineStr">
        <is>
          <t>Not Reported</t>
        </is>
      </c>
      <c r="AA25" s="28" t="inlineStr">
        <is>
          <t>Not Reported</t>
        </is>
      </c>
      <c r="AB25" s="94" t="inlineStr">
        <is>
          <t>Not Reported</t>
        </is>
      </c>
      <c r="AC25" s="90" t="inlineStr">
        <is>
          <t>Not Reported</t>
        </is>
      </c>
      <c r="AD25" s="97" t="inlineStr">
        <is>
          <t>Not Reported</t>
        </is>
      </c>
      <c r="AE25" s="97" t="inlineStr">
        <is>
          <t>Not Reported</t>
        </is>
      </c>
      <c r="AF25" s="149" t="inlineStr">
        <is>
          <t>Not Reported</t>
        </is>
      </c>
      <c r="AG25" s="149" t="inlineStr">
        <is>
          <t>Not Reported</t>
        </is>
      </c>
      <c r="AH25" s="285" t="n">
        <v>0</v>
      </c>
      <c r="AI25" s="285" t="inlineStr">
        <is>
          <t>Not Reported</t>
        </is>
      </c>
      <c r="AJ25" s="149" t="inlineStr">
        <is>
          <t>Not Reported</t>
        </is>
      </c>
      <c r="AK25" s="97" t="inlineStr">
        <is>
          <t>Not Reported</t>
        </is>
      </c>
    </row>
    <row r="26">
      <c r="A26" s="21" t="inlineStr">
        <is>
          <t>Ashok Leyland</t>
        </is>
      </c>
      <c r="B26" s="5" t="inlineStr">
        <is>
          <t>South 2</t>
        </is>
      </c>
      <c r="C26" s="76" t="inlineStr">
        <is>
          <t>Krishna</t>
        </is>
      </c>
      <c r="D26" s="26" t="inlineStr">
        <is>
          <t>Mehvish Naz</t>
        </is>
      </c>
      <c r="E26" s="26" t="inlineStr">
        <is>
          <t>Category (A)</t>
        </is>
      </c>
      <c r="F26" s="21" t="inlineStr">
        <is>
          <t>Contractual SLA</t>
        </is>
      </c>
      <c r="G26" s="21" t="inlineStr">
        <is>
          <t>Yes</t>
        </is>
      </c>
      <c r="H26" s="26" t="inlineStr">
        <is>
          <t>Selection to Offer</t>
        </is>
      </c>
      <c r="I26" s="11" t="n">
        <v>0.87</v>
      </c>
      <c r="J26" s="14" t="inlineStr">
        <is>
          <t>NA</t>
        </is>
      </c>
      <c r="K26" s="14" t="inlineStr">
        <is>
          <t>NA</t>
        </is>
      </c>
      <c r="L26" s="14" t="inlineStr">
        <is>
          <t>NA</t>
        </is>
      </c>
      <c r="M26" s="20" t="inlineStr">
        <is>
          <t>NA</t>
        </is>
      </c>
      <c r="N26" s="14" t="inlineStr">
        <is>
          <t>NA</t>
        </is>
      </c>
      <c r="O26" s="14" t="inlineStr">
        <is>
          <t>NA</t>
        </is>
      </c>
      <c r="P26" s="14" t="inlineStr">
        <is>
          <t>NA</t>
        </is>
      </c>
      <c r="Q26" s="14" t="inlineStr">
        <is>
          <t>NA</t>
        </is>
      </c>
      <c r="R26" s="17" t="inlineStr">
        <is>
          <t>NA</t>
        </is>
      </c>
      <c r="S26" s="20" t="inlineStr">
        <is>
          <t>NA</t>
        </is>
      </c>
      <c r="T26" s="17" t="inlineStr">
        <is>
          <t>NA</t>
        </is>
      </c>
      <c r="U26" s="20" t="inlineStr">
        <is>
          <t>NA</t>
        </is>
      </c>
      <c r="V26" s="20" t="inlineStr">
        <is>
          <t>Not Reported</t>
        </is>
      </c>
      <c r="W26" s="28" t="inlineStr">
        <is>
          <t>Not Reported</t>
        </is>
      </c>
      <c r="X26" s="20" t="inlineStr">
        <is>
          <t>Not Reported</t>
        </is>
      </c>
      <c r="Y26" s="28" t="inlineStr">
        <is>
          <t>Not Reported</t>
        </is>
      </c>
      <c r="Z26" s="28" t="inlineStr">
        <is>
          <t>Not Reported</t>
        </is>
      </c>
      <c r="AA26" s="28" t="inlineStr">
        <is>
          <t>Not Reported</t>
        </is>
      </c>
      <c r="AB26" s="94" t="inlineStr">
        <is>
          <t>Not Reported</t>
        </is>
      </c>
      <c r="AC26" s="90" t="inlineStr">
        <is>
          <t>Not Reported</t>
        </is>
      </c>
      <c r="AD26" s="97" t="inlineStr">
        <is>
          <t>Not Reported</t>
        </is>
      </c>
      <c r="AE26" s="97" t="inlineStr">
        <is>
          <t>Not Reported</t>
        </is>
      </c>
      <c r="AF26" s="149" t="inlineStr">
        <is>
          <t>Not Reported</t>
        </is>
      </c>
      <c r="AG26" s="149" t="inlineStr">
        <is>
          <t>Not Reported</t>
        </is>
      </c>
      <c r="AH26" s="285" t="n">
        <v>0</v>
      </c>
      <c r="AI26" s="285" t="inlineStr">
        <is>
          <t>Not Reported</t>
        </is>
      </c>
      <c r="AJ26" s="149" t="inlineStr">
        <is>
          <t>Not Reported</t>
        </is>
      </c>
      <c r="AK26" s="97" t="inlineStr">
        <is>
          <t>Not Reported</t>
        </is>
      </c>
    </row>
    <row r="27">
      <c r="A27" s="21" t="inlineStr">
        <is>
          <t>Ashok Leyland</t>
        </is>
      </c>
      <c r="B27" s="5" t="inlineStr">
        <is>
          <t>South 2</t>
        </is>
      </c>
      <c r="C27" s="76" t="inlineStr">
        <is>
          <t>Krishna</t>
        </is>
      </c>
      <c r="D27" s="26" t="inlineStr">
        <is>
          <t>Mehvish Naz</t>
        </is>
      </c>
      <c r="E27" s="26" t="inlineStr">
        <is>
          <t>Category (A)</t>
        </is>
      </c>
      <c r="F27" s="21" t="inlineStr">
        <is>
          <t>Contractual SLA</t>
        </is>
      </c>
      <c r="G27" s="21" t="inlineStr">
        <is>
          <t>Yes</t>
        </is>
      </c>
      <c r="H27" s="26" t="inlineStr">
        <is>
          <t>Offer to Joining %</t>
        </is>
      </c>
      <c r="I27" s="11" t="n">
        <v>0.85</v>
      </c>
      <c r="J27" s="14" t="inlineStr">
        <is>
          <t>NA</t>
        </is>
      </c>
      <c r="K27" s="14" t="inlineStr">
        <is>
          <t>NA</t>
        </is>
      </c>
      <c r="L27" s="14" t="inlineStr">
        <is>
          <t>NA</t>
        </is>
      </c>
      <c r="M27" s="20" t="inlineStr">
        <is>
          <t>NA</t>
        </is>
      </c>
      <c r="N27" s="14" t="inlineStr">
        <is>
          <t>NA</t>
        </is>
      </c>
      <c r="O27" s="14" t="inlineStr">
        <is>
          <t>NA</t>
        </is>
      </c>
      <c r="P27" s="14" t="inlineStr">
        <is>
          <t>NA</t>
        </is>
      </c>
      <c r="Q27" s="14" t="inlineStr">
        <is>
          <t>NA</t>
        </is>
      </c>
      <c r="R27" s="17" t="inlineStr">
        <is>
          <t>NA</t>
        </is>
      </c>
      <c r="S27" s="20" t="inlineStr">
        <is>
          <t>NA</t>
        </is>
      </c>
      <c r="T27" s="17" t="inlineStr">
        <is>
          <t>NA</t>
        </is>
      </c>
      <c r="U27" s="20" t="inlineStr">
        <is>
          <t>NA</t>
        </is>
      </c>
      <c r="V27" s="20" t="inlineStr">
        <is>
          <t>Not Reported</t>
        </is>
      </c>
      <c r="W27" s="28" t="inlineStr">
        <is>
          <t>Not Reported</t>
        </is>
      </c>
      <c r="X27" s="20" t="inlineStr">
        <is>
          <t>Not Reported</t>
        </is>
      </c>
      <c r="Y27" s="28" t="inlineStr">
        <is>
          <t>Not Reported</t>
        </is>
      </c>
      <c r="Z27" s="28" t="inlineStr">
        <is>
          <t>Not Reported</t>
        </is>
      </c>
      <c r="AA27" s="28" t="inlineStr">
        <is>
          <t>Not Reported</t>
        </is>
      </c>
      <c r="AB27" s="94" t="inlineStr">
        <is>
          <t>Not Reported</t>
        </is>
      </c>
      <c r="AC27" s="90" t="inlineStr">
        <is>
          <t>Not Reported</t>
        </is>
      </c>
      <c r="AD27" s="97" t="inlineStr">
        <is>
          <t>Not Reported</t>
        </is>
      </c>
      <c r="AE27" s="97" t="inlineStr">
        <is>
          <t>Not Reported</t>
        </is>
      </c>
      <c r="AF27" s="149" t="inlineStr">
        <is>
          <t>Not Reported</t>
        </is>
      </c>
      <c r="AG27" s="149" t="inlineStr">
        <is>
          <t>Not Reported</t>
        </is>
      </c>
      <c r="AH27" s="285" t="n">
        <v>0</v>
      </c>
      <c r="AI27" s="285" t="inlineStr">
        <is>
          <t>Not Reported</t>
        </is>
      </c>
      <c r="AJ27" s="149" t="inlineStr">
        <is>
          <t>Not Reported</t>
        </is>
      </c>
      <c r="AK27" s="97" t="inlineStr">
        <is>
          <t>Not Reported</t>
        </is>
      </c>
    </row>
    <row r="28">
      <c r="A28" s="21" t="inlineStr">
        <is>
          <t>Ashok Leyland</t>
        </is>
      </c>
      <c r="B28" s="5" t="inlineStr">
        <is>
          <t>South 2</t>
        </is>
      </c>
      <c r="C28" s="76" t="inlineStr">
        <is>
          <t>Krishna</t>
        </is>
      </c>
      <c r="D28" s="26" t="inlineStr">
        <is>
          <t>Mehvish Naz</t>
        </is>
      </c>
      <c r="E28" s="26" t="inlineStr">
        <is>
          <t>Category (A)</t>
        </is>
      </c>
      <c r="F28" s="21" t="inlineStr">
        <is>
          <t>Internal KPI</t>
        </is>
      </c>
      <c r="G28" s="21" t="inlineStr">
        <is>
          <t>No</t>
        </is>
      </c>
      <c r="H28" s="26" t="inlineStr">
        <is>
          <t>TTH</t>
        </is>
      </c>
      <c r="I28" s="11" t="inlineStr">
        <is>
          <t>Not Shared</t>
        </is>
      </c>
      <c r="J28" s="14" t="inlineStr">
        <is>
          <t>NA</t>
        </is>
      </c>
      <c r="K28" s="14" t="inlineStr">
        <is>
          <t>NA</t>
        </is>
      </c>
      <c r="L28" s="14" t="inlineStr">
        <is>
          <t>NA</t>
        </is>
      </c>
      <c r="M28" s="20" t="inlineStr">
        <is>
          <t>NA</t>
        </is>
      </c>
      <c r="N28" s="14" t="inlineStr">
        <is>
          <t>NA</t>
        </is>
      </c>
      <c r="O28" s="14" t="inlineStr">
        <is>
          <t>NA</t>
        </is>
      </c>
      <c r="P28" s="14" t="inlineStr">
        <is>
          <t>NA</t>
        </is>
      </c>
      <c r="Q28" s="14" t="inlineStr">
        <is>
          <t>NA</t>
        </is>
      </c>
      <c r="R28" s="17" t="inlineStr">
        <is>
          <t>NA</t>
        </is>
      </c>
      <c r="S28" s="20" t="inlineStr">
        <is>
          <t>NA</t>
        </is>
      </c>
      <c r="T28" s="17" t="inlineStr">
        <is>
          <t>NA</t>
        </is>
      </c>
      <c r="U28" s="20" t="inlineStr">
        <is>
          <t>NA</t>
        </is>
      </c>
      <c r="V28" s="20" t="inlineStr">
        <is>
          <t>Not Reported</t>
        </is>
      </c>
      <c r="W28" s="28" t="inlineStr">
        <is>
          <t>Not Reported</t>
        </is>
      </c>
      <c r="X28" s="20" t="inlineStr">
        <is>
          <t>Not Reported</t>
        </is>
      </c>
      <c r="Y28" s="28" t="inlineStr">
        <is>
          <t>Not Reported</t>
        </is>
      </c>
      <c r="Z28" s="28" t="inlineStr">
        <is>
          <t>Not Reported</t>
        </is>
      </c>
      <c r="AA28" s="28" t="inlineStr">
        <is>
          <t>Not Reported</t>
        </is>
      </c>
      <c r="AB28" s="94" t="inlineStr">
        <is>
          <t>Not Reported</t>
        </is>
      </c>
      <c r="AC28" s="90" t="inlineStr">
        <is>
          <t>Not Reported</t>
        </is>
      </c>
      <c r="AD28" s="97" t="inlineStr">
        <is>
          <t>Not Reported</t>
        </is>
      </c>
      <c r="AE28" s="97" t="inlineStr">
        <is>
          <t>Not Reported</t>
        </is>
      </c>
      <c r="AF28" s="149" t="inlineStr">
        <is>
          <t>Not Reported</t>
        </is>
      </c>
      <c r="AG28" s="149" t="inlineStr">
        <is>
          <t>Not Reported</t>
        </is>
      </c>
      <c r="AH28" s="285" t="n">
        <v>0</v>
      </c>
      <c r="AI28" s="285" t="inlineStr">
        <is>
          <t>Not Reported</t>
        </is>
      </c>
      <c r="AJ28" s="149" t="inlineStr">
        <is>
          <t>Not Reported</t>
        </is>
      </c>
      <c r="AK28" s="97" t="inlineStr">
        <is>
          <t>Not Reported</t>
        </is>
      </c>
    </row>
    <row r="29">
      <c r="A29" s="21" t="inlineStr">
        <is>
          <t>Ashok Leyland</t>
        </is>
      </c>
      <c r="B29" s="5" t="inlineStr">
        <is>
          <t>South 2</t>
        </is>
      </c>
      <c r="C29" s="76" t="inlineStr">
        <is>
          <t>Krishna</t>
        </is>
      </c>
      <c r="D29" s="26" t="inlineStr">
        <is>
          <t>Mehvish Naz</t>
        </is>
      </c>
      <c r="E29" s="26" t="inlineStr">
        <is>
          <t>Category (A)</t>
        </is>
      </c>
      <c r="F29" s="21" t="inlineStr">
        <is>
          <t>Internal KPI</t>
        </is>
      </c>
      <c r="G29" s="21" t="inlineStr">
        <is>
          <t>No</t>
        </is>
      </c>
      <c r="H29" s="26" t="inlineStr">
        <is>
          <t>Diversity</t>
        </is>
      </c>
      <c r="I29" s="11" t="inlineStr">
        <is>
          <t>Not Shared</t>
        </is>
      </c>
      <c r="J29" s="14" t="inlineStr">
        <is>
          <t>NA</t>
        </is>
      </c>
      <c r="K29" s="14" t="inlineStr">
        <is>
          <t>NA</t>
        </is>
      </c>
      <c r="L29" s="14" t="inlineStr">
        <is>
          <t>NA</t>
        </is>
      </c>
      <c r="M29" s="20" t="inlineStr">
        <is>
          <t>NA</t>
        </is>
      </c>
      <c r="N29" s="14" t="inlineStr">
        <is>
          <t>NA</t>
        </is>
      </c>
      <c r="O29" s="14" t="inlineStr">
        <is>
          <t>NA</t>
        </is>
      </c>
      <c r="P29" s="14" t="inlineStr">
        <is>
          <t>NA</t>
        </is>
      </c>
      <c r="Q29" s="14" t="inlineStr">
        <is>
          <t>NA</t>
        </is>
      </c>
      <c r="R29" s="17" t="inlineStr">
        <is>
          <t>NA</t>
        </is>
      </c>
      <c r="S29" s="20" t="inlineStr">
        <is>
          <t>NA</t>
        </is>
      </c>
      <c r="T29" s="17" t="inlineStr">
        <is>
          <t>NA</t>
        </is>
      </c>
      <c r="U29" s="20" t="inlineStr">
        <is>
          <t>NA</t>
        </is>
      </c>
      <c r="V29" s="20" t="inlineStr">
        <is>
          <t>Not Reported</t>
        </is>
      </c>
      <c r="W29" s="28" t="inlineStr">
        <is>
          <t>Not Reported</t>
        </is>
      </c>
      <c r="X29" s="20" t="inlineStr">
        <is>
          <t>Not Reported</t>
        </is>
      </c>
      <c r="Y29" s="28" t="inlineStr">
        <is>
          <t>Not Reported</t>
        </is>
      </c>
      <c r="Z29" s="28" t="inlineStr">
        <is>
          <t>Not Reported</t>
        </is>
      </c>
      <c r="AA29" s="28" t="inlineStr">
        <is>
          <t>Not Reported</t>
        </is>
      </c>
      <c r="AB29" s="94" t="inlineStr">
        <is>
          <t>Not Reported</t>
        </is>
      </c>
      <c r="AC29" s="90" t="inlineStr">
        <is>
          <t>Not Reported</t>
        </is>
      </c>
      <c r="AD29" s="97" t="inlineStr">
        <is>
          <t>Not Reported</t>
        </is>
      </c>
      <c r="AE29" s="97" t="inlineStr">
        <is>
          <t>Not Reported</t>
        </is>
      </c>
      <c r="AF29" s="149" t="inlineStr">
        <is>
          <t>Not Reported</t>
        </is>
      </c>
      <c r="AG29" s="149" t="inlineStr">
        <is>
          <t>Not Reported</t>
        </is>
      </c>
      <c r="AH29" s="285" t="n">
        <v>0</v>
      </c>
      <c r="AI29" s="285" t="inlineStr">
        <is>
          <t>Not Reported</t>
        </is>
      </c>
      <c r="AJ29" s="149" t="inlineStr">
        <is>
          <t>Not Reported</t>
        </is>
      </c>
      <c r="AK29" s="97" t="inlineStr">
        <is>
          <t>Not Reported</t>
        </is>
      </c>
    </row>
    <row r="30">
      <c r="A30" s="21" t="inlineStr">
        <is>
          <t>Ashok Leyland</t>
        </is>
      </c>
      <c r="B30" s="5" t="inlineStr">
        <is>
          <t>South 2</t>
        </is>
      </c>
      <c r="C30" s="76" t="inlineStr">
        <is>
          <t>Krishna</t>
        </is>
      </c>
      <c r="D30" s="26" t="inlineStr">
        <is>
          <t>Mehvish Naz</t>
        </is>
      </c>
      <c r="E30" s="26" t="inlineStr">
        <is>
          <t>Category (A)</t>
        </is>
      </c>
      <c r="F30" s="21" t="inlineStr">
        <is>
          <t>Internal KPI</t>
        </is>
      </c>
      <c r="G30" s="21" t="inlineStr">
        <is>
          <t>No</t>
        </is>
      </c>
      <c r="H30" s="26" t="inlineStr">
        <is>
          <t>Ageing</t>
        </is>
      </c>
      <c r="I30" s="11" t="inlineStr">
        <is>
          <t>Not Shared</t>
        </is>
      </c>
      <c r="J30" s="14" t="inlineStr">
        <is>
          <t>NA</t>
        </is>
      </c>
      <c r="K30" s="14" t="inlineStr">
        <is>
          <t>NA</t>
        </is>
      </c>
      <c r="L30" s="14" t="inlineStr">
        <is>
          <t>NA</t>
        </is>
      </c>
      <c r="M30" s="20" t="inlineStr">
        <is>
          <t>NA</t>
        </is>
      </c>
      <c r="N30" s="14" t="inlineStr">
        <is>
          <t>NA</t>
        </is>
      </c>
      <c r="O30" s="14" t="inlineStr">
        <is>
          <t>NA</t>
        </is>
      </c>
      <c r="P30" s="14" t="inlineStr">
        <is>
          <t>NA</t>
        </is>
      </c>
      <c r="Q30" s="14" t="inlineStr">
        <is>
          <t>NA</t>
        </is>
      </c>
      <c r="R30" s="17" t="inlineStr">
        <is>
          <t>NA</t>
        </is>
      </c>
      <c r="S30" s="20" t="inlineStr">
        <is>
          <t>NA</t>
        </is>
      </c>
      <c r="T30" s="17" t="inlineStr">
        <is>
          <t>NA</t>
        </is>
      </c>
      <c r="U30" s="20" t="inlineStr">
        <is>
          <t>NA</t>
        </is>
      </c>
      <c r="V30" s="20" t="inlineStr">
        <is>
          <t>Not Reported</t>
        </is>
      </c>
      <c r="W30" s="28" t="inlineStr">
        <is>
          <t>Not Reported</t>
        </is>
      </c>
      <c r="X30" s="20" t="inlineStr">
        <is>
          <t>Not Reported</t>
        </is>
      </c>
      <c r="Y30" s="28" t="inlineStr">
        <is>
          <t>Not Reported</t>
        </is>
      </c>
      <c r="Z30" s="28" t="inlineStr">
        <is>
          <t>Not Reported</t>
        </is>
      </c>
      <c r="AA30" s="28" t="inlineStr">
        <is>
          <t>Not Reported</t>
        </is>
      </c>
      <c r="AB30" s="94" t="inlineStr">
        <is>
          <t>Not Reported</t>
        </is>
      </c>
      <c r="AC30" s="90" t="inlineStr">
        <is>
          <t>Not Reported</t>
        </is>
      </c>
      <c r="AD30" s="97" t="inlineStr">
        <is>
          <t>Not Reported</t>
        </is>
      </c>
      <c r="AE30" s="127" t="inlineStr">
        <is>
          <t>Not Reported</t>
        </is>
      </c>
      <c r="AF30" s="149" t="inlineStr">
        <is>
          <t>Not Reported</t>
        </is>
      </c>
      <c r="AG30" s="149" t="inlineStr">
        <is>
          <t>Not Reported</t>
        </is>
      </c>
      <c r="AH30" s="285" t="n">
        <v>0</v>
      </c>
      <c r="AI30" s="285" t="inlineStr">
        <is>
          <t>Not Reported</t>
        </is>
      </c>
      <c r="AJ30" s="149" t="inlineStr">
        <is>
          <t>Not Reported</t>
        </is>
      </c>
      <c r="AK30" s="127" t="inlineStr">
        <is>
          <t>Not Reported</t>
        </is>
      </c>
    </row>
    <row r="31">
      <c r="A31" s="21" t="inlineStr">
        <is>
          <t>Ashok Leyland</t>
        </is>
      </c>
      <c r="B31" s="5" t="inlineStr">
        <is>
          <t>South 2</t>
        </is>
      </c>
      <c r="C31" s="76" t="inlineStr">
        <is>
          <t>Krishna</t>
        </is>
      </c>
      <c r="D31" s="26" t="inlineStr">
        <is>
          <t>Mehvish Naz</t>
        </is>
      </c>
      <c r="E31" s="26" t="inlineStr">
        <is>
          <t>Category (A)</t>
        </is>
      </c>
      <c r="F31" s="21" t="inlineStr">
        <is>
          <t>Internal KPI</t>
        </is>
      </c>
      <c r="G31" s="21" t="inlineStr">
        <is>
          <t>No</t>
        </is>
      </c>
      <c r="H31" s="26" t="inlineStr">
        <is>
          <t>Source Mix</t>
        </is>
      </c>
      <c r="I31" s="11" t="inlineStr">
        <is>
          <t>Not Shared</t>
        </is>
      </c>
      <c r="J31" s="14" t="inlineStr">
        <is>
          <t>NA</t>
        </is>
      </c>
      <c r="K31" s="14" t="inlineStr">
        <is>
          <t>NA</t>
        </is>
      </c>
      <c r="L31" s="14" t="inlineStr">
        <is>
          <t>NA</t>
        </is>
      </c>
      <c r="M31" s="20" t="inlineStr">
        <is>
          <t>NA</t>
        </is>
      </c>
      <c r="N31" s="14" t="inlineStr">
        <is>
          <t>NA</t>
        </is>
      </c>
      <c r="O31" s="14" t="inlineStr">
        <is>
          <t>NA</t>
        </is>
      </c>
      <c r="P31" s="14" t="inlineStr">
        <is>
          <t>NA</t>
        </is>
      </c>
      <c r="Q31" s="14" t="inlineStr">
        <is>
          <t>NA</t>
        </is>
      </c>
      <c r="R31" s="17" t="inlineStr">
        <is>
          <t>NA</t>
        </is>
      </c>
      <c r="S31" s="20" t="inlineStr">
        <is>
          <t>NA</t>
        </is>
      </c>
      <c r="T31" s="17" t="inlineStr">
        <is>
          <t>NA</t>
        </is>
      </c>
      <c r="U31" s="20" t="inlineStr">
        <is>
          <t>NA</t>
        </is>
      </c>
      <c r="V31" s="20" t="inlineStr">
        <is>
          <t>Not Reported</t>
        </is>
      </c>
      <c r="W31" s="28" t="inlineStr">
        <is>
          <t>Not Reported</t>
        </is>
      </c>
      <c r="X31" s="20" t="inlineStr">
        <is>
          <t>Not Reported</t>
        </is>
      </c>
      <c r="Y31" s="28" t="inlineStr">
        <is>
          <t>Not Reported</t>
        </is>
      </c>
      <c r="Z31" s="28" t="inlineStr">
        <is>
          <t>Not Reported</t>
        </is>
      </c>
      <c r="AA31" s="28" t="inlineStr">
        <is>
          <t>Not Reported</t>
        </is>
      </c>
      <c r="AB31" s="94" t="inlineStr">
        <is>
          <t>Not Reported</t>
        </is>
      </c>
      <c r="AC31" s="90" t="inlineStr">
        <is>
          <t>Not Reported</t>
        </is>
      </c>
      <c r="AD31" s="97" t="inlineStr">
        <is>
          <t>Not Reported</t>
        </is>
      </c>
      <c r="AE31" s="97" t="inlineStr">
        <is>
          <t>Not Reported</t>
        </is>
      </c>
      <c r="AF31" s="149" t="inlineStr">
        <is>
          <t>Not Reported</t>
        </is>
      </c>
      <c r="AG31" s="149" t="inlineStr">
        <is>
          <t>Not Reported</t>
        </is>
      </c>
      <c r="AH31" s="285" t="n">
        <v>0</v>
      </c>
      <c r="AI31" s="285" t="inlineStr">
        <is>
          <t>Not Reported</t>
        </is>
      </c>
      <c r="AJ31" s="149" t="inlineStr">
        <is>
          <t>Not Reported</t>
        </is>
      </c>
      <c r="AK31" s="97" t="inlineStr">
        <is>
          <t>Not Reported</t>
        </is>
      </c>
    </row>
    <row r="32">
      <c r="A32" s="21" t="inlineStr">
        <is>
          <t>Ashok Leyland</t>
        </is>
      </c>
      <c r="B32" s="5" t="inlineStr">
        <is>
          <t>South 2</t>
        </is>
      </c>
      <c r="C32" s="76" t="inlineStr">
        <is>
          <t>Krishna</t>
        </is>
      </c>
      <c r="D32" s="26" t="inlineStr">
        <is>
          <t>Mehvish Naz</t>
        </is>
      </c>
      <c r="E32" s="26" t="inlineStr">
        <is>
          <t>Category (A)</t>
        </is>
      </c>
      <c r="F32" s="21" t="inlineStr">
        <is>
          <t>Internal KPI</t>
        </is>
      </c>
      <c r="G32" s="21" t="inlineStr">
        <is>
          <t>No</t>
        </is>
      </c>
      <c r="H32" s="26" t="inlineStr">
        <is>
          <t>HM-SAT</t>
        </is>
      </c>
      <c r="I32" s="11" t="inlineStr">
        <is>
          <t>Not Shared</t>
        </is>
      </c>
      <c r="J32" s="14" t="inlineStr">
        <is>
          <t>NA</t>
        </is>
      </c>
      <c r="K32" s="14" t="inlineStr">
        <is>
          <t>NA</t>
        </is>
      </c>
      <c r="L32" s="14" t="inlineStr">
        <is>
          <t>NA</t>
        </is>
      </c>
      <c r="M32" s="20" t="inlineStr">
        <is>
          <t>NA</t>
        </is>
      </c>
      <c r="N32" s="14" t="inlineStr">
        <is>
          <t>NA</t>
        </is>
      </c>
      <c r="O32" s="14" t="inlineStr">
        <is>
          <t>NA</t>
        </is>
      </c>
      <c r="P32" s="14" t="inlineStr">
        <is>
          <t>NA</t>
        </is>
      </c>
      <c r="Q32" s="14" t="inlineStr">
        <is>
          <t>NA</t>
        </is>
      </c>
      <c r="R32" s="17" t="inlineStr">
        <is>
          <t>NA</t>
        </is>
      </c>
      <c r="S32" s="20" t="inlineStr">
        <is>
          <t>NA</t>
        </is>
      </c>
      <c r="T32" s="17" t="inlineStr">
        <is>
          <t>NA</t>
        </is>
      </c>
      <c r="U32" s="20" t="inlineStr">
        <is>
          <t>NA</t>
        </is>
      </c>
      <c r="V32" s="20" t="inlineStr">
        <is>
          <t>Not Reported</t>
        </is>
      </c>
      <c r="W32" s="28" t="inlineStr">
        <is>
          <t>Not Reported</t>
        </is>
      </c>
      <c r="X32" s="20" t="inlineStr">
        <is>
          <t>Not Reported</t>
        </is>
      </c>
      <c r="Y32" s="28" t="inlineStr">
        <is>
          <t>Not Reported</t>
        </is>
      </c>
      <c r="Z32" s="28" t="inlineStr">
        <is>
          <t>Not Reported</t>
        </is>
      </c>
      <c r="AA32" s="28" t="inlineStr">
        <is>
          <t>Not Reported</t>
        </is>
      </c>
      <c r="AB32" s="94" t="inlineStr">
        <is>
          <t>Not Reported</t>
        </is>
      </c>
      <c r="AC32" s="90" t="inlineStr">
        <is>
          <t>Not Reported</t>
        </is>
      </c>
      <c r="AD32" s="97" t="inlineStr">
        <is>
          <t>Not Reported</t>
        </is>
      </c>
      <c r="AE32" s="97" t="inlineStr">
        <is>
          <t>Not Reported</t>
        </is>
      </c>
      <c r="AF32" s="149" t="inlineStr">
        <is>
          <t>Not Reported</t>
        </is>
      </c>
      <c r="AG32" s="149" t="inlineStr">
        <is>
          <t>Not Reported</t>
        </is>
      </c>
      <c r="AH32" s="285" t="n">
        <v>0</v>
      </c>
      <c r="AI32" s="285" t="inlineStr">
        <is>
          <t>Not Reported</t>
        </is>
      </c>
      <c r="AJ32" s="149" t="inlineStr">
        <is>
          <t>Not Reported</t>
        </is>
      </c>
      <c r="AK32" s="97" t="inlineStr">
        <is>
          <t>Not Reported</t>
        </is>
      </c>
    </row>
    <row r="33">
      <c r="A33" s="204" t="inlineStr">
        <is>
          <t>Atomberg</t>
        </is>
      </c>
      <c r="B33" s="205" t="inlineStr">
        <is>
          <t>West 1</t>
        </is>
      </c>
      <c r="C33" s="279" t="inlineStr">
        <is>
          <t>Geetu</t>
        </is>
      </c>
      <c r="D33" s="206" t="inlineStr">
        <is>
          <t>Mehvish Naz</t>
        </is>
      </c>
      <c r="E33" s="206" t="inlineStr">
        <is>
          <t>Category (A)</t>
        </is>
      </c>
      <c r="F33" s="204" t="inlineStr">
        <is>
          <t>Internal KPI</t>
        </is>
      </c>
      <c r="G33" s="204" t="inlineStr">
        <is>
          <t>No</t>
        </is>
      </c>
      <c r="H33" s="206" t="inlineStr">
        <is>
          <t>Time to Hire (Manuf)</t>
        </is>
      </c>
      <c r="I33" s="207" t="inlineStr">
        <is>
          <t>100 Days</t>
        </is>
      </c>
      <c r="J33" s="208" t="n">
        <v>115</v>
      </c>
      <c r="K33" s="202" t="inlineStr">
        <is>
          <t>Not Met</t>
        </is>
      </c>
      <c r="L33" s="208" t="n">
        <v>98</v>
      </c>
      <c r="M33" s="202" t="inlineStr">
        <is>
          <t>Met</t>
        </is>
      </c>
      <c r="N33" s="202" t="n">
        <v>80</v>
      </c>
      <c r="O33" s="202" t="inlineStr">
        <is>
          <t>Met</t>
        </is>
      </c>
      <c r="P33" s="208" t="n">
        <v>97</v>
      </c>
      <c r="Q33" s="202" t="inlineStr">
        <is>
          <t>Met</t>
        </is>
      </c>
      <c r="R33" s="202" t="n">
        <v>68</v>
      </c>
      <c r="S33" s="202" t="inlineStr">
        <is>
          <t>Met</t>
        </is>
      </c>
      <c r="T33" s="202" t="n">
        <v>56</v>
      </c>
      <c r="U33" s="202" t="inlineStr">
        <is>
          <t>Met</t>
        </is>
      </c>
      <c r="V33" s="202" t="n">
        <v>35</v>
      </c>
      <c r="W33" s="202" t="inlineStr">
        <is>
          <t>Met</t>
        </is>
      </c>
      <c r="X33" s="202" t="inlineStr">
        <is>
          <t>Not Reported</t>
        </is>
      </c>
      <c r="Y33" s="202" t="inlineStr">
        <is>
          <t>Not Reported</t>
        </is>
      </c>
      <c r="Z33" s="202" t="n">
        <v>82</v>
      </c>
      <c r="AA33" s="202" t="inlineStr">
        <is>
          <t>Met</t>
        </is>
      </c>
      <c r="AB33" s="209" t="n">
        <v>52</v>
      </c>
      <c r="AC33" s="202" t="inlineStr">
        <is>
          <t>Met</t>
        </is>
      </c>
      <c r="AD33" s="163" t="n">
        <v>91</v>
      </c>
      <c r="AE33" s="202" t="inlineStr">
        <is>
          <t>Met</t>
        </is>
      </c>
      <c r="AF33" s="95" t="n">
        <v>60</v>
      </c>
      <c r="AG33" s="202" t="inlineStr">
        <is>
          <t>Met</t>
        </is>
      </c>
      <c r="AH33" s="285" t="n">
        <v>0</v>
      </c>
      <c r="AI33" s="285" t="inlineStr">
        <is>
          <t>Not Reported</t>
        </is>
      </c>
      <c r="AJ33" s="115" t="n">
        <v>74</v>
      </c>
      <c r="AK33" s="202" t="inlineStr">
        <is>
          <t>Met</t>
        </is>
      </c>
    </row>
    <row r="34">
      <c r="A34" s="21" t="inlineStr">
        <is>
          <t>Atomberg</t>
        </is>
      </c>
      <c r="B34" s="5" t="inlineStr">
        <is>
          <t>West 1</t>
        </is>
      </c>
      <c r="C34" s="76" t="inlineStr">
        <is>
          <t>Geetu</t>
        </is>
      </c>
      <c r="D34" s="26" t="inlineStr">
        <is>
          <t>Mehvish Naz</t>
        </is>
      </c>
      <c r="E34" s="26" t="inlineStr">
        <is>
          <t>Category (A)</t>
        </is>
      </c>
      <c r="F34" s="21" t="inlineStr">
        <is>
          <t>Internal KPI</t>
        </is>
      </c>
      <c r="G34" s="21" t="inlineStr">
        <is>
          <t>No</t>
        </is>
      </c>
      <c r="H34" s="26" t="inlineStr">
        <is>
          <t>Time to Hire (R&amp;D)</t>
        </is>
      </c>
      <c r="I34" s="11" t="inlineStr">
        <is>
          <t>100 Days</t>
        </is>
      </c>
      <c r="J34" s="68" t="n">
        <v>194</v>
      </c>
      <c r="K34" s="28" t="inlineStr">
        <is>
          <t>Not Met</t>
        </is>
      </c>
      <c r="L34" s="68" t="n">
        <v>136</v>
      </c>
      <c r="M34" s="28" t="inlineStr">
        <is>
          <t>Not Met</t>
        </is>
      </c>
      <c r="N34" s="28" t="n">
        <v>77</v>
      </c>
      <c r="O34" s="28" t="inlineStr">
        <is>
          <t>Met</t>
        </is>
      </c>
      <c r="P34" s="68" t="n">
        <v>135</v>
      </c>
      <c r="Q34" s="28" t="inlineStr">
        <is>
          <t>Not Met</t>
        </is>
      </c>
      <c r="R34" s="28" t="n">
        <v>164</v>
      </c>
      <c r="S34" s="28" t="inlineStr">
        <is>
          <t>Not Met</t>
        </is>
      </c>
      <c r="T34" s="28" t="n">
        <v>71</v>
      </c>
      <c r="U34" s="28" t="inlineStr">
        <is>
          <t>Met</t>
        </is>
      </c>
      <c r="V34" s="28" t="n">
        <v>86</v>
      </c>
      <c r="W34" s="28" t="inlineStr">
        <is>
          <t>Met</t>
        </is>
      </c>
      <c r="X34" s="28" t="inlineStr">
        <is>
          <t>Not Reported</t>
        </is>
      </c>
      <c r="Y34" s="28" t="inlineStr">
        <is>
          <t>Not Reported</t>
        </is>
      </c>
      <c r="Z34" s="28" t="inlineStr">
        <is>
          <t>NA</t>
        </is>
      </c>
      <c r="AA34" s="20" t="inlineStr">
        <is>
          <t>NA</t>
        </is>
      </c>
      <c r="AB34" s="90" t="n">
        <v>207</v>
      </c>
      <c r="AC34" s="28" t="inlineStr">
        <is>
          <t>Not Met</t>
        </is>
      </c>
      <c r="AD34" s="97" t="n">
        <v>73</v>
      </c>
      <c r="AE34" s="28" t="inlineStr">
        <is>
          <t>Met</t>
        </is>
      </c>
      <c r="AF34" s="95" t="n">
        <v>94</v>
      </c>
      <c r="AG34" s="202" t="inlineStr">
        <is>
          <t>Met</t>
        </is>
      </c>
      <c r="AH34" s="285" t="n">
        <v>0</v>
      </c>
      <c r="AI34" s="285" t="inlineStr">
        <is>
          <t>Not Reported</t>
        </is>
      </c>
      <c r="AJ34" s="115" t="n">
        <v>122</v>
      </c>
      <c r="AK34" s="28" t="inlineStr">
        <is>
          <t>Not Met</t>
        </is>
      </c>
    </row>
    <row r="35">
      <c r="A35" s="21" t="inlineStr">
        <is>
          <t>Atomberg</t>
        </is>
      </c>
      <c r="B35" s="5" t="inlineStr">
        <is>
          <t>West 1</t>
        </is>
      </c>
      <c r="C35" s="76" t="inlineStr">
        <is>
          <t>Geetu</t>
        </is>
      </c>
      <c r="D35" s="26" t="inlineStr">
        <is>
          <t>Mehvish Naz</t>
        </is>
      </c>
      <c r="E35" s="26" t="inlineStr">
        <is>
          <t>Category (A)</t>
        </is>
      </c>
      <c r="F35" s="21" t="inlineStr">
        <is>
          <t>Internal KPI</t>
        </is>
      </c>
      <c r="G35" s="21" t="inlineStr">
        <is>
          <t>No</t>
        </is>
      </c>
      <c r="H35" s="26" t="inlineStr">
        <is>
          <t>Time to Hire (Channel Sales)</t>
        </is>
      </c>
      <c r="I35" s="11" t="inlineStr">
        <is>
          <t>45 Days</t>
        </is>
      </c>
      <c r="J35" s="69" t="n">
        <v>49</v>
      </c>
      <c r="K35" s="28" t="inlineStr">
        <is>
          <t>Not Met</t>
        </is>
      </c>
      <c r="L35" s="69" t="n">
        <v>55</v>
      </c>
      <c r="M35" s="28" t="inlineStr">
        <is>
          <t>Not Met</t>
        </is>
      </c>
      <c r="N35" s="28" t="n">
        <v>64</v>
      </c>
      <c r="O35" s="28" t="inlineStr">
        <is>
          <t>Not Met</t>
        </is>
      </c>
      <c r="P35" s="69" t="n">
        <v>56</v>
      </c>
      <c r="Q35" s="28" t="inlineStr">
        <is>
          <t>Not Met</t>
        </is>
      </c>
      <c r="R35" s="28" t="n">
        <v>41</v>
      </c>
      <c r="S35" s="28" t="inlineStr">
        <is>
          <t>Met</t>
        </is>
      </c>
      <c r="T35" s="28" t="inlineStr">
        <is>
          <t>NA</t>
        </is>
      </c>
      <c r="U35" s="28" t="inlineStr">
        <is>
          <t>NA</t>
        </is>
      </c>
      <c r="V35" s="28" t="n">
        <v>79</v>
      </c>
      <c r="W35" s="28" t="inlineStr">
        <is>
          <t>Not Met</t>
        </is>
      </c>
      <c r="X35" s="28" t="inlineStr">
        <is>
          <t>Not Reported</t>
        </is>
      </c>
      <c r="Y35" s="28" t="inlineStr">
        <is>
          <t>Not Reported</t>
        </is>
      </c>
      <c r="Z35" s="28" t="n">
        <v>49</v>
      </c>
      <c r="AA35" s="28" t="inlineStr">
        <is>
          <t>Not Met</t>
        </is>
      </c>
      <c r="AB35" s="95" t="n">
        <v>27</v>
      </c>
      <c r="AC35" s="28" t="inlineStr">
        <is>
          <t>Met</t>
        </is>
      </c>
      <c r="AD35" s="97" t="n">
        <v>71</v>
      </c>
      <c r="AE35" s="28" t="inlineStr">
        <is>
          <t>Not Met</t>
        </is>
      </c>
      <c r="AF35" s="95" t="n">
        <v>40</v>
      </c>
      <c r="AG35" s="202" t="inlineStr">
        <is>
          <t>Met</t>
        </is>
      </c>
      <c r="AH35" s="285" t="n">
        <v>0</v>
      </c>
      <c r="AI35" s="285" t="inlineStr">
        <is>
          <t>Not Reported</t>
        </is>
      </c>
      <c r="AJ35" s="263" t="n">
        <v>53</v>
      </c>
      <c r="AK35" s="28" t="inlineStr">
        <is>
          <t>Not Met</t>
        </is>
      </c>
    </row>
    <row r="36">
      <c r="A36" s="21" t="inlineStr">
        <is>
          <t>Atomberg</t>
        </is>
      </c>
      <c r="B36" s="5" t="inlineStr">
        <is>
          <t>West 1</t>
        </is>
      </c>
      <c r="C36" s="76" t="inlineStr">
        <is>
          <t>Geetu</t>
        </is>
      </c>
      <c r="D36" s="26" t="inlineStr">
        <is>
          <t>Mehvish Naz</t>
        </is>
      </c>
      <c r="E36" s="26" t="inlineStr">
        <is>
          <t>Category (A)</t>
        </is>
      </c>
      <c r="F36" s="21" t="inlineStr">
        <is>
          <t>Internal KPI</t>
        </is>
      </c>
      <c r="G36" s="21" t="inlineStr">
        <is>
          <t>No</t>
        </is>
      </c>
      <c r="H36" s="26" t="inlineStr">
        <is>
          <t>Time to Hire (Corp Sales)</t>
        </is>
      </c>
      <c r="I36" s="11" t="inlineStr">
        <is>
          <t>100 Days</t>
        </is>
      </c>
      <c r="J36" s="68" t="n">
        <v>47</v>
      </c>
      <c r="K36" s="28" t="inlineStr">
        <is>
          <t>Met</t>
        </is>
      </c>
      <c r="L36" s="52" t="inlineStr">
        <is>
          <t>NA</t>
        </is>
      </c>
      <c r="M36" s="20" t="inlineStr">
        <is>
          <t>NA</t>
        </is>
      </c>
      <c r="N36" s="20" t="inlineStr">
        <is>
          <t>NA</t>
        </is>
      </c>
      <c r="O36" s="20" t="inlineStr">
        <is>
          <t>NA</t>
        </is>
      </c>
      <c r="P36" s="68" t="n">
        <v>47</v>
      </c>
      <c r="Q36" s="28" t="inlineStr">
        <is>
          <t>Met</t>
        </is>
      </c>
      <c r="R36" s="17" t="inlineStr">
        <is>
          <t>NA</t>
        </is>
      </c>
      <c r="S36" s="20" t="inlineStr">
        <is>
          <t>NA</t>
        </is>
      </c>
      <c r="T36" s="17" t="inlineStr">
        <is>
          <t>NA</t>
        </is>
      </c>
      <c r="U36" s="28" t="inlineStr">
        <is>
          <t>NA</t>
        </is>
      </c>
      <c r="V36" s="17" t="inlineStr">
        <is>
          <t>NA</t>
        </is>
      </c>
      <c r="W36" s="20" t="inlineStr">
        <is>
          <t>NA</t>
        </is>
      </c>
      <c r="X36" s="28" t="inlineStr">
        <is>
          <t>Not Reported</t>
        </is>
      </c>
      <c r="Y36" s="28" t="inlineStr">
        <is>
          <t>Not Reported</t>
        </is>
      </c>
      <c r="Z36" s="20" t="inlineStr">
        <is>
          <t>NA</t>
        </is>
      </c>
      <c r="AA36" s="20" t="inlineStr">
        <is>
          <t>NA</t>
        </is>
      </c>
      <c r="AB36" s="95" t="n">
        <v>54</v>
      </c>
      <c r="AC36" s="28" t="inlineStr">
        <is>
          <t>Met</t>
        </is>
      </c>
      <c r="AD36" s="97" t="n">
        <v>84</v>
      </c>
      <c r="AE36" s="28" t="inlineStr">
        <is>
          <t>Met</t>
        </is>
      </c>
      <c r="AF36" s="95" t="n">
        <v>104</v>
      </c>
      <c r="AG36" s="28" t="inlineStr">
        <is>
          <t>Not Met</t>
        </is>
      </c>
      <c r="AH36" s="285" t="n">
        <v>0</v>
      </c>
      <c r="AI36" s="285" t="inlineStr">
        <is>
          <t>Not Reported</t>
        </is>
      </c>
      <c r="AJ36" s="115" t="n">
        <v>72</v>
      </c>
      <c r="AK36" s="202" t="inlineStr">
        <is>
          <t>Met</t>
        </is>
      </c>
    </row>
    <row r="37">
      <c r="A37" s="21" t="inlineStr">
        <is>
          <t>Atomberg</t>
        </is>
      </c>
      <c r="B37" s="5" t="inlineStr">
        <is>
          <t>West 1</t>
        </is>
      </c>
      <c r="C37" s="76" t="inlineStr">
        <is>
          <t>Geetu</t>
        </is>
      </c>
      <c r="D37" s="26" t="inlineStr">
        <is>
          <t>Mehvish Naz</t>
        </is>
      </c>
      <c r="E37" s="26" t="inlineStr">
        <is>
          <t>Category (A)</t>
        </is>
      </c>
      <c r="F37" s="21" t="inlineStr">
        <is>
          <t>Internal KPI</t>
        </is>
      </c>
      <c r="G37" s="21" t="inlineStr">
        <is>
          <t>No</t>
        </is>
      </c>
      <c r="H37" s="26" t="inlineStr">
        <is>
          <t>Time to Hire (Cust Exp)</t>
        </is>
      </c>
      <c r="I37" s="11" t="inlineStr">
        <is>
          <t>85 Days</t>
        </is>
      </c>
      <c r="J37" s="52" t="inlineStr">
        <is>
          <t>NA</t>
        </is>
      </c>
      <c r="K37" s="52" t="inlineStr">
        <is>
          <t>NA</t>
        </is>
      </c>
      <c r="L37" s="52" t="inlineStr">
        <is>
          <t>NA</t>
        </is>
      </c>
      <c r="M37" s="20" t="inlineStr">
        <is>
          <t>NA</t>
        </is>
      </c>
      <c r="N37" s="20" t="inlineStr">
        <is>
          <t>NA</t>
        </is>
      </c>
      <c r="O37" s="20" t="inlineStr">
        <is>
          <t>NA</t>
        </is>
      </c>
      <c r="P37" s="52" t="inlineStr">
        <is>
          <t>NA</t>
        </is>
      </c>
      <c r="Q37" s="20" t="inlineStr">
        <is>
          <t>NA</t>
        </is>
      </c>
      <c r="R37" s="17" t="inlineStr">
        <is>
          <t>NA</t>
        </is>
      </c>
      <c r="S37" s="20" t="inlineStr">
        <is>
          <t>NA</t>
        </is>
      </c>
      <c r="T37" s="17" t="inlineStr">
        <is>
          <t>NA</t>
        </is>
      </c>
      <c r="U37" s="28" t="inlineStr">
        <is>
          <t>NA</t>
        </is>
      </c>
      <c r="V37" s="17" t="n">
        <v>47</v>
      </c>
      <c r="W37" s="28" t="inlineStr">
        <is>
          <t>Met</t>
        </is>
      </c>
      <c r="X37" s="28" t="inlineStr">
        <is>
          <t>Not Reported</t>
        </is>
      </c>
      <c r="Y37" s="28" t="inlineStr">
        <is>
          <t>Not Reported</t>
        </is>
      </c>
      <c r="Z37" s="20" t="inlineStr">
        <is>
          <t>NA</t>
        </is>
      </c>
      <c r="AA37" s="20" t="inlineStr">
        <is>
          <t>NA</t>
        </is>
      </c>
      <c r="AB37" s="95" t="inlineStr">
        <is>
          <t>NA</t>
        </is>
      </c>
      <c r="AC37" s="20" t="inlineStr">
        <is>
          <t>NA</t>
        </is>
      </c>
      <c r="AD37" s="97" t="n">
        <v>104</v>
      </c>
      <c r="AE37" s="28" t="inlineStr">
        <is>
          <t>Not Met</t>
        </is>
      </c>
      <c r="AF37" s="95" t="inlineStr">
        <is>
          <t>NA</t>
        </is>
      </c>
      <c r="AG37" s="97" t="inlineStr">
        <is>
          <t>NA</t>
        </is>
      </c>
      <c r="AH37" s="285" t="n">
        <v>0</v>
      </c>
      <c r="AI37" s="285" t="inlineStr">
        <is>
          <t>Not Reported</t>
        </is>
      </c>
      <c r="AJ37" s="263" t="n">
        <v>76</v>
      </c>
      <c r="AK37" s="202" t="inlineStr">
        <is>
          <t>Met</t>
        </is>
      </c>
    </row>
    <row r="38">
      <c r="A38" s="21" t="inlineStr">
        <is>
          <t>Atomberg</t>
        </is>
      </c>
      <c r="B38" s="5" t="inlineStr">
        <is>
          <t>West 1</t>
        </is>
      </c>
      <c r="C38" s="76" t="inlineStr">
        <is>
          <t>Geetu</t>
        </is>
      </c>
      <c r="D38" s="26" t="inlineStr">
        <is>
          <t>Mehvish Naz</t>
        </is>
      </c>
      <c r="E38" s="26" t="inlineStr">
        <is>
          <t>Category (A)</t>
        </is>
      </c>
      <c r="F38" s="21" t="inlineStr">
        <is>
          <t>Internal KPI</t>
        </is>
      </c>
      <c r="G38" s="21" t="inlineStr">
        <is>
          <t>No</t>
        </is>
      </c>
      <c r="H38" s="26" t="inlineStr">
        <is>
          <t>Time to Hire (Supply Chain)</t>
        </is>
      </c>
      <c r="I38" s="11" t="inlineStr">
        <is>
          <t>100 Days</t>
        </is>
      </c>
      <c r="J38" s="68" t="n">
        <v>51</v>
      </c>
      <c r="K38" s="28" t="inlineStr">
        <is>
          <t>Met</t>
        </is>
      </c>
      <c r="L38" s="52" t="inlineStr">
        <is>
          <t>NA</t>
        </is>
      </c>
      <c r="M38" s="20" t="inlineStr">
        <is>
          <t>NA</t>
        </is>
      </c>
      <c r="N38" s="42" t="n">
        <v>13</v>
      </c>
      <c r="O38" s="28" t="inlineStr">
        <is>
          <t>Met</t>
        </is>
      </c>
      <c r="P38" s="68" t="n">
        <v>48</v>
      </c>
      <c r="Q38" s="28" t="inlineStr">
        <is>
          <t>Met</t>
        </is>
      </c>
      <c r="R38" s="42" t="n">
        <v>117</v>
      </c>
      <c r="S38" s="28" t="inlineStr">
        <is>
          <t>Not Met</t>
        </is>
      </c>
      <c r="T38" s="42" t="inlineStr">
        <is>
          <t>NA</t>
        </is>
      </c>
      <c r="U38" s="28" t="inlineStr">
        <is>
          <t>NA</t>
        </is>
      </c>
      <c r="V38" s="42" t="n">
        <v>75</v>
      </c>
      <c r="W38" s="28" t="inlineStr">
        <is>
          <t>Met</t>
        </is>
      </c>
      <c r="X38" s="28" t="inlineStr">
        <is>
          <t>Not Reported</t>
        </is>
      </c>
      <c r="Y38" s="28" t="inlineStr">
        <is>
          <t>Not Reported</t>
        </is>
      </c>
      <c r="Z38" s="42" t="n">
        <v>117</v>
      </c>
      <c r="AA38" s="28" t="inlineStr">
        <is>
          <t>Not Met</t>
        </is>
      </c>
      <c r="AB38" s="95" t="inlineStr">
        <is>
          <t>NA</t>
        </is>
      </c>
      <c r="AC38" s="20" t="inlineStr">
        <is>
          <t>NA</t>
        </is>
      </c>
      <c r="AD38" s="97" t="n">
        <v>113</v>
      </c>
      <c r="AE38" s="28" t="inlineStr">
        <is>
          <t>Not Met</t>
        </is>
      </c>
      <c r="AF38" s="95" t="n">
        <v>63</v>
      </c>
      <c r="AG38" s="202" t="inlineStr">
        <is>
          <t>Met</t>
        </is>
      </c>
      <c r="AH38" s="285" t="n">
        <v>0</v>
      </c>
      <c r="AI38" s="285" t="inlineStr">
        <is>
          <t>Not Reported</t>
        </is>
      </c>
      <c r="AJ38" s="115" t="n">
        <v>83</v>
      </c>
      <c r="AK38" s="202" t="inlineStr">
        <is>
          <t>Met</t>
        </is>
      </c>
    </row>
    <row r="39">
      <c r="A39" s="21" t="inlineStr">
        <is>
          <t>Atomberg</t>
        </is>
      </c>
      <c r="B39" s="5" t="inlineStr">
        <is>
          <t>West 1</t>
        </is>
      </c>
      <c r="C39" s="76" t="inlineStr">
        <is>
          <t>Geetu</t>
        </is>
      </c>
      <c r="D39" s="26" t="inlineStr">
        <is>
          <t>Mehvish Naz</t>
        </is>
      </c>
      <c r="E39" s="26" t="inlineStr">
        <is>
          <t>Category (A)</t>
        </is>
      </c>
      <c r="F39" s="21" t="inlineStr">
        <is>
          <t>Internal KPI</t>
        </is>
      </c>
      <c r="G39" s="21" t="inlineStr">
        <is>
          <t>No</t>
        </is>
      </c>
      <c r="H39" s="26" t="inlineStr">
        <is>
          <t>Time to Hire (Fin &amp; HR)</t>
        </is>
      </c>
      <c r="I39" s="11" t="inlineStr">
        <is>
          <t>100 Days</t>
        </is>
      </c>
      <c r="J39" s="52" t="inlineStr">
        <is>
          <t>NA</t>
        </is>
      </c>
      <c r="K39" s="52" t="inlineStr">
        <is>
          <t>NA</t>
        </is>
      </c>
      <c r="L39" s="52" t="inlineStr">
        <is>
          <t>NA</t>
        </is>
      </c>
      <c r="M39" s="20" t="inlineStr">
        <is>
          <t>NA</t>
        </is>
      </c>
      <c r="N39" s="20" t="inlineStr">
        <is>
          <t>NA</t>
        </is>
      </c>
      <c r="O39" s="20" t="inlineStr">
        <is>
          <t>NA</t>
        </is>
      </c>
      <c r="P39" s="52" t="inlineStr">
        <is>
          <t>NA</t>
        </is>
      </c>
      <c r="Q39" s="20" t="inlineStr">
        <is>
          <t>NA</t>
        </is>
      </c>
      <c r="R39" s="17" t="inlineStr">
        <is>
          <t>NA</t>
        </is>
      </c>
      <c r="S39" s="20" t="inlineStr">
        <is>
          <t>NA</t>
        </is>
      </c>
      <c r="T39" s="17" t="n">
        <v>251</v>
      </c>
      <c r="U39" s="28" t="inlineStr">
        <is>
          <t>Not Met</t>
        </is>
      </c>
      <c r="V39" s="17" t="inlineStr">
        <is>
          <t>NA</t>
        </is>
      </c>
      <c r="W39" s="20" t="inlineStr">
        <is>
          <t>NA</t>
        </is>
      </c>
      <c r="X39" s="28" t="inlineStr">
        <is>
          <t>Not Reported</t>
        </is>
      </c>
      <c r="Y39" s="28" t="inlineStr">
        <is>
          <t>Not Reported</t>
        </is>
      </c>
      <c r="Z39" s="8" t="n">
        <v>31</v>
      </c>
      <c r="AA39" s="28" t="inlineStr">
        <is>
          <t>Met</t>
        </is>
      </c>
      <c r="AB39" s="95" t="n">
        <v>47</v>
      </c>
      <c r="AC39" s="28" t="inlineStr">
        <is>
          <t>Met</t>
        </is>
      </c>
      <c r="AD39" s="97" t="n">
        <v>70</v>
      </c>
      <c r="AE39" s="28" t="inlineStr">
        <is>
          <t>Met</t>
        </is>
      </c>
      <c r="AF39" s="95" t="inlineStr">
        <is>
          <t>NA</t>
        </is>
      </c>
      <c r="AG39" s="97" t="inlineStr">
        <is>
          <t>NA</t>
        </is>
      </c>
      <c r="AH39" s="285" t="n">
        <v>0</v>
      </c>
      <c r="AI39" s="285" t="inlineStr">
        <is>
          <t>Not Reported</t>
        </is>
      </c>
      <c r="AJ39" s="263" t="n">
        <v>100</v>
      </c>
      <c r="AK39" s="202" t="inlineStr">
        <is>
          <t>Met</t>
        </is>
      </c>
    </row>
    <row r="40">
      <c r="A40" s="21" t="inlineStr">
        <is>
          <t>Atomberg</t>
        </is>
      </c>
      <c r="B40" s="5" t="inlineStr">
        <is>
          <t>West 1</t>
        </is>
      </c>
      <c r="C40" s="76" t="inlineStr">
        <is>
          <t>Geetu</t>
        </is>
      </c>
      <c r="D40" s="26" t="inlineStr">
        <is>
          <t>Mehvish Naz</t>
        </is>
      </c>
      <c r="E40" s="26" t="inlineStr">
        <is>
          <t>Category (A)</t>
        </is>
      </c>
      <c r="F40" s="21" t="inlineStr">
        <is>
          <t>Internal KPI</t>
        </is>
      </c>
      <c r="G40" s="21" t="inlineStr">
        <is>
          <t>No</t>
        </is>
      </c>
      <c r="H40" s="26" t="inlineStr">
        <is>
          <t>Time to Fill (Manuf)</t>
        </is>
      </c>
      <c r="I40" s="11" t="inlineStr">
        <is>
          <t>40 Days</t>
        </is>
      </c>
      <c r="J40" s="68" t="n">
        <v>64</v>
      </c>
      <c r="K40" s="28" t="inlineStr">
        <is>
          <t>Not Met</t>
        </is>
      </c>
      <c r="L40" s="68" t="n">
        <v>50</v>
      </c>
      <c r="M40" s="28" t="inlineStr">
        <is>
          <t>Not Met</t>
        </is>
      </c>
      <c r="N40" s="28" t="n">
        <v>61</v>
      </c>
      <c r="O40" s="28" t="inlineStr">
        <is>
          <t>Not Met</t>
        </is>
      </c>
      <c r="P40" s="68" t="n">
        <v>58</v>
      </c>
      <c r="Q40" s="28" t="inlineStr">
        <is>
          <t>Not Met</t>
        </is>
      </c>
      <c r="R40" s="28" t="n">
        <v>25</v>
      </c>
      <c r="S40" s="28" t="inlineStr">
        <is>
          <t>Met</t>
        </is>
      </c>
      <c r="T40" s="28" t="n">
        <v>27</v>
      </c>
      <c r="U40" s="28" t="inlineStr">
        <is>
          <t>Met</t>
        </is>
      </c>
      <c r="V40" s="28" t="n">
        <v>42</v>
      </c>
      <c r="W40" s="28" t="inlineStr">
        <is>
          <t>Not Met</t>
        </is>
      </c>
      <c r="X40" s="28" t="inlineStr">
        <is>
          <t>Not Reported</t>
        </is>
      </c>
      <c r="Y40" s="28" t="inlineStr">
        <is>
          <t>Not Reported</t>
        </is>
      </c>
      <c r="Z40" s="28" t="n">
        <v>44</v>
      </c>
      <c r="AA40" s="28" t="inlineStr">
        <is>
          <t>Not Met</t>
        </is>
      </c>
      <c r="AB40" s="95" t="n">
        <v>40</v>
      </c>
      <c r="AC40" s="28" t="inlineStr">
        <is>
          <t>Met</t>
        </is>
      </c>
      <c r="AD40" s="97" t="n">
        <v>26</v>
      </c>
      <c r="AE40" s="28" t="inlineStr">
        <is>
          <t>Met</t>
        </is>
      </c>
      <c r="AF40" s="95" t="n">
        <v>37</v>
      </c>
      <c r="AG40" s="202" t="inlineStr">
        <is>
          <t>Met</t>
        </is>
      </c>
      <c r="AH40" s="285" t="n">
        <v>0</v>
      </c>
      <c r="AI40" s="285" t="inlineStr">
        <is>
          <t>Not Reported</t>
        </is>
      </c>
      <c r="AJ40" s="115" t="n">
        <v>42</v>
      </c>
      <c r="AK40" s="28" t="inlineStr">
        <is>
          <t>Not Met</t>
        </is>
      </c>
    </row>
    <row r="41">
      <c r="A41" s="21" t="inlineStr">
        <is>
          <t>Atomberg</t>
        </is>
      </c>
      <c r="B41" s="5" t="inlineStr">
        <is>
          <t>West 1</t>
        </is>
      </c>
      <c r="C41" s="76" t="inlineStr">
        <is>
          <t>Geetu</t>
        </is>
      </c>
      <c r="D41" s="26" t="inlineStr">
        <is>
          <t>Mehvish Naz</t>
        </is>
      </c>
      <c r="E41" s="26" t="inlineStr">
        <is>
          <t>Category (A)</t>
        </is>
      </c>
      <c r="F41" s="21" t="inlineStr">
        <is>
          <t>Internal KPI</t>
        </is>
      </c>
      <c r="G41" s="21" t="inlineStr">
        <is>
          <t>No</t>
        </is>
      </c>
      <c r="H41" s="26" t="inlineStr">
        <is>
          <t>Time to Fill (R&amp;D)</t>
        </is>
      </c>
      <c r="I41" s="11" t="inlineStr">
        <is>
          <t>40 Days</t>
        </is>
      </c>
      <c r="J41" s="68" t="n">
        <v>89</v>
      </c>
      <c r="K41" s="28" t="inlineStr">
        <is>
          <t>Not Met</t>
        </is>
      </c>
      <c r="L41" s="68" t="n">
        <v>49</v>
      </c>
      <c r="M41" s="28" t="inlineStr">
        <is>
          <t>Not Met</t>
        </is>
      </c>
      <c r="N41" s="28" t="n">
        <v>71</v>
      </c>
      <c r="O41" s="28" t="inlineStr">
        <is>
          <t>Not Met</t>
        </is>
      </c>
      <c r="P41" s="68" t="n">
        <v>69</v>
      </c>
      <c r="Q41" s="28" t="inlineStr">
        <is>
          <t>Not Met</t>
        </is>
      </c>
      <c r="R41" s="28" t="n">
        <v>81</v>
      </c>
      <c r="S41" s="28" t="inlineStr">
        <is>
          <t>Not Met</t>
        </is>
      </c>
      <c r="T41" s="28" t="n">
        <v>234</v>
      </c>
      <c r="U41" s="28" t="inlineStr">
        <is>
          <t>Not Met</t>
        </is>
      </c>
      <c r="V41" s="28" t="n">
        <v>218</v>
      </c>
      <c r="W41" s="28" t="inlineStr">
        <is>
          <t>Not Met</t>
        </is>
      </c>
      <c r="X41" s="28" t="inlineStr">
        <is>
          <t>Not Reported</t>
        </is>
      </c>
      <c r="Y41" s="28" t="inlineStr">
        <is>
          <t>Not Reported</t>
        </is>
      </c>
      <c r="Z41" s="28" t="n">
        <v>44</v>
      </c>
      <c r="AA41" s="28" t="inlineStr">
        <is>
          <t>Not Met</t>
        </is>
      </c>
      <c r="AB41" s="95" t="n">
        <v>34</v>
      </c>
      <c r="AC41" s="28" t="inlineStr">
        <is>
          <t>Met</t>
        </is>
      </c>
      <c r="AD41" s="97" t="n">
        <v>44</v>
      </c>
      <c r="AE41" s="28" t="inlineStr">
        <is>
          <t>Not Met</t>
        </is>
      </c>
      <c r="AF41" s="95" t="n">
        <v>79</v>
      </c>
      <c r="AG41" s="28" t="inlineStr">
        <is>
          <t>Not Met</t>
        </is>
      </c>
      <c r="AH41" s="285" t="n">
        <v>0</v>
      </c>
      <c r="AI41" s="285" t="inlineStr">
        <is>
          <t>Not Reported</t>
        </is>
      </c>
      <c r="AJ41" s="115" t="n">
        <v>94</v>
      </c>
      <c r="AK41" s="28" t="inlineStr">
        <is>
          <t>Not Met</t>
        </is>
      </c>
    </row>
    <row r="42">
      <c r="A42" s="21" t="inlineStr">
        <is>
          <t>Atomberg</t>
        </is>
      </c>
      <c r="B42" s="5" t="inlineStr">
        <is>
          <t>West 1</t>
        </is>
      </c>
      <c r="C42" s="76" t="inlineStr">
        <is>
          <t>Geetu</t>
        </is>
      </c>
      <c r="D42" s="26" t="inlineStr">
        <is>
          <t>Mehvish Naz</t>
        </is>
      </c>
      <c r="E42" s="26" t="inlineStr">
        <is>
          <t>Category (A)</t>
        </is>
      </c>
      <c r="F42" s="21" t="inlineStr">
        <is>
          <t>Internal KPI</t>
        </is>
      </c>
      <c r="G42" s="21" t="inlineStr">
        <is>
          <t>No</t>
        </is>
      </c>
      <c r="H42" s="26" t="inlineStr">
        <is>
          <t>Time to Fill (Channel Sales)</t>
        </is>
      </c>
      <c r="I42" s="11" t="inlineStr">
        <is>
          <t>25 Days</t>
        </is>
      </c>
      <c r="J42" s="69" t="n">
        <v>27</v>
      </c>
      <c r="K42" s="28" t="inlineStr">
        <is>
          <t>Not Met</t>
        </is>
      </c>
      <c r="L42" s="69" t="n">
        <v>30</v>
      </c>
      <c r="M42" s="28" t="inlineStr">
        <is>
          <t>Not Met</t>
        </is>
      </c>
      <c r="N42" s="28" t="n">
        <v>30</v>
      </c>
      <c r="O42" s="28" t="inlineStr">
        <is>
          <t>Not Met</t>
        </is>
      </c>
      <c r="P42" s="69" t="n">
        <v>29</v>
      </c>
      <c r="Q42" s="28" t="inlineStr">
        <is>
          <t>Not Met</t>
        </is>
      </c>
      <c r="R42" s="28" t="n">
        <v>29</v>
      </c>
      <c r="S42" s="28" t="inlineStr">
        <is>
          <t>Not Met</t>
        </is>
      </c>
      <c r="T42" s="28" t="n">
        <v>23</v>
      </c>
      <c r="U42" s="28" t="inlineStr">
        <is>
          <t>Met</t>
        </is>
      </c>
      <c r="V42" s="28" t="inlineStr">
        <is>
          <t>NA</t>
        </is>
      </c>
      <c r="W42" s="20" t="inlineStr">
        <is>
          <t>NA</t>
        </is>
      </c>
      <c r="X42" s="28" t="inlineStr">
        <is>
          <t>Not Reported</t>
        </is>
      </c>
      <c r="Y42" s="28" t="inlineStr">
        <is>
          <t>Not Reported</t>
        </is>
      </c>
      <c r="Z42" s="28" t="n">
        <v>42</v>
      </c>
      <c r="AA42" s="28" t="inlineStr">
        <is>
          <t>Not Met</t>
        </is>
      </c>
      <c r="AB42" s="95" t="n">
        <v>41</v>
      </c>
      <c r="AC42" s="28" t="inlineStr">
        <is>
          <t>Not Met</t>
        </is>
      </c>
      <c r="AD42" s="97" t="n">
        <v>24</v>
      </c>
      <c r="AE42" s="28" t="inlineStr">
        <is>
          <t>Met</t>
        </is>
      </c>
      <c r="AF42" s="95" t="n">
        <v>30</v>
      </c>
      <c r="AG42" s="28" t="inlineStr">
        <is>
          <t>Not Met</t>
        </is>
      </c>
      <c r="AH42" s="285" t="n">
        <v>0</v>
      </c>
      <c r="AI42" s="285" t="inlineStr">
        <is>
          <t>Not Reported</t>
        </is>
      </c>
      <c r="AJ42" s="263" t="n">
        <v>28</v>
      </c>
      <c r="AK42" s="28" t="inlineStr">
        <is>
          <t>Not Met</t>
        </is>
      </c>
    </row>
    <row r="43">
      <c r="A43" s="21" t="inlineStr">
        <is>
          <t>Atomberg</t>
        </is>
      </c>
      <c r="B43" s="5" t="inlineStr">
        <is>
          <t>West 1</t>
        </is>
      </c>
      <c r="C43" s="76" t="inlineStr">
        <is>
          <t>Geetu</t>
        </is>
      </c>
      <c r="D43" s="26" t="inlineStr">
        <is>
          <t>Mehvish Naz</t>
        </is>
      </c>
      <c r="E43" s="26" t="inlineStr">
        <is>
          <t>Category (A)</t>
        </is>
      </c>
      <c r="F43" s="21" t="inlineStr">
        <is>
          <t>Internal KPI</t>
        </is>
      </c>
      <c r="G43" s="21" t="inlineStr">
        <is>
          <t>No</t>
        </is>
      </c>
      <c r="H43" s="26" t="inlineStr">
        <is>
          <t>Time to Fill (Corp Sales)</t>
        </is>
      </c>
      <c r="I43" s="11" t="inlineStr">
        <is>
          <t>40 Days</t>
        </is>
      </c>
      <c r="J43" s="68" t="n">
        <v>15</v>
      </c>
      <c r="K43" s="28" t="inlineStr">
        <is>
          <t>Met</t>
        </is>
      </c>
      <c r="L43" s="52" t="inlineStr">
        <is>
          <t>NA</t>
        </is>
      </c>
      <c r="M43" s="20" t="inlineStr">
        <is>
          <t>NA</t>
        </is>
      </c>
      <c r="N43" s="20" t="inlineStr">
        <is>
          <t>NA</t>
        </is>
      </c>
      <c r="O43" s="20" t="inlineStr">
        <is>
          <t>NA</t>
        </is>
      </c>
      <c r="P43" s="68" t="n">
        <v>15</v>
      </c>
      <c r="Q43" s="28" t="inlineStr">
        <is>
          <t>Met</t>
        </is>
      </c>
      <c r="R43" s="17" t="inlineStr">
        <is>
          <t>NA</t>
        </is>
      </c>
      <c r="S43" s="20" t="inlineStr">
        <is>
          <t>NA</t>
        </is>
      </c>
      <c r="T43" s="17" t="inlineStr">
        <is>
          <t>NA</t>
        </is>
      </c>
      <c r="U43" s="28" t="inlineStr">
        <is>
          <t>NA</t>
        </is>
      </c>
      <c r="V43" s="17" t="inlineStr">
        <is>
          <t>NA</t>
        </is>
      </c>
      <c r="W43" s="20" t="inlineStr">
        <is>
          <t>NA</t>
        </is>
      </c>
      <c r="X43" s="28" t="inlineStr">
        <is>
          <t>Not Reported</t>
        </is>
      </c>
      <c r="Y43" s="28" t="inlineStr">
        <is>
          <t>Not Reported</t>
        </is>
      </c>
      <c r="Z43" s="20" t="inlineStr">
        <is>
          <t>NA</t>
        </is>
      </c>
      <c r="AA43" s="20" t="inlineStr">
        <is>
          <t>NA</t>
        </is>
      </c>
      <c r="AB43" s="95" t="n">
        <v>41</v>
      </c>
      <c r="AC43" s="28" t="inlineStr">
        <is>
          <t>Not Met</t>
        </is>
      </c>
      <c r="AD43" s="97" t="n">
        <v>58</v>
      </c>
      <c r="AE43" s="28" t="inlineStr">
        <is>
          <t>Not Met</t>
        </is>
      </c>
      <c r="AF43" s="95" t="inlineStr">
        <is>
          <t>NA</t>
        </is>
      </c>
      <c r="AG43" s="97" t="inlineStr">
        <is>
          <t>NA</t>
        </is>
      </c>
      <c r="AH43" s="285" t="n">
        <v>0</v>
      </c>
      <c r="AI43" s="285" t="inlineStr">
        <is>
          <t>Not Reported</t>
        </is>
      </c>
      <c r="AJ43" s="115" t="n">
        <v>38</v>
      </c>
      <c r="AK43" s="202" t="inlineStr">
        <is>
          <t>Met</t>
        </is>
      </c>
    </row>
    <row r="44">
      <c r="A44" s="21" t="inlineStr">
        <is>
          <t>Atomberg</t>
        </is>
      </c>
      <c r="B44" s="5" t="inlineStr">
        <is>
          <t>West 1</t>
        </is>
      </c>
      <c r="C44" s="76" t="inlineStr">
        <is>
          <t>Geetu</t>
        </is>
      </c>
      <c r="D44" s="26" t="inlineStr">
        <is>
          <t>Mehvish Naz</t>
        </is>
      </c>
      <c r="E44" s="26" t="inlineStr">
        <is>
          <t>Category (A)</t>
        </is>
      </c>
      <c r="F44" s="21" t="inlineStr">
        <is>
          <t>Internal KPI</t>
        </is>
      </c>
      <c r="G44" s="21" t="inlineStr">
        <is>
          <t>No</t>
        </is>
      </c>
      <c r="H44" s="26" t="inlineStr">
        <is>
          <t>Time to Fill (Cust Exp)</t>
        </is>
      </c>
      <c r="I44" s="11" t="inlineStr">
        <is>
          <t>25 Days</t>
        </is>
      </c>
      <c r="J44" s="52" t="inlineStr">
        <is>
          <t>NA</t>
        </is>
      </c>
      <c r="K44" s="52" t="inlineStr">
        <is>
          <t>NA</t>
        </is>
      </c>
      <c r="L44" s="52" t="inlineStr">
        <is>
          <t>NA</t>
        </is>
      </c>
      <c r="M44" s="20" t="inlineStr">
        <is>
          <t>NA</t>
        </is>
      </c>
      <c r="N44" s="20" t="inlineStr">
        <is>
          <t>NA</t>
        </is>
      </c>
      <c r="O44" s="20" t="inlineStr">
        <is>
          <t>NA</t>
        </is>
      </c>
      <c r="P44" s="52" t="inlineStr">
        <is>
          <t>NA</t>
        </is>
      </c>
      <c r="Q44" s="20" t="inlineStr">
        <is>
          <t>NA</t>
        </is>
      </c>
      <c r="R44" s="17" t="inlineStr">
        <is>
          <t>NA</t>
        </is>
      </c>
      <c r="S44" s="20" t="inlineStr">
        <is>
          <t>NA</t>
        </is>
      </c>
      <c r="T44" s="17" t="n">
        <v>14</v>
      </c>
      <c r="U44" s="28" t="inlineStr">
        <is>
          <t>Met</t>
        </is>
      </c>
      <c r="V44" s="17" t="n">
        <v>41</v>
      </c>
      <c r="W44" s="28" t="inlineStr">
        <is>
          <t>Not Met</t>
        </is>
      </c>
      <c r="X44" s="28" t="inlineStr">
        <is>
          <t>Not Reported</t>
        </is>
      </c>
      <c r="Y44" s="28" t="inlineStr">
        <is>
          <t>Not Reported</t>
        </is>
      </c>
      <c r="Z44" s="20" t="inlineStr">
        <is>
          <t>NA</t>
        </is>
      </c>
      <c r="AA44" s="20" t="inlineStr">
        <is>
          <t>NA</t>
        </is>
      </c>
      <c r="AB44" s="95" t="inlineStr">
        <is>
          <t>NA</t>
        </is>
      </c>
      <c r="AC44" s="20" t="inlineStr">
        <is>
          <t>NA</t>
        </is>
      </c>
      <c r="AD44" s="97" t="inlineStr">
        <is>
          <t>NA</t>
        </is>
      </c>
      <c r="AE44" s="97" t="inlineStr">
        <is>
          <t>NA</t>
        </is>
      </c>
      <c r="AF44" s="95" t="n">
        <v>49</v>
      </c>
      <c r="AG44" s="28" t="inlineStr">
        <is>
          <t>Not Met</t>
        </is>
      </c>
      <c r="AH44" s="285" t="n">
        <v>0</v>
      </c>
      <c r="AI44" s="285" t="inlineStr">
        <is>
          <t>Not Reported</t>
        </is>
      </c>
      <c r="AJ44" s="263" t="n">
        <v>35</v>
      </c>
      <c r="AK44" s="28" t="inlineStr">
        <is>
          <t>Not Met</t>
        </is>
      </c>
    </row>
    <row r="45">
      <c r="A45" s="21" t="inlineStr">
        <is>
          <t>Atomberg</t>
        </is>
      </c>
      <c r="B45" s="5" t="inlineStr">
        <is>
          <t>West 1</t>
        </is>
      </c>
      <c r="C45" s="76" t="inlineStr">
        <is>
          <t>Geetu</t>
        </is>
      </c>
      <c r="D45" s="26" t="inlineStr">
        <is>
          <t>Mehvish Naz</t>
        </is>
      </c>
      <c r="E45" s="26" t="inlineStr">
        <is>
          <t>Category (A)</t>
        </is>
      </c>
      <c r="F45" s="21" t="inlineStr">
        <is>
          <t>Internal KPI</t>
        </is>
      </c>
      <c r="G45" s="21" t="inlineStr">
        <is>
          <t>No</t>
        </is>
      </c>
      <c r="H45" s="26" t="inlineStr">
        <is>
          <t>Time to Fill (Supply Chain)</t>
        </is>
      </c>
      <c r="I45" s="11" t="inlineStr">
        <is>
          <t>40 Days</t>
        </is>
      </c>
      <c r="J45" s="68" t="n">
        <v>53</v>
      </c>
      <c r="K45" s="28" t="inlineStr">
        <is>
          <t>Not Met</t>
        </is>
      </c>
      <c r="L45" s="68" t="n">
        <v>13</v>
      </c>
      <c r="M45" s="28" t="inlineStr">
        <is>
          <t>Met</t>
        </is>
      </c>
      <c r="N45" s="28" t="n">
        <v>13</v>
      </c>
      <c r="O45" s="28" t="inlineStr">
        <is>
          <t>Met</t>
        </is>
      </c>
      <c r="P45" s="68" t="n">
        <v>26</v>
      </c>
      <c r="Q45" s="28" t="inlineStr">
        <is>
          <t>Met</t>
        </is>
      </c>
      <c r="R45" s="28" t="n">
        <v>21</v>
      </c>
      <c r="S45" s="28" t="inlineStr">
        <is>
          <t>Met</t>
        </is>
      </c>
      <c r="T45" s="28" t="n">
        <v>41</v>
      </c>
      <c r="U45" s="28" t="inlineStr">
        <is>
          <t>Not Met</t>
        </is>
      </c>
      <c r="V45" s="28" t="n">
        <v>34</v>
      </c>
      <c r="W45" s="28" t="inlineStr">
        <is>
          <t>Met</t>
        </is>
      </c>
      <c r="X45" s="28" t="inlineStr">
        <is>
          <t>Not Reported</t>
        </is>
      </c>
      <c r="Y45" s="28" t="inlineStr">
        <is>
          <t>Not Reported</t>
        </is>
      </c>
      <c r="Z45" s="20" t="inlineStr">
        <is>
          <t>NA</t>
        </is>
      </c>
      <c r="AA45" s="20" t="inlineStr">
        <is>
          <t>NA</t>
        </is>
      </c>
      <c r="AB45" s="95" t="n">
        <v>26</v>
      </c>
      <c r="AC45" s="28" t="inlineStr">
        <is>
          <t>Met</t>
        </is>
      </c>
      <c r="AD45" s="97" t="inlineStr">
        <is>
          <t>NA</t>
        </is>
      </c>
      <c r="AE45" s="97" t="inlineStr">
        <is>
          <t>NA</t>
        </is>
      </c>
      <c r="AF45" s="95" t="n">
        <v>96</v>
      </c>
      <c r="AG45" s="28" t="inlineStr">
        <is>
          <t>Not Met</t>
        </is>
      </c>
      <c r="AH45" s="285" t="n">
        <v>0</v>
      </c>
      <c r="AI45" s="285" t="inlineStr">
        <is>
          <t>Not Reported</t>
        </is>
      </c>
      <c r="AJ45" s="114" t="n">
        <v>37</v>
      </c>
      <c r="AK45" s="202" t="inlineStr">
        <is>
          <t>Met</t>
        </is>
      </c>
    </row>
    <row r="46">
      <c r="A46" s="21" t="inlineStr">
        <is>
          <t>Atomberg</t>
        </is>
      </c>
      <c r="B46" s="5" t="inlineStr">
        <is>
          <t>West 1</t>
        </is>
      </c>
      <c r="C46" s="76" t="inlineStr">
        <is>
          <t>Geetu</t>
        </is>
      </c>
      <c r="D46" s="26" t="inlineStr">
        <is>
          <t>Mehvish Naz</t>
        </is>
      </c>
      <c r="E46" s="26" t="inlineStr">
        <is>
          <t>Category (A)</t>
        </is>
      </c>
      <c r="F46" s="21" t="inlineStr">
        <is>
          <t>Internal KPI</t>
        </is>
      </c>
      <c r="G46" s="21" t="inlineStr">
        <is>
          <t>No</t>
        </is>
      </c>
      <c r="H46" s="26" t="inlineStr">
        <is>
          <t>Time to Fill (Fin &amp; HR)</t>
        </is>
      </c>
      <c r="I46" s="11" t="inlineStr">
        <is>
          <t>40 Days</t>
        </is>
      </c>
      <c r="J46" s="68" t="n">
        <v>127</v>
      </c>
      <c r="K46" s="28" t="inlineStr">
        <is>
          <t>Not Met</t>
        </is>
      </c>
      <c r="L46" s="52" t="inlineStr">
        <is>
          <t>NA</t>
        </is>
      </c>
      <c r="M46" s="20" t="inlineStr">
        <is>
          <t>NA</t>
        </is>
      </c>
      <c r="N46" s="20" t="inlineStr">
        <is>
          <t>NA</t>
        </is>
      </c>
      <c r="O46" s="20" t="inlineStr">
        <is>
          <t>NA</t>
        </is>
      </c>
      <c r="P46" s="68" t="n">
        <v>127</v>
      </c>
      <c r="Q46" s="28" t="inlineStr">
        <is>
          <t>Not Met</t>
        </is>
      </c>
      <c r="R46" s="17" t="inlineStr">
        <is>
          <t>NA</t>
        </is>
      </c>
      <c r="S46" s="20" t="inlineStr">
        <is>
          <t>NA</t>
        </is>
      </c>
      <c r="T46" s="17" t="inlineStr">
        <is>
          <t>NA</t>
        </is>
      </c>
      <c r="U46" s="28" t="inlineStr">
        <is>
          <t>NA</t>
        </is>
      </c>
      <c r="V46" s="17" t="n">
        <v>10</v>
      </c>
      <c r="W46" s="28" t="inlineStr">
        <is>
          <t>Met</t>
        </is>
      </c>
      <c r="X46" s="28" t="inlineStr">
        <is>
          <t>Not Reported</t>
        </is>
      </c>
      <c r="Y46" s="28" t="inlineStr">
        <is>
          <t>Not Reported</t>
        </is>
      </c>
      <c r="Z46" s="8" t="n">
        <v>29</v>
      </c>
      <c r="AA46" s="28" t="inlineStr">
        <is>
          <t>Met</t>
        </is>
      </c>
      <c r="AB46" s="95" t="inlineStr">
        <is>
          <t>NA</t>
        </is>
      </c>
      <c r="AC46" s="20" t="inlineStr">
        <is>
          <t>NA</t>
        </is>
      </c>
      <c r="AD46" s="97" t="inlineStr">
        <is>
          <t>NA</t>
        </is>
      </c>
      <c r="AE46" s="97" t="inlineStr">
        <is>
          <t>NA</t>
        </is>
      </c>
      <c r="AF46" s="95" t="n">
        <v>29</v>
      </c>
      <c r="AG46" s="202" t="inlineStr">
        <is>
          <t>Met</t>
        </is>
      </c>
      <c r="AH46" s="285" t="n">
        <v>0</v>
      </c>
      <c r="AI46" s="285" t="inlineStr">
        <is>
          <t>Not Reported</t>
        </is>
      </c>
      <c r="AJ46" s="115" t="n">
        <v>49</v>
      </c>
      <c r="AK46" s="28" t="inlineStr">
        <is>
          <t>Not Met</t>
        </is>
      </c>
    </row>
    <row r="47">
      <c r="A47" s="21" t="inlineStr">
        <is>
          <t>Atomberg</t>
        </is>
      </c>
      <c r="B47" s="5" t="inlineStr">
        <is>
          <t>West 1</t>
        </is>
      </c>
      <c r="C47" s="76" t="inlineStr">
        <is>
          <t>Geetu</t>
        </is>
      </c>
      <c r="D47" s="26" t="inlineStr">
        <is>
          <t>Mehvish Naz</t>
        </is>
      </c>
      <c r="E47" s="26" t="inlineStr">
        <is>
          <t>Category (A)</t>
        </is>
      </c>
      <c r="F47" s="21" t="inlineStr">
        <is>
          <t>Internal KPI</t>
        </is>
      </c>
      <c r="G47" s="21" t="inlineStr">
        <is>
          <t>No</t>
        </is>
      </c>
      <c r="H47" s="26" t="inlineStr">
        <is>
          <t>Ageing (Manuf)</t>
        </is>
      </c>
      <c r="I47" s="11" t="n">
        <v>0.1</v>
      </c>
      <c r="J47" s="11" t="n">
        <v>0.11</v>
      </c>
      <c r="K47" s="28" t="inlineStr">
        <is>
          <t>Not Met</t>
        </is>
      </c>
      <c r="L47" s="11" t="n">
        <v>0.44</v>
      </c>
      <c r="M47" s="28" t="inlineStr">
        <is>
          <t>Not Met</t>
        </is>
      </c>
      <c r="N47" s="29" t="n">
        <v>0.07000000000000001</v>
      </c>
      <c r="O47" s="28" t="inlineStr">
        <is>
          <t>Met</t>
        </is>
      </c>
      <c r="P47" s="11" t="n">
        <v>0.18</v>
      </c>
      <c r="Q47" s="28" t="inlineStr">
        <is>
          <t>Not Met</t>
        </is>
      </c>
      <c r="R47" s="29" t="n">
        <v>0</v>
      </c>
      <c r="S47" s="28" t="inlineStr">
        <is>
          <t>Met</t>
        </is>
      </c>
      <c r="T47" s="29" t="n">
        <v>0.08</v>
      </c>
      <c r="U47" s="28" t="inlineStr">
        <is>
          <t>Met</t>
        </is>
      </c>
      <c r="V47" s="29" t="n">
        <v>0</v>
      </c>
      <c r="W47" s="28" t="inlineStr">
        <is>
          <t>Met</t>
        </is>
      </c>
      <c r="X47" s="28" t="inlineStr">
        <is>
          <t>Not Reported</t>
        </is>
      </c>
      <c r="Y47" s="28" t="inlineStr">
        <is>
          <t>Not Reported</t>
        </is>
      </c>
      <c r="Z47" s="29" t="n">
        <v>0</v>
      </c>
      <c r="AA47" s="28" t="inlineStr">
        <is>
          <t>Met</t>
        </is>
      </c>
      <c r="AB47" s="83" t="n">
        <v>0</v>
      </c>
      <c r="AC47" s="28" t="inlineStr">
        <is>
          <t>Met</t>
        </is>
      </c>
      <c r="AD47" s="128" t="n">
        <v>0.07000000000000001</v>
      </c>
      <c r="AE47" s="28" t="inlineStr">
        <is>
          <t>Met</t>
        </is>
      </c>
      <c r="AF47" s="102" t="n">
        <v>0.22</v>
      </c>
      <c r="AG47" s="28" t="inlineStr">
        <is>
          <t>Not Met</t>
        </is>
      </c>
      <c r="AH47" s="285" t="n">
        <v>0</v>
      </c>
      <c r="AI47" s="285" t="inlineStr">
        <is>
          <t>Not Reported</t>
        </is>
      </c>
      <c r="AJ47" s="135" t="n">
        <v>0.22</v>
      </c>
      <c r="AK47" s="28" t="inlineStr">
        <is>
          <t>Not Met</t>
        </is>
      </c>
    </row>
    <row r="48">
      <c r="A48" s="21" t="inlineStr">
        <is>
          <t>Atomberg</t>
        </is>
      </c>
      <c r="B48" s="5" t="inlineStr">
        <is>
          <t>West 1</t>
        </is>
      </c>
      <c r="C48" s="76" t="inlineStr">
        <is>
          <t>Geetu</t>
        </is>
      </c>
      <c r="D48" s="26" t="inlineStr">
        <is>
          <t>Mehvish Naz</t>
        </is>
      </c>
      <c r="E48" s="26" t="inlineStr">
        <is>
          <t>Category (A)</t>
        </is>
      </c>
      <c r="F48" s="21" t="inlineStr">
        <is>
          <t>Internal KPI</t>
        </is>
      </c>
      <c r="G48" s="21" t="inlineStr">
        <is>
          <t>No</t>
        </is>
      </c>
      <c r="H48" s="26" t="inlineStr">
        <is>
          <t>Ageing (R&amp;D)</t>
        </is>
      </c>
      <c r="I48" s="11" t="n">
        <v>0.1</v>
      </c>
      <c r="J48" s="11" t="n">
        <v>0.38</v>
      </c>
      <c r="K48" s="28" t="inlineStr">
        <is>
          <t>Not Met</t>
        </is>
      </c>
      <c r="L48" s="11" t="n">
        <v>0.29</v>
      </c>
      <c r="M48" s="28" t="inlineStr">
        <is>
          <t>Not Met</t>
        </is>
      </c>
      <c r="N48" s="29" t="n">
        <v>0.46</v>
      </c>
      <c r="O48" s="28" t="inlineStr">
        <is>
          <t>Not Met</t>
        </is>
      </c>
      <c r="P48" s="11" t="n">
        <v>0.38</v>
      </c>
      <c r="Q48" s="28" t="inlineStr">
        <is>
          <t>Not Met</t>
        </is>
      </c>
      <c r="R48" s="29" t="n">
        <v>0.2</v>
      </c>
      <c r="S48" s="28" t="inlineStr">
        <is>
          <t>Not Met</t>
        </is>
      </c>
      <c r="T48" s="29" t="n">
        <v>0.63</v>
      </c>
      <c r="U48" s="28" t="inlineStr">
        <is>
          <t>Not Met</t>
        </is>
      </c>
      <c r="V48" s="29" t="n">
        <v>0.07000000000000001</v>
      </c>
      <c r="W48" s="28" t="inlineStr">
        <is>
          <t>Met</t>
        </is>
      </c>
      <c r="X48" s="28" t="inlineStr">
        <is>
          <t>Not Reported</t>
        </is>
      </c>
      <c r="Y48" s="28" t="inlineStr">
        <is>
          <t>Not Reported</t>
        </is>
      </c>
      <c r="Z48" s="29" t="n">
        <v>0.05</v>
      </c>
      <c r="AA48" s="28" t="inlineStr">
        <is>
          <t>Met</t>
        </is>
      </c>
      <c r="AB48" s="83" t="n">
        <v>0</v>
      </c>
      <c r="AC48" s="28" t="inlineStr">
        <is>
          <t>Met</t>
        </is>
      </c>
      <c r="AD48" s="128" t="n">
        <v>0.17</v>
      </c>
      <c r="AE48" s="28" t="inlineStr">
        <is>
          <t>Not Met</t>
        </is>
      </c>
      <c r="AF48" s="102" t="n">
        <v>0.18</v>
      </c>
      <c r="AG48" s="28" t="inlineStr">
        <is>
          <t>Not Met</t>
        </is>
      </c>
      <c r="AH48" s="285" t="n">
        <v>0</v>
      </c>
      <c r="AI48" s="285" t="inlineStr">
        <is>
          <t>Not Reported</t>
        </is>
      </c>
      <c r="AJ48" s="135" t="n">
        <v>0.18</v>
      </c>
      <c r="AK48" s="28" t="inlineStr">
        <is>
          <t>Not Met</t>
        </is>
      </c>
    </row>
    <row r="49">
      <c r="A49" s="21" t="inlineStr">
        <is>
          <t>Atomberg</t>
        </is>
      </c>
      <c r="B49" s="5" t="inlineStr">
        <is>
          <t>West 1</t>
        </is>
      </c>
      <c r="C49" s="76" t="inlineStr">
        <is>
          <t>Geetu</t>
        </is>
      </c>
      <c r="D49" s="26" t="inlineStr">
        <is>
          <t>Mehvish Naz</t>
        </is>
      </c>
      <c r="E49" s="26" t="inlineStr">
        <is>
          <t>Category (A)</t>
        </is>
      </c>
      <c r="F49" s="21" t="inlineStr">
        <is>
          <t>Internal KPI</t>
        </is>
      </c>
      <c r="G49" s="21" t="inlineStr">
        <is>
          <t>No</t>
        </is>
      </c>
      <c r="H49" s="26" t="inlineStr">
        <is>
          <t>Ageing (Channel Sales)</t>
        </is>
      </c>
      <c r="I49" s="11" t="n">
        <v>0.1</v>
      </c>
      <c r="J49" s="11" t="n">
        <v>0</v>
      </c>
      <c r="K49" s="28" t="inlineStr">
        <is>
          <t>Met</t>
        </is>
      </c>
      <c r="L49" s="11" t="n">
        <v>0</v>
      </c>
      <c r="M49" s="28" t="inlineStr">
        <is>
          <t>Met</t>
        </is>
      </c>
      <c r="N49" s="29" t="n">
        <v>0</v>
      </c>
      <c r="O49" s="28" t="inlineStr">
        <is>
          <t>Met</t>
        </is>
      </c>
      <c r="P49" s="11" t="n">
        <v>0</v>
      </c>
      <c r="Q49" s="28" t="inlineStr">
        <is>
          <t>Met</t>
        </is>
      </c>
      <c r="R49" s="29" t="n">
        <v>0</v>
      </c>
      <c r="S49" s="28" t="inlineStr">
        <is>
          <t>Met</t>
        </is>
      </c>
      <c r="T49" s="29" t="n">
        <v>0</v>
      </c>
      <c r="U49" s="28" t="inlineStr">
        <is>
          <t>Met</t>
        </is>
      </c>
      <c r="V49" s="29" t="n">
        <v>0.5</v>
      </c>
      <c r="W49" s="28" t="inlineStr">
        <is>
          <t>Not Met</t>
        </is>
      </c>
      <c r="X49" s="28" t="inlineStr">
        <is>
          <t>Not Reported</t>
        </is>
      </c>
      <c r="Y49" s="28" t="inlineStr">
        <is>
          <t>Not Reported</t>
        </is>
      </c>
      <c r="Z49" s="29" t="n">
        <v>0</v>
      </c>
      <c r="AA49" s="28" t="inlineStr">
        <is>
          <t>Met</t>
        </is>
      </c>
      <c r="AB49" s="83" t="n">
        <v>0</v>
      </c>
      <c r="AC49" s="28" t="inlineStr">
        <is>
          <t>Met</t>
        </is>
      </c>
      <c r="AD49" s="128" t="n">
        <v>0</v>
      </c>
      <c r="AE49" s="28" t="inlineStr">
        <is>
          <t>Met</t>
        </is>
      </c>
      <c r="AF49" s="102" t="n">
        <v>0</v>
      </c>
      <c r="AG49" s="202" t="inlineStr">
        <is>
          <t>Met</t>
        </is>
      </c>
      <c r="AH49" s="285" t="n">
        <v>0</v>
      </c>
      <c r="AI49" s="285" t="inlineStr">
        <is>
          <t>Not Reported</t>
        </is>
      </c>
      <c r="AJ49" s="135" t="n">
        <v>0</v>
      </c>
      <c r="AK49" s="202" t="inlineStr">
        <is>
          <t>Met</t>
        </is>
      </c>
    </row>
    <row r="50">
      <c r="A50" s="21" t="inlineStr">
        <is>
          <t>Atomberg</t>
        </is>
      </c>
      <c r="B50" s="5" t="inlineStr">
        <is>
          <t>West 1</t>
        </is>
      </c>
      <c r="C50" s="76" t="inlineStr">
        <is>
          <t>Geetu</t>
        </is>
      </c>
      <c r="D50" s="26" t="inlineStr">
        <is>
          <t>Mehvish Naz</t>
        </is>
      </c>
      <c r="E50" s="26" t="inlineStr">
        <is>
          <t>Category (A)</t>
        </is>
      </c>
      <c r="F50" s="21" t="inlineStr">
        <is>
          <t>Internal KPI</t>
        </is>
      </c>
      <c r="G50" s="21" t="inlineStr">
        <is>
          <t>No</t>
        </is>
      </c>
      <c r="H50" s="26" t="inlineStr">
        <is>
          <t>Ageing (Corp Sales)</t>
        </is>
      </c>
      <c r="I50" s="11" t="n">
        <v>0.1</v>
      </c>
      <c r="J50" s="11" t="n">
        <v>0</v>
      </c>
      <c r="K50" s="28" t="inlineStr">
        <is>
          <t>Met</t>
        </is>
      </c>
      <c r="L50" s="52" t="inlineStr">
        <is>
          <t>NA</t>
        </is>
      </c>
      <c r="M50" s="20" t="inlineStr">
        <is>
          <t>NA</t>
        </is>
      </c>
      <c r="N50" s="20" t="inlineStr">
        <is>
          <t>NA</t>
        </is>
      </c>
      <c r="O50" s="20" t="inlineStr">
        <is>
          <t>NA</t>
        </is>
      </c>
      <c r="P50" s="52" t="inlineStr">
        <is>
          <t>NA</t>
        </is>
      </c>
      <c r="Q50" s="20" t="inlineStr">
        <is>
          <t>NA</t>
        </is>
      </c>
      <c r="R50" s="17" t="inlineStr">
        <is>
          <t>NA</t>
        </is>
      </c>
      <c r="S50" s="20" t="inlineStr">
        <is>
          <t>NA</t>
        </is>
      </c>
      <c r="T50" s="18" t="n">
        <v>0</v>
      </c>
      <c r="U50" s="28" t="inlineStr">
        <is>
          <t>Met</t>
        </is>
      </c>
      <c r="V50" s="18" t="n">
        <v>0</v>
      </c>
      <c r="W50" s="28" t="inlineStr">
        <is>
          <t>Met</t>
        </is>
      </c>
      <c r="X50" s="28" t="inlineStr">
        <is>
          <t>Not Reported</t>
        </is>
      </c>
      <c r="Y50" s="28" t="inlineStr">
        <is>
          <t>Not Reported</t>
        </is>
      </c>
      <c r="Z50" s="20" t="n">
        <v>0</v>
      </c>
      <c r="AA50" s="28" t="inlineStr">
        <is>
          <t>Met</t>
        </is>
      </c>
      <c r="AB50" s="83" t="n">
        <v>0</v>
      </c>
      <c r="AC50" s="28" t="inlineStr">
        <is>
          <t>Met</t>
        </is>
      </c>
      <c r="AD50" s="128" t="n">
        <v>0</v>
      </c>
      <c r="AE50" s="28" t="inlineStr">
        <is>
          <t>Met</t>
        </is>
      </c>
      <c r="AF50" s="102" t="n">
        <v>0</v>
      </c>
      <c r="AG50" s="202" t="inlineStr">
        <is>
          <t>Met</t>
        </is>
      </c>
      <c r="AH50" s="285" t="n">
        <v>0</v>
      </c>
      <c r="AI50" s="285" t="inlineStr">
        <is>
          <t>Not Reported</t>
        </is>
      </c>
      <c r="AJ50" s="116" t="n">
        <v>0</v>
      </c>
      <c r="AK50" s="202" t="inlineStr">
        <is>
          <t>Met</t>
        </is>
      </c>
    </row>
    <row r="51">
      <c r="A51" s="21" t="inlineStr">
        <is>
          <t>Atomberg</t>
        </is>
      </c>
      <c r="B51" s="5" t="inlineStr">
        <is>
          <t>West 1</t>
        </is>
      </c>
      <c r="C51" s="76" t="inlineStr">
        <is>
          <t>Geetu</t>
        </is>
      </c>
      <c r="D51" s="26" t="inlineStr">
        <is>
          <t>Mehvish Naz</t>
        </is>
      </c>
      <c r="E51" s="26" t="inlineStr">
        <is>
          <t>Category (A)</t>
        </is>
      </c>
      <c r="F51" s="21" t="inlineStr">
        <is>
          <t>Internal KPI</t>
        </is>
      </c>
      <c r="G51" s="21" t="inlineStr">
        <is>
          <t>No</t>
        </is>
      </c>
      <c r="H51" s="26" t="inlineStr">
        <is>
          <t>Ageing (Cust Exp)</t>
        </is>
      </c>
      <c r="I51" s="11" t="n">
        <v>0.1</v>
      </c>
      <c r="J51" s="52" t="inlineStr">
        <is>
          <t>NA</t>
        </is>
      </c>
      <c r="K51" s="20" t="inlineStr">
        <is>
          <t>NA</t>
        </is>
      </c>
      <c r="L51" s="52" t="inlineStr">
        <is>
          <t>NA</t>
        </is>
      </c>
      <c r="M51" s="20" t="inlineStr">
        <is>
          <t>NA</t>
        </is>
      </c>
      <c r="N51" s="20" t="inlineStr">
        <is>
          <t>NA</t>
        </is>
      </c>
      <c r="O51" s="20" t="inlineStr">
        <is>
          <t>NA</t>
        </is>
      </c>
      <c r="P51" s="52" t="inlineStr">
        <is>
          <t>NA</t>
        </is>
      </c>
      <c r="Q51" s="20" t="inlineStr">
        <is>
          <t>NA</t>
        </is>
      </c>
      <c r="R51" s="17" t="inlineStr">
        <is>
          <t>NA</t>
        </is>
      </c>
      <c r="S51" s="20" t="inlineStr">
        <is>
          <t>NA</t>
        </is>
      </c>
      <c r="T51" s="18" t="n">
        <v>0</v>
      </c>
      <c r="U51" s="28" t="inlineStr">
        <is>
          <t>Met</t>
        </is>
      </c>
      <c r="V51" s="18" t="n">
        <v>0</v>
      </c>
      <c r="W51" s="28" t="inlineStr">
        <is>
          <t>Met</t>
        </is>
      </c>
      <c r="X51" s="28" t="inlineStr">
        <is>
          <t>Not Reported</t>
        </is>
      </c>
      <c r="Y51" s="28" t="inlineStr">
        <is>
          <t>Not Reported</t>
        </is>
      </c>
      <c r="Z51" s="20" t="n">
        <v>0</v>
      </c>
      <c r="AA51" s="28" t="inlineStr">
        <is>
          <t>Met</t>
        </is>
      </c>
      <c r="AB51" s="95" t="inlineStr">
        <is>
          <t>NA</t>
        </is>
      </c>
      <c r="AC51" s="20" t="inlineStr">
        <is>
          <t>NA</t>
        </is>
      </c>
      <c r="AD51" s="128" t="n">
        <v>0.5</v>
      </c>
      <c r="AE51" s="28" t="inlineStr">
        <is>
          <t>Not Met</t>
        </is>
      </c>
      <c r="AF51" s="102" t="n">
        <v>0.5</v>
      </c>
      <c r="AG51" s="28" t="inlineStr">
        <is>
          <t>Not Met</t>
        </is>
      </c>
      <c r="AH51" s="285" t="n">
        <v>0</v>
      </c>
      <c r="AI51" s="285" t="inlineStr">
        <is>
          <t>Not Reported</t>
        </is>
      </c>
      <c r="AJ51" s="116" t="n">
        <v>0.5</v>
      </c>
      <c r="AK51" s="28" t="inlineStr">
        <is>
          <t>Not Met</t>
        </is>
      </c>
    </row>
    <row r="52">
      <c r="A52" s="21" t="inlineStr">
        <is>
          <t>Atomberg</t>
        </is>
      </c>
      <c r="B52" s="5" t="inlineStr">
        <is>
          <t>West 1</t>
        </is>
      </c>
      <c r="C52" s="76" t="inlineStr">
        <is>
          <t>Geetu</t>
        </is>
      </c>
      <c r="D52" s="26" t="inlineStr">
        <is>
          <t>Mehvish Naz</t>
        </is>
      </c>
      <c r="E52" s="26" t="inlineStr">
        <is>
          <t>Category (A)</t>
        </is>
      </c>
      <c r="F52" s="21" t="inlineStr">
        <is>
          <t>Internal KPI</t>
        </is>
      </c>
      <c r="G52" s="21" t="inlineStr">
        <is>
          <t>No</t>
        </is>
      </c>
      <c r="H52" s="26" t="inlineStr">
        <is>
          <t>Ageing (Supply Chain)</t>
        </is>
      </c>
      <c r="I52" s="11" t="n">
        <v>0.1</v>
      </c>
      <c r="J52" s="11" t="n">
        <v>0</v>
      </c>
      <c r="K52" s="28" t="inlineStr">
        <is>
          <t>Met</t>
        </is>
      </c>
      <c r="L52" s="11" t="n">
        <v>0</v>
      </c>
      <c r="M52" s="28" t="inlineStr">
        <is>
          <t>Met</t>
        </is>
      </c>
      <c r="N52" s="29" t="n">
        <v>0</v>
      </c>
      <c r="O52" s="28" t="inlineStr">
        <is>
          <t>Met</t>
        </is>
      </c>
      <c r="P52" s="11" t="n">
        <v>0</v>
      </c>
      <c r="Q52" s="28" t="inlineStr">
        <is>
          <t>Met</t>
        </is>
      </c>
      <c r="R52" s="29" t="n">
        <v>0.08</v>
      </c>
      <c r="S52" s="28" t="inlineStr">
        <is>
          <t>Met</t>
        </is>
      </c>
      <c r="T52" s="29" t="n">
        <v>0.5</v>
      </c>
      <c r="U52" s="28" t="inlineStr">
        <is>
          <t>Not Met</t>
        </is>
      </c>
      <c r="V52" s="29" t="n">
        <v>0</v>
      </c>
      <c r="W52" s="28" t="inlineStr">
        <is>
          <t>Met</t>
        </is>
      </c>
      <c r="X52" s="28" t="inlineStr">
        <is>
          <t>Not Reported</t>
        </is>
      </c>
      <c r="Y52" s="28" t="inlineStr">
        <is>
          <t>Not Reported</t>
        </is>
      </c>
      <c r="Z52" s="29" t="n">
        <v>0</v>
      </c>
      <c r="AA52" s="28" t="inlineStr">
        <is>
          <t>Met</t>
        </is>
      </c>
      <c r="AB52" s="102" t="n">
        <v>0</v>
      </c>
      <c r="AC52" s="28" t="inlineStr">
        <is>
          <t>Met</t>
        </is>
      </c>
      <c r="AD52" s="128" t="n">
        <v>0.5</v>
      </c>
      <c r="AE52" s="28" t="inlineStr">
        <is>
          <t>Not Met</t>
        </is>
      </c>
      <c r="AF52" s="102" t="n">
        <v>0</v>
      </c>
      <c r="AG52" s="202" t="inlineStr">
        <is>
          <t>Met</t>
        </is>
      </c>
      <c r="AH52" s="285" t="n">
        <v>0</v>
      </c>
      <c r="AI52" s="285" t="inlineStr">
        <is>
          <t>Not Reported</t>
        </is>
      </c>
      <c r="AJ52" s="135" t="n">
        <v>0</v>
      </c>
      <c r="AK52" s="202" t="inlineStr">
        <is>
          <t>Met</t>
        </is>
      </c>
    </row>
    <row r="53">
      <c r="A53" s="21" t="inlineStr">
        <is>
          <t>Atomberg</t>
        </is>
      </c>
      <c r="B53" s="5" t="inlineStr">
        <is>
          <t>West 1</t>
        </is>
      </c>
      <c r="C53" s="76" t="inlineStr">
        <is>
          <t>Geetu</t>
        </is>
      </c>
      <c r="D53" s="26" t="inlineStr">
        <is>
          <t>Mehvish Naz</t>
        </is>
      </c>
      <c r="E53" s="26" t="inlineStr">
        <is>
          <t>Category (A)</t>
        </is>
      </c>
      <c r="F53" s="21" t="inlineStr">
        <is>
          <t>Internal KPI</t>
        </is>
      </c>
      <c r="G53" s="21" t="inlineStr">
        <is>
          <t>No</t>
        </is>
      </c>
      <c r="H53" s="26" t="inlineStr">
        <is>
          <t>Ageing (Fin &amp; HR)</t>
        </is>
      </c>
      <c r="I53" s="11" t="n">
        <v>0.1</v>
      </c>
      <c r="J53" s="11" t="n">
        <v>0</v>
      </c>
      <c r="K53" s="28" t="inlineStr">
        <is>
          <t>Met</t>
        </is>
      </c>
      <c r="L53" s="11" t="n">
        <v>0</v>
      </c>
      <c r="M53" s="28" t="inlineStr">
        <is>
          <t>Met</t>
        </is>
      </c>
      <c r="N53" s="29" t="n">
        <v>0</v>
      </c>
      <c r="O53" s="28" t="inlineStr">
        <is>
          <t>Met</t>
        </is>
      </c>
      <c r="P53" s="11" t="n">
        <v>0</v>
      </c>
      <c r="Q53" s="28" t="inlineStr">
        <is>
          <t>Met</t>
        </is>
      </c>
      <c r="R53" s="29" t="n">
        <v>0</v>
      </c>
      <c r="S53" s="28" t="inlineStr">
        <is>
          <t>Met</t>
        </is>
      </c>
      <c r="T53" s="29" t="n">
        <v>0</v>
      </c>
      <c r="U53" s="28" t="inlineStr">
        <is>
          <t>Met</t>
        </is>
      </c>
      <c r="V53" s="29" t="n">
        <v>0</v>
      </c>
      <c r="W53" s="28" t="inlineStr">
        <is>
          <t>Met</t>
        </is>
      </c>
      <c r="X53" s="28" t="inlineStr">
        <is>
          <t>Not Reported</t>
        </is>
      </c>
      <c r="Y53" s="28" t="inlineStr">
        <is>
          <t>Not Reported</t>
        </is>
      </c>
      <c r="Z53" s="29" t="n">
        <v>0</v>
      </c>
      <c r="AA53" s="28" t="inlineStr">
        <is>
          <t>Met</t>
        </is>
      </c>
      <c r="AB53" s="83" t="n">
        <v>0</v>
      </c>
      <c r="AC53" s="28" t="inlineStr">
        <is>
          <t>Met</t>
        </is>
      </c>
      <c r="AD53" s="128" t="n">
        <v>0</v>
      </c>
      <c r="AE53" s="28" t="inlineStr">
        <is>
          <t>Met</t>
        </is>
      </c>
      <c r="AF53" s="102" t="n">
        <v>0</v>
      </c>
      <c r="AG53" s="202" t="inlineStr">
        <is>
          <t>Met</t>
        </is>
      </c>
      <c r="AH53" s="285" t="n">
        <v>0</v>
      </c>
      <c r="AI53" s="285" t="inlineStr">
        <is>
          <t>Not Reported</t>
        </is>
      </c>
      <c r="AJ53" s="135" t="n">
        <v>0</v>
      </c>
      <c r="AK53" s="202" t="inlineStr">
        <is>
          <t>Met</t>
        </is>
      </c>
    </row>
    <row r="54">
      <c r="A54" s="21" t="inlineStr">
        <is>
          <t>Atomberg</t>
        </is>
      </c>
      <c r="B54" s="5" t="inlineStr">
        <is>
          <t>West 1</t>
        </is>
      </c>
      <c r="C54" s="76" t="inlineStr">
        <is>
          <t>Geetu</t>
        </is>
      </c>
      <c r="D54" s="26" t="inlineStr">
        <is>
          <t>Mehvish Naz</t>
        </is>
      </c>
      <c r="E54" s="26" t="inlineStr">
        <is>
          <t>Category (A)</t>
        </is>
      </c>
      <c r="F54" s="21" t="inlineStr">
        <is>
          <t>Internal KPI</t>
        </is>
      </c>
      <c r="G54" s="21" t="inlineStr">
        <is>
          <t>No</t>
        </is>
      </c>
      <c r="H54" s="26" t="inlineStr">
        <is>
          <t>FTR (Manuf)</t>
        </is>
      </c>
      <c r="I54" s="11" t="n">
        <v>0.6</v>
      </c>
      <c r="J54" s="11" t="n">
        <v>0.59</v>
      </c>
      <c r="K54" s="28" t="inlineStr">
        <is>
          <t>Not Met</t>
        </is>
      </c>
      <c r="L54" s="11" t="n">
        <v>0.66</v>
      </c>
      <c r="M54" s="28" t="inlineStr">
        <is>
          <t>Met</t>
        </is>
      </c>
      <c r="N54" s="29" t="n">
        <v>0.8</v>
      </c>
      <c r="O54" s="28" t="inlineStr">
        <is>
          <t>Met</t>
        </is>
      </c>
      <c r="P54" s="11" t="n">
        <v>0.7</v>
      </c>
      <c r="Q54" s="28" t="inlineStr">
        <is>
          <t>Met</t>
        </is>
      </c>
      <c r="R54" s="29" t="n">
        <v>0.61</v>
      </c>
      <c r="S54" s="28" t="inlineStr">
        <is>
          <t>Met</t>
        </is>
      </c>
      <c r="T54" s="29" t="n">
        <v>0.63</v>
      </c>
      <c r="U54" s="28" t="inlineStr">
        <is>
          <t>Met</t>
        </is>
      </c>
      <c r="V54" s="29" t="n">
        <v>0.9</v>
      </c>
      <c r="W54" s="28" t="inlineStr">
        <is>
          <t>Met</t>
        </is>
      </c>
      <c r="X54" s="28" t="inlineStr">
        <is>
          <t>Not Reported</t>
        </is>
      </c>
      <c r="Y54" s="28" t="inlineStr">
        <is>
          <t>Not Reported</t>
        </is>
      </c>
      <c r="Z54" s="29" t="n">
        <v>0.58</v>
      </c>
      <c r="AA54" s="28" t="inlineStr">
        <is>
          <t>Not Met</t>
        </is>
      </c>
      <c r="AB54" s="116" t="n">
        <v>0.89</v>
      </c>
      <c r="AC54" s="28" t="inlineStr">
        <is>
          <t>Met</t>
        </is>
      </c>
      <c r="AD54" s="126" t="n">
        <v>0.54</v>
      </c>
      <c r="AE54" s="28" t="inlineStr">
        <is>
          <t>Not Met</t>
        </is>
      </c>
      <c r="AF54" s="102" t="n">
        <v>0.48</v>
      </c>
      <c r="AG54" s="28" t="inlineStr">
        <is>
          <t>Not Met</t>
        </is>
      </c>
      <c r="AH54" s="285" t="n">
        <v>0</v>
      </c>
      <c r="AI54" s="285" t="inlineStr">
        <is>
          <t>Not Reported</t>
        </is>
      </c>
      <c r="AJ54" s="157" t="n">
        <v>0.66</v>
      </c>
      <c r="AK54" s="202" t="inlineStr">
        <is>
          <t>Met</t>
        </is>
      </c>
    </row>
    <row r="55">
      <c r="A55" s="21" t="inlineStr">
        <is>
          <t>Atomberg</t>
        </is>
      </c>
      <c r="B55" s="5" t="inlineStr">
        <is>
          <t>West 1</t>
        </is>
      </c>
      <c r="C55" s="76" t="inlineStr">
        <is>
          <t>Geetu</t>
        </is>
      </c>
      <c r="D55" s="26" t="inlineStr">
        <is>
          <t>Mehvish Naz</t>
        </is>
      </c>
      <c r="E55" s="26" t="inlineStr">
        <is>
          <t>Category (A)</t>
        </is>
      </c>
      <c r="F55" s="21" t="inlineStr">
        <is>
          <t>Internal KPI</t>
        </is>
      </c>
      <c r="G55" s="21" t="inlineStr">
        <is>
          <t>No</t>
        </is>
      </c>
      <c r="H55" s="26" t="inlineStr">
        <is>
          <t>FTR (R&amp;D)</t>
        </is>
      </c>
      <c r="I55" s="11" t="n">
        <v>0.6</v>
      </c>
      <c r="J55" s="11" t="n">
        <v>0.63</v>
      </c>
      <c r="K55" s="28" t="inlineStr">
        <is>
          <t>Met</t>
        </is>
      </c>
      <c r="L55" s="11" t="n">
        <v>0.62</v>
      </c>
      <c r="M55" s="28" t="inlineStr">
        <is>
          <t>Met</t>
        </is>
      </c>
      <c r="N55" s="29" t="n">
        <v>0.71</v>
      </c>
      <c r="O55" s="28" t="inlineStr">
        <is>
          <t>Met</t>
        </is>
      </c>
      <c r="P55" s="11" t="n">
        <v>0.65</v>
      </c>
      <c r="Q55" s="28" t="inlineStr">
        <is>
          <t>Met</t>
        </is>
      </c>
      <c r="R55" s="29" t="n">
        <v>0.78</v>
      </c>
      <c r="S55" s="28" t="inlineStr">
        <is>
          <t>Met</t>
        </is>
      </c>
      <c r="T55" s="29" t="n">
        <v>0.66</v>
      </c>
      <c r="U55" s="28" t="inlineStr">
        <is>
          <t>Met</t>
        </is>
      </c>
      <c r="V55" s="29" t="n">
        <v>0.59</v>
      </c>
      <c r="W55" s="28" t="inlineStr">
        <is>
          <t>Not Met</t>
        </is>
      </c>
      <c r="X55" s="28" t="inlineStr">
        <is>
          <t>Not Reported</t>
        </is>
      </c>
      <c r="Y55" s="28" t="inlineStr">
        <is>
          <t>Not Reported</t>
        </is>
      </c>
      <c r="Z55" s="29" t="n">
        <v>0.67</v>
      </c>
      <c r="AA55" s="28" t="inlineStr">
        <is>
          <t>Met</t>
        </is>
      </c>
      <c r="AB55" s="116" t="n">
        <v>0.7297297297297297</v>
      </c>
      <c r="AC55" s="28" t="inlineStr">
        <is>
          <t>Met</t>
        </is>
      </c>
      <c r="AD55" s="126" t="n">
        <v>0.79</v>
      </c>
      <c r="AE55" s="28" t="inlineStr">
        <is>
          <t>Met</t>
        </is>
      </c>
      <c r="AF55" s="102" t="n">
        <v>0.67</v>
      </c>
      <c r="AG55" s="202" t="inlineStr">
        <is>
          <t>Met</t>
        </is>
      </c>
      <c r="AH55" s="285" t="n">
        <v>0</v>
      </c>
      <c r="AI55" s="285" t="inlineStr">
        <is>
          <t>Not Reported</t>
        </is>
      </c>
      <c r="AJ55" s="135" t="n">
        <v>0.68</v>
      </c>
      <c r="AK55" s="202" t="inlineStr">
        <is>
          <t>Met</t>
        </is>
      </c>
    </row>
    <row r="56">
      <c r="A56" s="21" t="inlineStr">
        <is>
          <t>Atomberg</t>
        </is>
      </c>
      <c r="B56" s="5" t="inlineStr">
        <is>
          <t>West 1</t>
        </is>
      </c>
      <c r="C56" s="76" t="inlineStr">
        <is>
          <t>Geetu</t>
        </is>
      </c>
      <c r="D56" s="26" t="inlineStr">
        <is>
          <t>Mehvish Naz</t>
        </is>
      </c>
      <c r="E56" s="26" t="inlineStr">
        <is>
          <t>Category (A)</t>
        </is>
      </c>
      <c r="F56" s="21" t="inlineStr">
        <is>
          <t>Internal KPI</t>
        </is>
      </c>
      <c r="G56" s="21" t="inlineStr">
        <is>
          <t>No</t>
        </is>
      </c>
      <c r="H56" s="26" t="inlineStr">
        <is>
          <t>FTR (Channel Sales)</t>
        </is>
      </c>
      <c r="I56" s="11" t="n">
        <v>0.6</v>
      </c>
      <c r="J56" s="11" t="n">
        <v>0.44</v>
      </c>
      <c r="K56" s="28" t="inlineStr">
        <is>
          <t>Not Met</t>
        </is>
      </c>
      <c r="L56" s="11" t="n">
        <v>0.7</v>
      </c>
      <c r="M56" s="28" t="inlineStr">
        <is>
          <t>Met</t>
        </is>
      </c>
      <c r="N56" s="29" t="n">
        <v>0.87</v>
      </c>
      <c r="O56" s="28" t="inlineStr">
        <is>
          <t>Met</t>
        </is>
      </c>
      <c r="P56" s="11" t="n">
        <v>0.71</v>
      </c>
      <c r="Q56" s="28" t="inlineStr">
        <is>
          <t>Met</t>
        </is>
      </c>
      <c r="R56" s="29" t="n">
        <v>0.86</v>
      </c>
      <c r="S56" s="28" t="inlineStr">
        <is>
          <t>Met</t>
        </is>
      </c>
      <c r="T56" s="29" t="n">
        <v>0.79</v>
      </c>
      <c r="U56" s="28" t="inlineStr">
        <is>
          <t>Met</t>
        </is>
      </c>
      <c r="V56" s="29" t="n">
        <v>0.79</v>
      </c>
      <c r="W56" s="28" t="inlineStr">
        <is>
          <t>Met</t>
        </is>
      </c>
      <c r="X56" s="28" t="inlineStr">
        <is>
          <t>Not Reported</t>
        </is>
      </c>
      <c r="Y56" s="28" t="inlineStr">
        <is>
          <t>Not Reported</t>
        </is>
      </c>
      <c r="Z56" s="29" t="n">
        <v>1</v>
      </c>
      <c r="AA56" s="28" t="inlineStr">
        <is>
          <t>Met</t>
        </is>
      </c>
      <c r="AB56" s="116" t="n">
        <v>0.88</v>
      </c>
      <c r="AC56" s="28" t="inlineStr">
        <is>
          <t>Met</t>
        </is>
      </c>
      <c r="AD56" s="126" t="n">
        <v>1</v>
      </c>
      <c r="AE56" s="28" t="inlineStr">
        <is>
          <t>Met</t>
        </is>
      </c>
      <c r="AF56" s="102" t="n">
        <v>0.91</v>
      </c>
      <c r="AG56" s="202" t="inlineStr">
        <is>
          <t>Met</t>
        </is>
      </c>
      <c r="AH56" s="285" t="n">
        <v>0</v>
      </c>
      <c r="AI56" s="285" t="inlineStr">
        <is>
          <t>Not Reported</t>
        </is>
      </c>
      <c r="AJ56" s="135" t="n">
        <v>0.83</v>
      </c>
      <c r="AK56" s="202" t="inlineStr">
        <is>
          <t>Met</t>
        </is>
      </c>
    </row>
    <row r="57">
      <c r="A57" s="21" t="inlineStr">
        <is>
          <t>Atomberg</t>
        </is>
      </c>
      <c r="B57" s="5" t="inlineStr">
        <is>
          <t>West 1</t>
        </is>
      </c>
      <c r="C57" s="76" t="inlineStr">
        <is>
          <t>Geetu</t>
        </is>
      </c>
      <c r="D57" s="26" t="inlineStr">
        <is>
          <t>Mehvish Naz</t>
        </is>
      </c>
      <c r="E57" s="26" t="inlineStr">
        <is>
          <t>Category (A)</t>
        </is>
      </c>
      <c r="F57" s="21" t="inlineStr">
        <is>
          <t>Internal KPI</t>
        </is>
      </c>
      <c r="G57" s="21" t="inlineStr">
        <is>
          <t>No</t>
        </is>
      </c>
      <c r="H57" s="26" t="inlineStr">
        <is>
          <t>FTR (Corp Sales)</t>
        </is>
      </c>
      <c r="I57" s="11" t="n">
        <v>0.6</v>
      </c>
      <c r="J57" s="11" t="n">
        <v>0.75</v>
      </c>
      <c r="K57" s="28" t="inlineStr">
        <is>
          <t>Met</t>
        </is>
      </c>
      <c r="L57" s="52" t="inlineStr">
        <is>
          <t>NA</t>
        </is>
      </c>
      <c r="M57" s="20" t="inlineStr">
        <is>
          <t>NA</t>
        </is>
      </c>
      <c r="N57" s="20" t="inlineStr">
        <is>
          <t>NA</t>
        </is>
      </c>
      <c r="O57" s="20" t="inlineStr">
        <is>
          <t>NA</t>
        </is>
      </c>
      <c r="P57" s="11" t="n">
        <v>0.75</v>
      </c>
      <c r="Q57" s="28" t="inlineStr">
        <is>
          <t>Met</t>
        </is>
      </c>
      <c r="R57" s="17" t="inlineStr">
        <is>
          <t>NA</t>
        </is>
      </c>
      <c r="S57" s="20" t="inlineStr">
        <is>
          <t>NA</t>
        </is>
      </c>
      <c r="T57" s="29" t="inlineStr">
        <is>
          <t>NA</t>
        </is>
      </c>
      <c r="U57" s="28" t="inlineStr">
        <is>
          <t>NA</t>
        </is>
      </c>
      <c r="V57" s="17" t="inlineStr">
        <is>
          <t>NA</t>
        </is>
      </c>
      <c r="W57" s="20" t="inlineStr">
        <is>
          <t>NA</t>
        </is>
      </c>
      <c r="X57" s="28" t="inlineStr">
        <is>
          <t>Not Reported</t>
        </is>
      </c>
      <c r="Y57" s="28" t="inlineStr">
        <is>
          <t>Not Reported</t>
        </is>
      </c>
      <c r="Z57" s="20" t="n">
        <v>0.5600000000000001</v>
      </c>
      <c r="AA57" s="28" t="inlineStr">
        <is>
          <t>Not Met</t>
        </is>
      </c>
      <c r="AB57" s="116" t="n">
        <v>0.88</v>
      </c>
      <c r="AC57" s="28" t="inlineStr">
        <is>
          <t>Met</t>
        </is>
      </c>
      <c r="AD57" s="126" t="inlineStr">
        <is>
          <t>NA</t>
        </is>
      </c>
      <c r="AE57" s="126" t="inlineStr">
        <is>
          <t>NA</t>
        </is>
      </c>
      <c r="AF57" s="95" t="inlineStr">
        <is>
          <t>NA</t>
        </is>
      </c>
      <c r="AG57" s="97" t="inlineStr">
        <is>
          <t>NA</t>
        </is>
      </c>
      <c r="AH57" s="285" t="n">
        <v>0</v>
      </c>
      <c r="AI57" s="285" t="inlineStr">
        <is>
          <t>Not Reported</t>
        </is>
      </c>
      <c r="AJ57" s="135" t="n">
        <v>0.5600000000000001</v>
      </c>
      <c r="AK57" s="28" t="inlineStr">
        <is>
          <t>Not Met</t>
        </is>
      </c>
    </row>
    <row r="58">
      <c r="A58" s="21" t="inlineStr">
        <is>
          <t>Atomberg</t>
        </is>
      </c>
      <c r="B58" s="5" t="inlineStr">
        <is>
          <t>West 1</t>
        </is>
      </c>
      <c r="C58" s="76" t="inlineStr">
        <is>
          <t>Geetu</t>
        </is>
      </c>
      <c r="D58" s="26" t="inlineStr">
        <is>
          <t>Mehvish Naz</t>
        </is>
      </c>
      <c r="E58" s="26" t="inlineStr">
        <is>
          <t>Category (A)</t>
        </is>
      </c>
      <c r="F58" s="21" t="inlineStr">
        <is>
          <t>Internal KPI</t>
        </is>
      </c>
      <c r="G58" s="21" t="inlineStr">
        <is>
          <t>No</t>
        </is>
      </c>
      <c r="H58" s="26" t="inlineStr">
        <is>
          <t>FTR (Cust Exp)</t>
        </is>
      </c>
      <c r="I58" s="11" t="n">
        <v>0.6</v>
      </c>
      <c r="J58" s="52" t="inlineStr">
        <is>
          <t>NA</t>
        </is>
      </c>
      <c r="K58" s="28" t="inlineStr">
        <is>
          <t>NA</t>
        </is>
      </c>
      <c r="L58" s="52" t="inlineStr">
        <is>
          <t>NA</t>
        </is>
      </c>
      <c r="M58" s="20" t="inlineStr">
        <is>
          <t>NA</t>
        </is>
      </c>
      <c r="N58" s="20" t="inlineStr">
        <is>
          <t>NA</t>
        </is>
      </c>
      <c r="O58" s="20" t="inlineStr">
        <is>
          <t>NA</t>
        </is>
      </c>
      <c r="P58" s="52" t="inlineStr">
        <is>
          <t>NA</t>
        </is>
      </c>
      <c r="Q58" s="20" t="inlineStr">
        <is>
          <t>NA</t>
        </is>
      </c>
      <c r="R58" s="17" t="inlineStr">
        <is>
          <t>NA</t>
        </is>
      </c>
      <c r="S58" s="20" t="inlineStr">
        <is>
          <t>NA</t>
        </is>
      </c>
      <c r="T58" s="29" t="n">
        <v>0.74</v>
      </c>
      <c r="U58" s="28" t="inlineStr">
        <is>
          <t>Met</t>
        </is>
      </c>
      <c r="V58" s="18" t="n">
        <v>1</v>
      </c>
      <c r="W58" s="28" t="inlineStr">
        <is>
          <t>Met</t>
        </is>
      </c>
      <c r="X58" s="28" t="inlineStr">
        <is>
          <t>Not Reported</t>
        </is>
      </c>
      <c r="Y58" s="28" t="inlineStr">
        <is>
          <t>Not Reported</t>
        </is>
      </c>
      <c r="Z58" s="20" t="inlineStr">
        <is>
          <t>NA</t>
        </is>
      </c>
      <c r="AA58" s="20" t="inlineStr">
        <is>
          <t>NA</t>
        </is>
      </c>
      <c r="AB58" s="95" t="inlineStr">
        <is>
          <t>NA</t>
        </is>
      </c>
      <c r="AC58" s="20" t="inlineStr">
        <is>
          <t>NA</t>
        </is>
      </c>
      <c r="AD58" s="126" t="n">
        <v>0.82</v>
      </c>
      <c r="AE58" s="28" t="inlineStr">
        <is>
          <t>Met</t>
        </is>
      </c>
      <c r="AF58" s="102" t="n">
        <v>0.25</v>
      </c>
      <c r="AG58" s="28" t="inlineStr">
        <is>
          <t>Not Met</t>
        </is>
      </c>
      <c r="AH58" s="285" t="n">
        <v>0</v>
      </c>
      <c r="AI58" s="285" t="inlineStr">
        <is>
          <t>Not Reported</t>
        </is>
      </c>
      <c r="AJ58" s="116" t="n">
        <v>0.76</v>
      </c>
      <c r="AK58" s="202" t="inlineStr">
        <is>
          <t>Met</t>
        </is>
      </c>
    </row>
    <row r="59">
      <c r="A59" s="21" t="inlineStr">
        <is>
          <t>Atomberg</t>
        </is>
      </c>
      <c r="B59" s="5" t="inlineStr">
        <is>
          <t>West 1</t>
        </is>
      </c>
      <c r="C59" s="76" t="inlineStr">
        <is>
          <t>Geetu</t>
        </is>
      </c>
      <c r="D59" s="26" t="inlineStr">
        <is>
          <t>Mehvish Naz</t>
        </is>
      </c>
      <c r="E59" s="26" t="inlineStr">
        <is>
          <t>Category (A)</t>
        </is>
      </c>
      <c r="F59" s="21" t="inlineStr">
        <is>
          <t>Internal KPI</t>
        </is>
      </c>
      <c r="G59" s="21" t="inlineStr">
        <is>
          <t>No</t>
        </is>
      </c>
      <c r="H59" s="26" t="inlineStr">
        <is>
          <t>FTR (Supply Chain)</t>
        </is>
      </c>
      <c r="I59" s="11" t="n">
        <v>0.6</v>
      </c>
      <c r="J59" s="11" t="n">
        <v>0.85</v>
      </c>
      <c r="K59" s="28" t="inlineStr">
        <is>
          <t>Met</t>
        </is>
      </c>
      <c r="L59" s="11" t="n">
        <v>0.71</v>
      </c>
      <c r="M59" s="28" t="inlineStr">
        <is>
          <t>Met</t>
        </is>
      </c>
      <c r="N59" s="29" t="n">
        <v>0.47</v>
      </c>
      <c r="O59" s="28" t="inlineStr">
        <is>
          <t>Not Met</t>
        </is>
      </c>
      <c r="P59" s="11" t="n">
        <v>0.6899999999999999</v>
      </c>
      <c r="Q59" s="28" t="inlineStr">
        <is>
          <t>Met</t>
        </is>
      </c>
      <c r="R59" s="29" t="n">
        <v>0.91</v>
      </c>
      <c r="S59" s="28" t="inlineStr">
        <is>
          <t>Met</t>
        </is>
      </c>
      <c r="T59" s="29" t="n">
        <v>0.67</v>
      </c>
      <c r="U59" s="28" t="inlineStr">
        <is>
          <t>Met</t>
        </is>
      </c>
      <c r="V59" s="29" t="n">
        <v>0.7</v>
      </c>
      <c r="W59" s="28" t="inlineStr">
        <is>
          <t>Met</t>
        </is>
      </c>
      <c r="X59" s="28" t="inlineStr">
        <is>
          <t>Not Reported</t>
        </is>
      </c>
      <c r="Y59" s="28" t="inlineStr">
        <is>
          <t>Not Reported</t>
        </is>
      </c>
      <c r="Z59" s="29" t="n">
        <v>1</v>
      </c>
      <c r="AA59" s="28" t="inlineStr">
        <is>
          <t>Met</t>
        </is>
      </c>
      <c r="AB59" s="95" t="inlineStr">
        <is>
          <t>NA</t>
        </is>
      </c>
      <c r="AC59" s="20" t="inlineStr">
        <is>
          <t>NA</t>
        </is>
      </c>
      <c r="AD59" s="126" t="n">
        <v>1</v>
      </c>
      <c r="AE59" s="28" t="inlineStr">
        <is>
          <t>Met</t>
        </is>
      </c>
      <c r="AF59" s="102" t="n">
        <v>0.5</v>
      </c>
      <c r="AG59" s="28" t="inlineStr">
        <is>
          <t>Not Met</t>
        </is>
      </c>
      <c r="AH59" s="285" t="n">
        <v>0</v>
      </c>
      <c r="AI59" s="285" t="inlineStr">
        <is>
          <t>Not Reported</t>
        </is>
      </c>
      <c r="AJ59" s="135" t="n">
        <v>0.73</v>
      </c>
      <c r="AK59" s="202" t="inlineStr">
        <is>
          <t>Met</t>
        </is>
      </c>
    </row>
    <row r="60">
      <c r="A60" s="21" t="inlineStr">
        <is>
          <t>Atomberg</t>
        </is>
      </c>
      <c r="B60" s="5" t="inlineStr">
        <is>
          <t>West 1</t>
        </is>
      </c>
      <c r="C60" s="76" t="inlineStr">
        <is>
          <t>Geetu</t>
        </is>
      </c>
      <c r="D60" s="26" t="inlineStr">
        <is>
          <t>Mehvish Naz</t>
        </is>
      </c>
      <c r="E60" s="26" t="inlineStr">
        <is>
          <t>Category (A)</t>
        </is>
      </c>
      <c r="F60" s="21" t="inlineStr">
        <is>
          <t>Internal KPI</t>
        </is>
      </c>
      <c r="G60" s="21" t="inlineStr">
        <is>
          <t>No</t>
        </is>
      </c>
      <c r="H60" s="26" t="inlineStr">
        <is>
          <t>FTR (Fin &amp; HR)</t>
        </is>
      </c>
      <c r="I60" s="11" t="n">
        <v>0.6</v>
      </c>
      <c r="J60" s="11" t="n">
        <v>0.68</v>
      </c>
      <c r="K60" s="28" t="inlineStr">
        <is>
          <t>Met</t>
        </is>
      </c>
      <c r="L60" s="52" t="inlineStr">
        <is>
          <t>NA</t>
        </is>
      </c>
      <c r="M60" s="20" t="inlineStr">
        <is>
          <t>NA</t>
        </is>
      </c>
      <c r="N60" s="20" t="n">
        <v>0.8</v>
      </c>
      <c r="O60" s="28" t="inlineStr">
        <is>
          <t>Met</t>
        </is>
      </c>
      <c r="P60" s="11" t="n">
        <v>0.7</v>
      </c>
      <c r="Q60" s="28" t="inlineStr">
        <is>
          <t>Met</t>
        </is>
      </c>
      <c r="R60" s="17" t="inlineStr">
        <is>
          <t>NA</t>
        </is>
      </c>
      <c r="S60" s="20" t="inlineStr">
        <is>
          <t>NA</t>
        </is>
      </c>
      <c r="T60" s="29" t="n">
        <v>0.5</v>
      </c>
      <c r="U60" s="28" t="inlineStr">
        <is>
          <t>Not Met</t>
        </is>
      </c>
      <c r="V60" s="18" t="n">
        <v>0.73</v>
      </c>
      <c r="W60" s="28" t="inlineStr">
        <is>
          <t>Met</t>
        </is>
      </c>
      <c r="X60" s="28" t="inlineStr">
        <is>
          <t>Not Reported</t>
        </is>
      </c>
      <c r="Y60" s="28" t="inlineStr">
        <is>
          <t>Not Reported</t>
        </is>
      </c>
      <c r="Z60" s="20" t="n">
        <v>0.83</v>
      </c>
      <c r="AA60" s="28" t="inlineStr">
        <is>
          <t>Met</t>
        </is>
      </c>
      <c r="AB60" s="102" t="n">
        <v>0.88</v>
      </c>
      <c r="AC60" s="28" t="inlineStr">
        <is>
          <t>Met</t>
        </is>
      </c>
      <c r="AD60" s="126" t="n">
        <v>0.8</v>
      </c>
      <c r="AE60" s="28" t="inlineStr">
        <is>
          <t>Met</t>
        </is>
      </c>
      <c r="AF60" s="102" t="n">
        <v>0.76</v>
      </c>
      <c r="AG60" s="202" t="inlineStr">
        <is>
          <t>Met</t>
        </is>
      </c>
      <c r="AH60" s="285" t="n">
        <v>0</v>
      </c>
      <c r="AI60" s="285" t="inlineStr">
        <is>
          <t>Not Reported</t>
        </is>
      </c>
      <c r="AJ60" s="135" t="n">
        <v>0.76</v>
      </c>
      <c r="AK60" s="202" t="inlineStr">
        <is>
          <t>Met</t>
        </is>
      </c>
    </row>
    <row r="61">
      <c r="A61" s="21" t="inlineStr">
        <is>
          <t>Atomberg</t>
        </is>
      </c>
      <c r="B61" s="5" t="inlineStr">
        <is>
          <t>West 1</t>
        </is>
      </c>
      <c r="C61" s="76" t="inlineStr">
        <is>
          <t>Geetu</t>
        </is>
      </c>
      <c r="D61" s="26" t="inlineStr">
        <is>
          <t>Mehvish Naz</t>
        </is>
      </c>
      <c r="E61" s="26" t="inlineStr">
        <is>
          <t>Category (A)</t>
        </is>
      </c>
      <c r="F61" s="21" t="inlineStr">
        <is>
          <t>Internal KPI</t>
        </is>
      </c>
      <c r="G61" s="21" t="inlineStr">
        <is>
          <t>No</t>
        </is>
      </c>
      <c r="H61" s="26" t="inlineStr">
        <is>
          <t>Hit Ratio (Manuf)</t>
        </is>
      </c>
      <c r="I61" s="11" t="n">
        <v>0.15</v>
      </c>
      <c r="J61" s="11" t="n">
        <v>0.05</v>
      </c>
      <c r="K61" s="28" t="inlineStr">
        <is>
          <t>Not Met</t>
        </is>
      </c>
      <c r="L61" s="11" t="n">
        <v>0.06</v>
      </c>
      <c r="M61" s="28" t="inlineStr">
        <is>
          <t>Not Met</t>
        </is>
      </c>
      <c r="N61" s="29" t="n">
        <v>0.15</v>
      </c>
      <c r="O61" s="28" t="inlineStr">
        <is>
          <t>Met</t>
        </is>
      </c>
      <c r="P61" s="11" t="n">
        <v>0.1</v>
      </c>
      <c r="Q61" s="28" t="inlineStr">
        <is>
          <t>Not Met</t>
        </is>
      </c>
      <c r="R61" s="29" t="n">
        <v>0.05</v>
      </c>
      <c r="S61" s="28" t="inlineStr">
        <is>
          <t>Not Met</t>
        </is>
      </c>
      <c r="T61" s="29" t="n">
        <v>0.11</v>
      </c>
      <c r="U61" s="28" t="inlineStr">
        <is>
          <t>Not Met</t>
        </is>
      </c>
      <c r="V61" s="29" t="n">
        <v>0.19</v>
      </c>
      <c r="W61" s="28" t="inlineStr">
        <is>
          <t>Met</t>
        </is>
      </c>
      <c r="X61" s="28" t="inlineStr">
        <is>
          <t>Not Reported</t>
        </is>
      </c>
      <c r="Y61" s="28" t="inlineStr">
        <is>
          <t>Not Reported</t>
        </is>
      </c>
      <c r="Z61" s="29" t="n">
        <v>0.06</v>
      </c>
      <c r="AA61" s="28" t="inlineStr">
        <is>
          <t>Not Met</t>
        </is>
      </c>
      <c r="AB61" s="116" t="n">
        <v>0.25</v>
      </c>
      <c r="AC61" s="28" t="inlineStr">
        <is>
          <t>Met</t>
        </is>
      </c>
      <c r="AD61" s="126" t="n">
        <v>0.05</v>
      </c>
      <c r="AE61" s="28" t="inlineStr">
        <is>
          <t>Not Met</t>
        </is>
      </c>
      <c r="AF61" s="102" t="n">
        <v>0.04</v>
      </c>
      <c r="AG61" s="28" t="inlineStr">
        <is>
          <t>Not Met</t>
        </is>
      </c>
      <c r="AH61" s="285" t="n">
        <v>0</v>
      </c>
      <c r="AI61" s="285" t="inlineStr">
        <is>
          <t>Not Reported</t>
        </is>
      </c>
      <c r="AJ61" s="135" t="n">
        <v>0.09</v>
      </c>
      <c r="AK61" s="28" t="inlineStr">
        <is>
          <t>Not Met</t>
        </is>
      </c>
    </row>
    <row r="62">
      <c r="A62" s="21" t="inlineStr">
        <is>
          <t>Atomberg</t>
        </is>
      </c>
      <c r="B62" s="5" t="inlineStr">
        <is>
          <t>West 1</t>
        </is>
      </c>
      <c r="C62" s="76" t="inlineStr">
        <is>
          <t>Geetu</t>
        </is>
      </c>
      <c r="D62" s="26" t="inlineStr">
        <is>
          <t>Mehvish Naz</t>
        </is>
      </c>
      <c r="E62" s="26" t="inlineStr">
        <is>
          <t>Category (A)</t>
        </is>
      </c>
      <c r="F62" s="21" t="inlineStr">
        <is>
          <t>Internal KPI</t>
        </is>
      </c>
      <c r="G62" s="21" t="inlineStr">
        <is>
          <t>No</t>
        </is>
      </c>
      <c r="H62" s="26" t="inlineStr">
        <is>
          <t>Hit Ratio (R&amp;D)</t>
        </is>
      </c>
      <c r="I62" s="11" t="n">
        <v>0.15</v>
      </c>
      <c r="J62" s="11" t="n">
        <v>0</v>
      </c>
      <c r="K62" s="28" t="inlineStr">
        <is>
          <t>Not Met</t>
        </is>
      </c>
      <c r="L62" s="11" t="n">
        <v>0.04</v>
      </c>
      <c r="M62" s="28" t="inlineStr">
        <is>
          <t>Not Met</t>
        </is>
      </c>
      <c r="N62" s="29" t="n">
        <v>0.05</v>
      </c>
      <c r="O62" s="28" t="inlineStr">
        <is>
          <t>Not Met</t>
        </is>
      </c>
      <c r="P62" s="11" t="n">
        <v>0.03</v>
      </c>
      <c r="Q62" s="28" t="inlineStr">
        <is>
          <t>Not Met</t>
        </is>
      </c>
      <c r="R62" s="29" t="n">
        <v>0</v>
      </c>
      <c r="S62" s="28" t="inlineStr">
        <is>
          <t>Not Met</t>
        </is>
      </c>
      <c r="T62" s="29" t="n">
        <v>0.06</v>
      </c>
      <c r="U62" s="28" t="inlineStr">
        <is>
          <t>Not Met</t>
        </is>
      </c>
      <c r="V62" s="29" t="n">
        <v>0.01</v>
      </c>
      <c r="W62" s="28" t="inlineStr">
        <is>
          <t>Not Met</t>
        </is>
      </c>
      <c r="X62" s="28" t="inlineStr">
        <is>
          <t>Not Reported</t>
        </is>
      </c>
      <c r="Y62" s="28" t="inlineStr">
        <is>
          <t>Not Reported</t>
        </is>
      </c>
      <c r="Z62" s="29" t="n">
        <v>0.06</v>
      </c>
      <c r="AA62" s="28" t="inlineStr">
        <is>
          <t>Not Met</t>
        </is>
      </c>
      <c r="AB62" s="116" t="n">
        <v>0.05405405405405406</v>
      </c>
      <c r="AC62" s="28" t="inlineStr">
        <is>
          <t>Not Met</t>
        </is>
      </c>
      <c r="AD62" s="126" t="n">
        <v>0.01</v>
      </c>
      <c r="AE62" s="28" t="inlineStr">
        <is>
          <t>Not Met</t>
        </is>
      </c>
      <c r="AF62" s="102" t="n">
        <v>0.05</v>
      </c>
      <c r="AG62" s="28" t="inlineStr">
        <is>
          <t>Not Met</t>
        </is>
      </c>
      <c r="AH62" s="285" t="n">
        <v>0</v>
      </c>
      <c r="AI62" s="285" t="inlineStr">
        <is>
          <t>Not Reported</t>
        </is>
      </c>
      <c r="AJ62" s="135" t="n">
        <v>0.04</v>
      </c>
      <c r="AK62" s="28" t="inlineStr">
        <is>
          <t>Not Met</t>
        </is>
      </c>
    </row>
    <row r="63">
      <c r="A63" s="21" t="inlineStr">
        <is>
          <t>Atomberg</t>
        </is>
      </c>
      <c r="B63" s="5" t="inlineStr">
        <is>
          <t>West 1</t>
        </is>
      </c>
      <c r="C63" s="76" t="inlineStr">
        <is>
          <t>Geetu</t>
        </is>
      </c>
      <c r="D63" s="26" t="inlineStr">
        <is>
          <t>Mehvish Naz</t>
        </is>
      </c>
      <c r="E63" s="26" t="inlineStr">
        <is>
          <t>Category (A)</t>
        </is>
      </c>
      <c r="F63" s="21" t="inlineStr">
        <is>
          <t>Internal KPI</t>
        </is>
      </c>
      <c r="G63" s="21" t="inlineStr">
        <is>
          <t>No</t>
        </is>
      </c>
      <c r="H63" s="26" t="inlineStr">
        <is>
          <t>Hit Ratio (Channel Sales)</t>
        </is>
      </c>
      <c r="I63" s="11" t="n">
        <v>0.2</v>
      </c>
      <c r="J63" s="11" t="n">
        <v>0.07000000000000001</v>
      </c>
      <c r="K63" s="28" t="inlineStr">
        <is>
          <t>Not Met</t>
        </is>
      </c>
      <c r="L63" s="11" t="n">
        <v>0.2</v>
      </c>
      <c r="M63" s="28" t="inlineStr">
        <is>
          <t>Met</t>
        </is>
      </c>
      <c r="N63" s="29" t="n">
        <v>0.09</v>
      </c>
      <c r="O63" s="28" t="inlineStr">
        <is>
          <t>Not Met</t>
        </is>
      </c>
      <c r="P63" s="11" t="n">
        <v>0.1</v>
      </c>
      <c r="Q63" s="28" t="inlineStr">
        <is>
          <t>Not Met</t>
        </is>
      </c>
      <c r="R63" s="29" t="n">
        <v>0.07000000000000001</v>
      </c>
      <c r="S63" s="28" t="inlineStr">
        <is>
          <t>Not Met</t>
        </is>
      </c>
      <c r="T63" s="29" t="n">
        <v>0.05</v>
      </c>
      <c r="U63" s="28" t="inlineStr">
        <is>
          <t>Not Met</t>
        </is>
      </c>
      <c r="V63" s="29" t="n">
        <v>0.11</v>
      </c>
      <c r="W63" s="28" t="inlineStr">
        <is>
          <t>Not Met</t>
        </is>
      </c>
      <c r="X63" s="28" t="inlineStr">
        <is>
          <t>Not Reported</t>
        </is>
      </c>
      <c r="Y63" s="28" t="inlineStr">
        <is>
          <t>Not Reported</t>
        </is>
      </c>
      <c r="Z63" s="29" t="n">
        <v>0</v>
      </c>
      <c r="AA63" s="28" t="inlineStr">
        <is>
          <t>Not Met</t>
        </is>
      </c>
      <c r="AB63" s="116" t="n">
        <v>0.06</v>
      </c>
      <c r="AC63" s="28" t="inlineStr">
        <is>
          <t>Not Met</t>
        </is>
      </c>
      <c r="AD63" s="126" t="n">
        <v>0.13</v>
      </c>
      <c r="AE63" s="28" t="inlineStr">
        <is>
          <t>Not Met</t>
        </is>
      </c>
      <c r="AF63" s="102" t="n">
        <v>0.09</v>
      </c>
      <c r="AG63" s="28" t="inlineStr">
        <is>
          <t>Not Met</t>
        </is>
      </c>
      <c r="AH63" s="285" t="n">
        <v>0</v>
      </c>
      <c r="AI63" s="285" t="inlineStr">
        <is>
          <t>Not Reported</t>
        </is>
      </c>
      <c r="AJ63" s="135" t="n">
        <v>0.08</v>
      </c>
      <c r="AK63" s="28" t="inlineStr">
        <is>
          <t>Not Met</t>
        </is>
      </c>
    </row>
    <row r="64">
      <c r="A64" s="21" t="inlineStr">
        <is>
          <t>Atomberg</t>
        </is>
      </c>
      <c r="B64" s="5" t="inlineStr">
        <is>
          <t>West 1</t>
        </is>
      </c>
      <c r="C64" s="76" t="inlineStr">
        <is>
          <t>Geetu</t>
        </is>
      </c>
      <c r="D64" s="26" t="inlineStr">
        <is>
          <t>Mehvish Naz</t>
        </is>
      </c>
      <c r="E64" s="26" t="inlineStr">
        <is>
          <t>Category (A)</t>
        </is>
      </c>
      <c r="F64" s="21" t="inlineStr">
        <is>
          <t>Internal KPI</t>
        </is>
      </c>
      <c r="G64" s="21" t="inlineStr">
        <is>
          <t>No</t>
        </is>
      </c>
      <c r="H64" s="26" t="inlineStr">
        <is>
          <t>Hit Ratio (Corp Sales)</t>
        </is>
      </c>
      <c r="I64" s="11" t="n">
        <v>0.15</v>
      </c>
      <c r="J64" s="11" t="n">
        <v>0.25</v>
      </c>
      <c r="K64" s="28" t="inlineStr">
        <is>
          <t>Met</t>
        </is>
      </c>
      <c r="L64" s="52" t="inlineStr">
        <is>
          <t>NA</t>
        </is>
      </c>
      <c r="M64" s="20" t="inlineStr">
        <is>
          <t>NA</t>
        </is>
      </c>
      <c r="N64" s="20" t="inlineStr">
        <is>
          <t>NA</t>
        </is>
      </c>
      <c r="O64" s="20" t="inlineStr">
        <is>
          <t>NA</t>
        </is>
      </c>
      <c r="P64" s="11" t="n">
        <v>0.25</v>
      </c>
      <c r="Q64" s="28" t="inlineStr">
        <is>
          <t>Met</t>
        </is>
      </c>
      <c r="R64" s="17" t="inlineStr">
        <is>
          <t>NA</t>
        </is>
      </c>
      <c r="S64" s="20" t="inlineStr">
        <is>
          <t>NA</t>
        </is>
      </c>
      <c r="T64" s="29" t="inlineStr">
        <is>
          <t>NA</t>
        </is>
      </c>
      <c r="U64" s="28" t="inlineStr">
        <is>
          <t>NA</t>
        </is>
      </c>
      <c r="V64" s="17" t="inlineStr">
        <is>
          <t>NA</t>
        </is>
      </c>
      <c r="W64" s="20" t="inlineStr">
        <is>
          <t>NA</t>
        </is>
      </c>
      <c r="X64" s="28" t="inlineStr">
        <is>
          <t>Not Reported</t>
        </is>
      </c>
      <c r="Y64" s="28" t="inlineStr">
        <is>
          <t>Not Reported</t>
        </is>
      </c>
      <c r="Z64" s="20" t="n">
        <v>0.17</v>
      </c>
      <c r="AA64" s="28" t="inlineStr">
        <is>
          <t>Met</t>
        </is>
      </c>
      <c r="AB64" s="116" t="n">
        <v>0.06</v>
      </c>
      <c r="AC64" s="28" t="inlineStr">
        <is>
          <t>Not Met</t>
        </is>
      </c>
      <c r="AD64" s="126" t="inlineStr">
        <is>
          <t>NA</t>
        </is>
      </c>
      <c r="AE64" s="126" t="inlineStr">
        <is>
          <t>NA</t>
        </is>
      </c>
      <c r="AF64" s="95" t="inlineStr">
        <is>
          <t>NA</t>
        </is>
      </c>
      <c r="AG64" s="97" t="inlineStr">
        <is>
          <t>NA</t>
        </is>
      </c>
      <c r="AH64" s="285" t="n">
        <v>0</v>
      </c>
      <c r="AI64" s="285" t="inlineStr">
        <is>
          <t>Not Reported</t>
        </is>
      </c>
      <c r="AJ64" s="135" t="n">
        <v>0.13</v>
      </c>
      <c r="AK64" s="28" t="inlineStr">
        <is>
          <t>Not Met</t>
        </is>
      </c>
    </row>
    <row r="65">
      <c r="A65" s="21" t="inlineStr">
        <is>
          <t>Atomberg</t>
        </is>
      </c>
      <c r="B65" s="5" t="inlineStr">
        <is>
          <t>West 1</t>
        </is>
      </c>
      <c r="C65" s="76" t="inlineStr">
        <is>
          <t>Geetu</t>
        </is>
      </c>
      <c r="D65" s="26" t="inlineStr">
        <is>
          <t>Mehvish Naz</t>
        </is>
      </c>
      <c r="E65" s="26" t="inlineStr">
        <is>
          <t>Category (A)</t>
        </is>
      </c>
      <c r="F65" s="21" t="inlineStr">
        <is>
          <t>Internal KPI</t>
        </is>
      </c>
      <c r="G65" s="21" t="inlineStr">
        <is>
          <t>No</t>
        </is>
      </c>
      <c r="H65" s="26" t="inlineStr">
        <is>
          <t>Hit Ratio (Cust Exp)</t>
        </is>
      </c>
      <c r="I65" s="11" t="n">
        <v>0.2</v>
      </c>
      <c r="J65" s="52" t="inlineStr">
        <is>
          <t>NA</t>
        </is>
      </c>
      <c r="K65" s="20" t="inlineStr">
        <is>
          <t>NA</t>
        </is>
      </c>
      <c r="L65" s="52" t="inlineStr">
        <is>
          <t>NA</t>
        </is>
      </c>
      <c r="M65" s="20" t="inlineStr">
        <is>
          <t>NA</t>
        </is>
      </c>
      <c r="N65" s="20" t="inlineStr">
        <is>
          <t>NA</t>
        </is>
      </c>
      <c r="O65" s="20" t="inlineStr">
        <is>
          <t>NA</t>
        </is>
      </c>
      <c r="P65" s="52" t="inlineStr">
        <is>
          <t>NA</t>
        </is>
      </c>
      <c r="Q65" s="20" t="inlineStr">
        <is>
          <t>NA</t>
        </is>
      </c>
      <c r="R65" s="17" t="inlineStr">
        <is>
          <t>NA</t>
        </is>
      </c>
      <c r="S65" s="20" t="inlineStr">
        <is>
          <t>NA</t>
        </is>
      </c>
      <c r="T65" s="29" t="n">
        <v>0.05</v>
      </c>
      <c r="U65" s="28" t="inlineStr">
        <is>
          <t>Not Met</t>
        </is>
      </c>
      <c r="V65" s="18" t="n">
        <v>0</v>
      </c>
      <c r="W65" s="28" t="inlineStr">
        <is>
          <t>Not Met</t>
        </is>
      </c>
      <c r="X65" s="28" t="inlineStr">
        <is>
          <t>Not Reported</t>
        </is>
      </c>
      <c r="Y65" s="28" t="inlineStr">
        <is>
          <t>Not Reported</t>
        </is>
      </c>
      <c r="Z65" s="20" t="inlineStr">
        <is>
          <t>NA</t>
        </is>
      </c>
      <c r="AA65" s="20" t="inlineStr">
        <is>
          <t>NA</t>
        </is>
      </c>
      <c r="AB65" s="95" t="inlineStr">
        <is>
          <t>NA</t>
        </is>
      </c>
      <c r="AC65" s="20" t="inlineStr">
        <is>
          <t>NA</t>
        </is>
      </c>
      <c r="AD65" s="126" t="n">
        <v>0</v>
      </c>
      <c r="AE65" s="28" t="inlineStr">
        <is>
          <t>Not Met</t>
        </is>
      </c>
      <c r="AF65" s="102" t="n">
        <v>0.25</v>
      </c>
      <c r="AG65" s="202" t="inlineStr">
        <is>
          <t>Met</t>
        </is>
      </c>
      <c r="AH65" s="285" t="n">
        <v>0</v>
      </c>
      <c r="AI65" s="285" t="inlineStr">
        <is>
          <t>Not Reported</t>
        </is>
      </c>
      <c r="AJ65" s="116" t="n">
        <v>0.05</v>
      </c>
      <c r="AK65" s="28" t="inlineStr">
        <is>
          <t>Not Met</t>
        </is>
      </c>
    </row>
    <row r="66">
      <c r="A66" s="21" t="inlineStr">
        <is>
          <t>Atomberg</t>
        </is>
      </c>
      <c r="B66" s="5" t="inlineStr">
        <is>
          <t>West 1</t>
        </is>
      </c>
      <c r="C66" s="76" t="inlineStr">
        <is>
          <t>Geetu</t>
        </is>
      </c>
      <c r="D66" s="26" t="inlineStr">
        <is>
          <t>Mehvish Naz</t>
        </is>
      </c>
      <c r="E66" s="26" t="inlineStr">
        <is>
          <t>Category (A)</t>
        </is>
      </c>
      <c r="F66" s="21" t="inlineStr">
        <is>
          <t>Internal KPI</t>
        </is>
      </c>
      <c r="G66" s="21" t="inlineStr">
        <is>
          <t>No</t>
        </is>
      </c>
      <c r="H66" s="26" t="inlineStr">
        <is>
          <t>Hit Ratio (Supply Chain)</t>
        </is>
      </c>
      <c r="I66" s="11" t="n">
        <v>0.15</v>
      </c>
      <c r="J66" s="11" t="n">
        <v>0.02</v>
      </c>
      <c r="K66" s="28" t="inlineStr">
        <is>
          <t>Not Met</t>
        </is>
      </c>
      <c r="L66" s="11" t="n">
        <v>0</v>
      </c>
      <c r="M66" s="28" t="inlineStr">
        <is>
          <t>Not Met</t>
        </is>
      </c>
      <c r="N66" s="29" t="n">
        <v>0.12</v>
      </c>
      <c r="O66" s="28" t="inlineStr">
        <is>
          <t>Not Met</t>
        </is>
      </c>
      <c r="P66" s="11" t="n">
        <v>0.05</v>
      </c>
      <c r="Q66" s="28" t="inlineStr">
        <is>
          <t>Not Met</t>
        </is>
      </c>
      <c r="R66" s="29" t="n">
        <v>0.09</v>
      </c>
      <c r="S66" s="28" t="inlineStr">
        <is>
          <t>Not Met</t>
        </is>
      </c>
      <c r="T66" s="29" t="n">
        <v>0.15</v>
      </c>
      <c r="U66" s="28" t="inlineStr">
        <is>
          <t>Met</t>
        </is>
      </c>
      <c r="V66" s="29" t="n">
        <v>0.2</v>
      </c>
      <c r="W66" s="28" t="inlineStr">
        <is>
          <t>Met</t>
        </is>
      </c>
      <c r="X66" s="28" t="inlineStr">
        <is>
          <t>Not Reported</t>
        </is>
      </c>
      <c r="Y66" s="28" t="inlineStr">
        <is>
          <t>Not Reported</t>
        </is>
      </c>
      <c r="Z66" s="29" t="n">
        <v>0</v>
      </c>
      <c r="AA66" s="28" t="inlineStr">
        <is>
          <t>Not Met</t>
        </is>
      </c>
      <c r="AB66" s="95" t="inlineStr">
        <is>
          <t>NA</t>
        </is>
      </c>
      <c r="AC66" s="20" t="inlineStr">
        <is>
          <t>NA</t>
        </is>
      </c>
      <c r="AD66" s="126" t="n">
        <v>0</v>
      </c>
      <c r="AE66" s="28" t="inlineStr">
        <is>
          <t>Not Met</t>
        </is>
      </c>
      <c r="AF66" s="102" t="n">
        <v>0.07000000000000001</v>
      </c>
      <c r="AG66" s="28" t="inlineStr">
        <is>
          <t>Not Met</t>
        </is>
      </c>
      <c r="AH66" s="285" t="n">
        <v>0</v>
      </c>
      <c r="AI66" s="285" t="inlineStr">
        <is>
          <t>Not Reported</t>
        </is>
      </c>
      <c r="AJ66" s="135" t="n">
        <v>0.08</v>
      </c>
      <c r="AK66" s="28" t="inlineStr">
        <is>
          <t>Not Met</t>
        </is>
      </c>
    </row>
    <row r="67">
      <c r="A67" s="21" t="inlineStr">
        <is>
          <t>Atomberg</t>
        </is>
      </c>
      <c r="B67" s="5" t="inlineStr">
        <is>
          <t>West 1</t>
        </is>
      </c>
      <c r="C67" s="76" t="inlineStr">
        <is>
          <t>Geetu</t>
        </is>
      </c>
      <c r="D67" s="26" t="inlineStr">
        <is>
          <t>Mehvish Naz</t>
        </is>
      </c>
      <c r="E67" s="26" t="inlineStr">
        <is>
          <t>Category (A)</t>
        </is>
      </c>
      <c r="F67" s="21" t="inlineStr">
        <is>
          <t>Internal KPI</t>
        </is>
      </c>
      <c r="G67" s="21" t="inlineStr">
        <is>
          <t>No</t>
        </is>
      </c>
      <c r="H67" s="26" t="inlineStr">
        <is>
          <t>Hit Ratio (Fin &amp; HR)</t>
        </is>
      </c>
      <c r="I67" s="11" t="n">
        <v>0.15</v>
      </c>
      <c r="J67" s="11" t="n">
        <v>0.08</v>
      </c>
      <c r="K67" s="28" t="inlineStr">
        <is>
          <t>Not Met</t>
        </is>
      </c>
      <c r="L67" s="52" t="inlineStr">
        <is>
          <t>NA</t>
        </is>
      </c>
      <c r="M67" s="20" t="inlineStr">
        <is>
          <t>NA</t>
        </is>
      </c>
      <c r="N67" s="20" t="n">
        <v>0.2</v>
      </c>
      <c r="O67" s="28" t="inlineStr">
        <is>
          <t>Met</t>
        </is>
      </c>
      <c r="P67" s="11" t="n">
        <v>0.1</v>
      </c>
      <c r="Q67" s="28" t="inlineStr">
        <is>
          <t>Not Met</t>
        </is>
      </c>
      <c r="R67" s="17" t="inlineStr">
        <is>
          <t>NA</t>
        </is>
      </c>
      <c r="S67" s="20" t="inlineStr">
        <is>
          <t>NA</t>
        </is>
      </c>
      <c r="T67" s="29" t="n">
        <v>0</v>
      </c>
      <c r="U67" s="28" t="inlineStr">
        <is>
          <t>Not Met</t>
        </is>
      </c>
      <c r="V67" s="17" t="n">
        <v>27</v>
      </c>
      <c r="W67" s="28" t="inlineStr">
        <is>
          <t>Met</t>
        </is>
      </c>
      <c r="X67" s="28" t="inlineStr">
        <is>
          <t>Not Reported</t>
        </is>
      </c>
      <c r="Y67" s="28" t="inlineStr">
        <is>
          <t>Not Reported</t>
        </is>
      </c>
      <c r="Z67" s="20" t="n">
        <v>0.17</v>
      </c>
      <c r="AA67" s="28" t="inlineStr">
        <is>
          <t>Met</t>
        </is>
      </c>
      <c r="AB67" s="83" t="n">
        <v>0</v>
      </c>
      <c r="AC67" s="28" t="inlineStr">
        <is>
          <t>Not Met</t>
        </is>
      </c>
      <c r="AD67" s="126" t="n">
        <v>0</v>
      </c>
      <c r="AE67" s="28" t="inlineStr">
        <is>
          <t>Not Met</t>
        </is>
      </c>
      <c r="AF67" s="102" t="n">
        <v>0.05</v>
      </c>
      <c r="AG67" s="28" t="inlineStr">
        <is>
          <t>Not Met</t>
        </is>
      </c>
      <c r="AH67" s="285" t="n">
        <v>0</v>
      </c>
      <c r="AI67" s="285" t="inlineStr">
        <is>
          <t>Not Reported</t>
        </is>
      </c>
      <c r="AJ67" s="135" t="n">
        <v>0.08</v>
      </c>
      <c r="AK67" s="28" t="inlineStr">
        <is>
          <t>Not Met</t>
        </is>
      </c>
    </row>
    <row r="68">
      <c r="A68" s="21" t="inlineStr">
        <is>
          <t>Atomberg</t>
        </is>
      </c>
      <c r="B68" s="5" t="inlineStr">
        <is>
          <t>West 1</t>
        </is>
      </c>
      <c r="C68" s="76" t="inlineStr">
        <is>
          <t>Geetu</t>
        </is>
      </c>
      <c r="D68" s="26" t="inlineStr">
        <is>
          <t>Mehvish Naz</t>
        </is>
      </c>
      <c r="E68" s="26" t="inlineStr">
        <is>
          <t>Category (A)</t>
        </is>
      </c>
      <c r="F68" s="21" t="inlineStr">
        <is>
          <t>Internal KPI</t>
        </is>
      </c>
      <c r="G68" s="21" t="inlineStr">
        <is>
          <t>No</t>
        </is>
      </c>
      <c r="H68" s="26" t="inlineStr">
        <is>
          <t>Offer drop (Manuf)</t>
        </is>
      </c>
      <c r="I68" s="11" t="n">
        <v>0.1</v>
      </c>
      <c r="J68" s="11" t="n">
        <v>0</v>
      </c>
      <c r="K68" s="28" t="inlineStr">
        <is>
          <t>Met</t>
        </is>
      </c>
      <c r="L68" s="11" t="n">
        <v>0.5</v>
      </c>
      <c r="M68" s="28" t="inlineStr">
        <is>
          <t>Not Met</t>
        </is>
      </c>
      <c r="N68" s="29" t="n">
        <v>0.25</v>
      </c>
      <c r="O68" s="28" t="inlineStr">
        <is>
          <t>Not Met</t>
        </is>
      </c>
      <c r="P68" s="11" t="n">
        <v>0.27</v>
      </c>
      <c r="Q68" s="28" t="inlineStr">
        <is>
          <t>Not Met</t>
        </is>
      </c>
      <c r="R68" s="29" t="n">
        <v>0.25</v>
      </c>
      <c r="S68" s="28" t="inlineStr">
        <is>
          <t>Not Met</t>
        </is>
      </c>
      <c r="T68" s="29" t="n">
        <v>0.25</v>
      </c>
      <c r="U68" s="28" t="inlineStr">
        <is>
          <t>Not Met</t>
        </is>
      </c>
      <c r="V68" s="29" t="n">
        <v>0.1</v>
      </c>
      <c r="W68" s="28" t="inlineStr">
        <is>
          <t>Met</t>
        </is>
      </c>
      <c r="X68" s="28" t="inlineStr">
        <is>
          <t>Not Reported</t>
        </is>
      </c>
      <c r="Y68" s="28" t="inlineStr">
        <is>
          <t>Not Reported</t>
        </is>
      </c>
      <c r="Z68" s="29" t="n">
        <v>0.5</v>
      </c>
      <c r="AA68" s="28" t="inlineStr">
        <is>
          <t>Not Met</t>
        </is>
      </c>
      <c r="AB68" s="102" t="n">
        <v>0.2</v>
      </c>
      <c r="AC68" s="28" t="inlineStr">
        <is>
          <t>Not Met</t>
        </is>
      </c>
      <c r="AD68" s="126" t="n">
        <v>0.14</v>
      </c>
      <c r="AE68" s="28" t="inlineStr">
        <is>
          <t>Not Met</t>
        </is>
      </c>
      <c r="AF68" s="102" t="n">
        <v>0.17</v>
      </c>
      <c r="AG68" s="28" t="inlineStr">
        <is>
          <t>Not Met</t>
        </is>
      </c>
      <c r="AH68" s="285" t="n">
        <v>0</v>
      </c>
      <c r="AI68" s="285" t="inlineStr">
        <is>
          <t>Not Reported</t>
        </is>
      </c>
      <c r="AJ68" s="135" t="n">
        <v>0.19</v>
      </c>
      <c r="AK68" s="28" t="inlineStr">
        <is>
          <t>Not Met</t>
        </is>
      </c>
    </row>
    <row r="69">
      <c r="A69" s="21" t="inlineStr">
        <is>
          <t>Atomberg</t>
        </is>
      </c>
      <c r="B69" s="5" t="inlineStr">
        <is>
          <t>West 1</t>
        </is>
      </c>
      <c r="C69" s="76" t="inlineStr">
        <is>
          <t>Geetu</t>
        </is>
      </c>
      <c r="D69" s="26" t="inlineStr">
        <is>
          <t>Mehvish Naz</t>
        </is>
      </c>
      <c r="E69" s="26" t="inlineStr">
        <is>
          <t>Category (A)</t>
        </is>
      </c>
      <c r="F69" s="21" t="inlineStr">
        <is>
          <t>Internal KPI</t>
        </is>
      </c>
      <c r="G69" s="21" t="inlineStr">
        <is>
          <t>No</t>
        </is>
      </c>
      <c r="H69" s="26" t="inlineStr">
        <is>
          <t>Offer drop (R&amp;D)</t>
        </is>
      </c>
      <c r="I69" s="11" t="n">
        <v>0.1</v>
      </c>
      <c r="J69" s="11" t="n">
        <v>0.67</v>
      </c>
      <c r="K69" s="28" t="inlineStr">
        <is>
          <t>Not Met</t>
        </is>
      </c>
      <c r="L69" s="11" t="n">
        <v>1</v>
      </c>
      <c r="M69" s="28" t="inlineStr">
        <is>
          <t>Not Met</t>
        </is>
      </c>
      <c r="N69" s="29" t="n">
        <v>0.25</v>
      </c>
      <c r="O69" s="28" t="inlineStr">
        <is>
          <t>Not Met</t>
        </is>
      </c>
      <c r="P69" s="11" t="n">
        <v>0.63</v>
      </c>
      <c r="Q69" s="28" t="inlineStr">
        <is>
          <t>Not Met</t>
        </is>
      </c>
      <c r="R69" s="29" t="n">
        <v>0.2</v>
      </c>
      <c r="S69" s="28" t="inlineStr">
        <is>
          <t>Not Met</t>
        </is>
      </c>
      <c r="T69" s="29" t="n">
        <v>2</v>
      </c>
      <c r="U69" s="28" t="inlineStr">
        <is>
          <t>Not Met</t>
        </is>
      </c>
      <c r="V69" s="29" t="n">
        <v>0</v>
      </c>
      <c r="W69" s="28" t="inlineStr">
        <is>
          <t>Met</t>
        </is>
      </c>
      <c r="X69" s="28" t="inlineStr">
        <is>
          <t>Not Reported</t>
        </is>
      </c>
      <c r="Y69" s="28" t="inlineStr">
        <is>
          <t>Not Reported</t>
        </is>
      </c>
      <c r="Z69" s="29" t="n">
        <v>0</v>
      </c>
      <c r="AA69" s="28" t="inlineStr">
        <is>
          <t>Met</t>
        </is>
      </c>
      <c r="AB69" s="116" t="n">
        <v>0.1428571428571428</v>
      </c>
      <c r="AC69" s="28" t="inlineStr">
        <is>
          <t>Not Met</t>
        </is>
      </c>
      <c r="AD69" s="126" t="n">
        <v>1</v>
      </c>
      <c r="AE69" s="28" t="inlineStr">
        <is>
          <t>Not Met</t>
        </is>
      </c>
      <c r="AF69" s="102" t="n">
        <v>0</v>
      </c>
      <c r="AG69" s="202" t="inlineStr">
        <is>
          <t>Met</t>
        </is>
      </c>
      <c r="AH69" s="285" t="n">
        <v>0</v>
      </c>
      <c r="AI69" s="285" t="inlineStr">
        <is>
          <t>Not Reported</t>
        </is>
      </c>
      <c r="AJ69" s="135" t="n">
        <v>0.37</v>
      </c>
      <c r="AK69" s="28" t="inlineStr">
        <is>
          <t>Not Met</t>
        </is>
      </c>
    </row>
    <row r="70">
      <c r="A70" s="21" t="inlineStr">
        <is>
          <t>Atomberg</t>
        </is>
      </c>
      <c r="B70" s="5" t="inlineStr">
        <is>
          <t>West 1</t>
        </is>
      </c>
      <c r="C70" s="76" t="inlineStr">
        <is>
          <t>Geetu</t>
        </is>
      </c>
      <c r="D70" s="26" t="inlineStr">
        <is>
          <t>Mehvish Naz</t>
        </is>
      </c>
      <c r="E70" s="26" t="inlineStr">
        <is>
          <t>Category (A)</t>
        </is>
      </c>
      <c r="F70" s="21" t="inlineStr">
        <is>
          <t>Internal KPI</t>
        </is>
      </c>
      <c r="G70" s="21" t="inlineStr">
        <is>
          <t>No</t>
        </is>
      </c>
      <c r="H70" s="26" t="inlineStr">
        <is>
          <t>Offer drop (Channel Sales)</t>
        </is>
      </c>
      <c r="I70" s="11" t="n">
        <v>0.1</v>
      </c>
      <c r="J70" s="11" t="n">
        <v>0</v>
      </c>
      <c r="K70" s="28" t="inlineStr">
        <is>
          <t>Met</t>
        </is>
      </c>
      <c r="L70" s="11" t="n">
        <v>0.25</v>
      </c>
      <c r="M70" s="28" t="inlineStr">
        <is>
          <t>Not Met</t>
        </is>
      </c>
      <c r="N70" s="29" t="n">
        <v>0</v>
      </c>
      <c r="O70" s="28" t="inlineStr">
        <is>
          <t>Met</t>
        </is>
      </c>
      <c r="P70" s="11" t="n">
        <v>0.38</v>
      </c>
      <c r="Q70" s="28" t="inlineStr">
        <is>
          <t>Not Met</t>
        </is>
      </c>
      <c r="R70" s="29" t="n">
        <v>0</v>
      </c>
      <c r="S70" s="28" t="inlineStr">
        <is>
          <t>Met</t>
        </is>
      </c>
      <c r="T70" s="29" t="n">
        <v>0</v>
      </c>
      <c r="U70" s="28" t="inlineStr">
        <is>
          <t>Met</t>
        </is>
      </c>
      <c r="V70" s="29" t="n">
        <v>0</v>
      </c>
      <c r="W70" s="28" t="inlineStr">
        <is>
          <t>Met</t>
        </is>
      </c>
      <c r="X70" s="28" t="inlineStr">
        <is>
          <t>Not Reported</t>
        </is>
      </c>
      <c r="Y70" s="28" t="inlineStr">
        <is>
          <t>Not Reported</t>
        </is>
      </c>
      <c r="Z70" s="29" t="n">
        <v>0</v>
      </c>
      <c r="AA70" s="28" t="inlineStr">
        <is>
          <t>Met</t>
        </is>
      </c>
      <c r="AB70" s="83" t="n">
        <v>0</v>
      </c>
      <c r="AC70" s="28" t="inlineStr">
        <is>
          <t>Met</t>
        </is>
      </c>
      <c r="AD70" s="126" t="n">
        <v>0</v>
      </c>
      <c r="AE70" s="28" t="inlineStr">
        <is>
          <t>Met</t>
        </is>
      </c>
      <c r="AF70" s="95" t="inlineStr">
        <is>
          <t>NA</t>
        </is>
      </c>
      <c r="AG70" s="97" t="inlineStr">
        <is>
          <t>NA</t>
        </is>
      </c>
      <c r="AH70" s="285" t="n">
        <v>0</v>
      </c>
      <c r="AI70" s="285" t="inlineStr">
        <is>
          <t>Not Reported</t>
        </is>
      </c>
      <c r="AJ70" s="135" t="n">
        <v>0.16</v>
      </c>
      <c r="AK70" s="28" t="inlineStr">
        <is>
          <t>Not Met</t>
        </is>
      </c>
    </row>
    <row r="71">
      <c r="A71" s="21" t="inlineStr">
        <is>
          <t>Atomberg</t>
        </is>
      </c>
      <c r="B71" s="5" t="inlineStr">
        <is>
          <t>West 1</t>
        </is>
      </c>
      <c r="C71" s="76" t="inlineStr">
        <is>
          <t>Geetu</t>
        </is>
      </c>
      <c r="D71" s="26" t="inlineStr">
        <is>
          <t>Mehvish Naz</t>
        </is>
      </c>
      <c r="E71" s="26" t="inlineStr">
        <is>
          <t>Category (A)</t>
        </is>
      </c>
      <c r="F71" s="21" t="inlineStr">
        <is>
          <t>Internal KPI</t>
        </is>
      </c>
      <c r="G71" s="21" t="inlineStr">
        <is>
          <t>No</t>
        </is>
      </c>
      <c r="H71" s="26" t="inlineStr">
        <is>
          <t>Offer drop (Corp Sales)</t>
        </is>
      </c>
      <c r="I71" s="11" t="n">
        <v>0.1</v>
      </c>
      <c r="J71" s="11" t="n">
        <v>0</v>
      </c>
      <c r="K71" s="28" t="inlineStr">
        <is>
          <t>Met</t>
        </is>
      </c>
      <c r="L71" s="52" t="inlineStr">
        <is>
          <t>NA</t>
        </is>
      </c>
      <c r="M71" s="20" t="inlineStr">
        <is>
          <t>NA</t>
        </is>
      </c>
      <c r="N71" s="20" t="inlineStr">
        <is>
          <t>NA</t>
        </is>
      </c>
      <c r="O71" s="20" t="inlineStr">
        <is>
          <t>NA</t>
        </is>
      </c>
      <c r="P71" s="11" t="n">
        <v>0</v>
      </c>
      <c r="Q71" s="28" t="inlineStr">
        <is>
          <t>Met</t>
        </is>
      </c>
      <c r="R71" s="17" t="inlineStr">
        <is>
          <t>NA</t>
        </is>
      </c>
      <c r="S71" s="20" t="inlineStr">
        <is>
          <t>NA</t>
        </is>
      </c>
      <c r="T71" s="17" t="inlineStr">
        <is>
          <t>NA</t>
        </is>
      </c>
      <c r="U71" s="28" t="inlineStr">
        <is>
          <t>NA</t>
        </is>
      </c>
      <c r="V71" s="17" t="inlineStr">
        <is>
          <t>NA</t>
        </is>
      </c>
      <c r="W71" s="20" t="inlineStr">
        <is>
          <t>NA</t>
        </is>
      </c>
      <c r="X71" s="28" t="inlineStr">
        <is>
          <t>Not Reported</t>
        </is>
      </c>
      <c r="Y71" s="28" t="inlineStr">
        <is>
          <t>Not Reported</t>
        </is>
      </c>
      <c r="Z71" s="20" t="inlineStr">
        <is>
          <t>NA</t>
        </is>
      </c>
      <c r="AA71" s="20" t="inlineStr">
        <is>
          <t>NA</t>
        </is>
      </c>
      <c r="AB71" s="83" t="n">
        <v>0</v>
      </c>
      <c r="AC71" s="28" t="inlineStr">
        <is>
          <t>Met</t>
        </is>
      </c>
      <c r="AD71" s="126" t="n">
        <v>0</v>
      </c>
      <c r="AE71" s="28" t="inlineStr">
        <is>
          <t>Met</t>
        </is>
      </c>
      <c r="AF71" s="102" t="n">
        <v>0</v>
      </c>
      <c r="AG71" s="202" t="inlineStr">
        <is>
          <t>Met</t>
        </is>
      </c>
      <c r="AH71" s="285" t="n">
        <v>0</v>
      </c>
      <c r="AI71" s="285" t="inlineStr">
        <is>
          <t>Not Reported</t>
        </is>
      </c>
      <c r="AJ71" s="135" t="n">
        <v>0</v>
      </c>
      <c r="AK71" s="202" t="inlineStr">
        <is>
          <t>Met</t>
        </is>
      </c>
    </row>
    <row r="72">
      <c r="A72" s="21" t="inlineStr">
        <is>
          <t>Atomberg</t>
        </is>
      </c>
      <c r="B72" s="5" t="inlineStr">
        <is>
          <t>West 1</t>
        </is>
      </c>
      <c r="C72" s="76" t="inlineStr">
        <is>
          <t>Geetu</t>
        </is>
      </c>
      <c r="D72" s="26" t="inlineStr">
        <is>
          <t>Mehvish Naz</t>
        </is>
      </c>
      <c r="E72" s="26" t="inlineStr">
        <is>
          <t>Category (A)</t>
        </is>
      </c>
      <c r="F72" s="21" t="inlineStr">
        <is>
          <t>Internal KPI</t>
        </is>
      </c>
      <c r="G72" s="21" t="inlineStr">
        <is>
          <t>No</t>
        </is>
      </c>
      <c r="H72" s="26" t="inlineStr">
        <is>
          <t>Offer drop (Cust Exp)</t>
        </is>
      </c>
      <c r="I72" s="11" t="n">
        <v>0.1</v>
      </c>
      <c r="J72" s="52" t="inlineStr">
        <is>
          <t>NA</t>
        </is>
      </c>
      <c r="K72" s="20" t="inlineStr">
        <is>
          <t>NA</t>
        </is>
      </c>
      <c r="L72" s="11" t="n">
        <v>0</v>
      </c>
      <c r="M72" s="28" t="inlineStr">
        <is>
          <t>Met</t>
        </is>
      </c>
      <c r="N72" s="28" t="inlineStr">
        <is>
          <t>NA</t>
        </is>
      </c>
      <c r="O72" s="28" t="inlineStr">
        <is>
          <t>NA</t>
        </is>
      </c>
      <c r="P72" s="52" t="inlineStr">
        <is>
          <t>NA</t>
        </is>
      </c>
      <c r="Q72" s="20" t="inlineStr">
        <is>
          <t>NA</t>
        </is>
      </c>
      <c r="R72" s="17" t="inlineStr">
        <is>
          <t>NA</t>
        </is>
      </c>
      <c r="S72" s="20" t="inlineStr">
        <is>
          <t>NA</t>
        </is>
      </c>
      <c r="T72" s="18" t="n">
        <v>0</v>
      </c>
      <c r="U72" s="28" t="inlineStr">
        <is>
          <t>Met</t>
        </is>
      </c>
      <c r="V72" s="17" t="n">
        <v>0</v>
      </c>
      <c r="W72" s="28" t="inlineStr">
        <is>
          <t>Met</t>
        </is>
      </c>
      <c r="X72" s="28" t="inlineStr">
        <is>
          <t>Not Reported</t>
        </is>
      </c>
      <c r="Y72" s="28" t="inlineStr">
        <is>
          <t>Not Reported</t>
        </is>
      </c>
      <c r="Z72" s="28" t="inlineStr">
        <is>
          <t>NA</t>
        </is>
      </c>
      <c r="AA72" s="20" t="inlineStr">
        <is>
          <t>NA</t>
        </is>
      </c>
      <c r="AB72" s="95" t="inlineStr">
        <is>
          <t>NA</t>
        </is>
      </c>
      <c r="AC72" s="20" t="inlineStr">
        <is>
          <t>NA</t>
        </is>
      </c>
      <c r="AD72" s="126" t="inlineStr">
        <is>
          <t>NA</t>
        </is>
      </c>
      <c r="AE72" s="126" t="inlineStr">
        <is>
          <t>NA</t>
        </is>
      </c>
      <c r="AF72" s="102" t="n">
        <v>0</v>
      </c>
      <c r="AG72" s="202" t="inlineStr">
        <is>
          <t>Met</t>
        </is>
      </c>
      <c r="AH72" s="285" t="n">
        <v>0</v>
      </c>
      <c r="AI72" s="285" t="inlineStr">
        <is>
          <t>Not Reported</t>
        </is>
      </c>
      <c r="AJ72" s="116" t="n">
        <v>0</v>
      </c>
      <c r="AK72" s="202" t="inlineStr">
        <is>
          <t>Met</t>
        </is>
      </c>
    </row>
    <row r="73">
      <c r="A73" s="21" t="inlineStr">
        <is>
          <t>Atomberg</t>
        </is>
      </c>
      <c r="B73" s="5" t="inlineStr">
        <is>
          <t>West 1</t>
        </is>
      </c>
      <c r="C73" s="76" t="inlineStr">
        <is>
          <t>Geetu</t>
        </is>
      </c>
      <c r="D73" s="26" t="inlineStr">
        <is>
          <t>Mehvish Naz</t>
        </is>
      </c>
      <c r="E73" s="26" t="inlineStr">
        <is>
          <t>Category (A)</t>
        </is>
      </c>
      <c r="F73" s="21" t="inlineStr">
        <is>
          <t>Internal KPI</t>
        </is>
      </c>
      <c r="G73" s="21" t="inlineStr">
        <is>
          <t>No</t>
        </is>
      </c>
      <c r="H73" s="26" t="inlineStr">
        <is>
          <t>Offer drop (Supply Chain)</t>
        </is>
      </c>
      <c r="I73" s="11" t="n">
        <v>0.1</v>
      </c>
      <c r="J73" s="11" t="n">
        <v>0</v>
      </c>
      <c r="K73" s="28" t="inlineStr">
        <is>
          <t>Met</t>
        </is>
      </c>
      <c r="L73" s="52" t="inlineStr">
        <is>
          <t>NA</t>
        </is>
      </c>
      <c r="M73" s="20" t="inlineStr">
        <is>
          <t>NA</t>
        </is>
      </c>
      <c r="N73" s="20" t="n">
        <v>0</v>
      </c>
      <c r="O73" s="28" t="inlineStr">
        <is>
          <t>Met</t>
        </is>
      </c>
      <c r="P73" s="11" t="n">
        <v>0</v>
      </c>
      <c r="Q73" s="28" t="inlineStr">
        <is>
          <t>Met</t>
        </is>
      </c>
      <c r="R73" s="20" t="n">
        <v>0.67</v>
      </c>
      <c r="S73" s="28" t="inlineStr">
        <is>
          <t>Not Met</t>
        </is>
      </c>
      <c r="T73" s="20" t="n">
        <v>0.2</v>
      </c>
      <c r="U73" s="28" t="inlineStr">
        <is>
          <t>Not Met</t>
        </is>
      </c>
      <c r="V73" s="20" t="n">
        <v>0</v>
      </c>
      <c r="W73" s="28" t="inlineStr">
        <is>
          <t>Met</t>
        </is>
      </c>
      <c r="X73" s="28" t="inlineStr">
        <is>
          <t>Not Reported</t>
        </is>
      </c>
      <c r="Y73" s="28" t="inlineStr">
        <is>
          <t>Not Reported</t>
        </is>
      </c>
      <c r="Z73" s="20" t="inlineStr">
        <is>
          <t>NA</t>
        </is>
      </c>
      <c r="AA73" s="20" t="inlineStr">
        <is>
          <t>NA</t>
        </is>
      </c>
      <c r="AB73" s="83" t="n">
        <v>0</v>
      </c>
      <c r="AC73" s="28" t="inlineStr">
        <is>
          <t>Met</t>
        </is>
      </c>
      <c r="AD73" s="126" t="inlineStr">
        <is>
          <t>NA</t>
        </is>
      </c>
      <c r="AE73" s="126" t="inlineStr">
        <is>
          <t>NA</t>
        </is>
      </c>
      <c r="AF73" s="102" t="n">
        <v>0</v>
      </c>
      <c r="AG73" s="202" t="inlineStr">
        <is>
          <t>Met</t>
        </is>
      </c>
      <c r="AH73" s="285" t="n">
        <v>0</v>
      </c>
      <c r="AI73" s="285" t="inlineStr">
        <is>
          <t>Not Reported</t>
        </is>
      </c>
      <c r="AJ73" s="135" t="n">
        <v>0.23</v>
      </c>
      <c r="AK73" s="28" t="inlineStr">
        <is>
          <t>Not Met</t>
        </is>
      </c>
    </row>
    <row r="74">
      <c r="A74" s="21" t="inlineStr">
        <is>
          <t>Atomberg</t>
        </is>
      </c>
      <c r="B74" s="5" t="inlineStr">
        <is>
          <t>West 1</t>
        </is>
      </c>
      <c r="C74" s="76" t="inlineStr">
        <is>
          <t>Geetu</t>
        </is>
      </c>
      <c r="D74" s="26" t="inlineStr">
        <is>
          <t>Mehvish Naz</t>
        </is>
      </c>
      <c r="E74" s="26" t="inlineStr">
        <is>
          <t>Category (A)</t>
        </is>
      </c>
      <c r="F74" s="21" t="inlineStr">
        <is>
          <t>Internal KPI</t>
        </is>
      </c>
      <c r="G74" s="21" t="inlineStr">
        <is>
          <t>No</t>
        </is>
      </c>
      <c r="H74" s="26" t="inlineStr">
        <is>
          <t>Offer drop (Fin &amp; HR)</t>
        </is>
      </c>
      <c r="I74" s="11" t="n">
        <v>0.1</v>
      </c>
      <c r="J74" s="11" t="n">
        <v>1</v>
      </c>
      <c r="K74" s="28" t="inlineStr">
        <is>
          <t>Not Met</t>
        </is>
      </c>
      <c r="L74" s="11" t="n">
        <v>0</v>
      </c>
      <c r="M74" s="28" t="inlineStr">
        <is>
          <t>Met</t>
        </is>
      </c>
      <c r="N74" s="28" t="inlineStr">
        <is>
          <t>NA</t>
        </is>
      </c>
      <c r="O74" s="28" t="inlineStr">
        <is>
          <t>NA</t>
        </is>
      </c>
      <c r="P74" s="11" t="n">
        <v>1</v>
      </c>
      <c r="Q74" s="28" t="inlineStr">
        <is>
          <t>Not Met</t>
        </is>
      </c>
      <c r="R74" s="29" t="n">
        <v>0</v>
      </c>
      <c r="S74" s="28" t="inlineStr">
        <is>
          <t>Met</t>
        </is>
      </c>
      <c r="T74" s="29" t="inlineStr">
        <is>
          <t>NA</t>
        </is>
      </c>
      <c r="U74" s="28" t="inlineStr">
        <is>
          <t>NA</t>
        </is>
      </c>
      <c r="V74" s="29" t="n">
        <v>0</v>
      </c>
      <c r="W74" s="28" t="inlineStr">
        <is>
          <t>Met</t>
        </is>
      </c>
      <c r="X74" s="28" t="inlineStr">
        <is>
          <t>Not Reported</t>
        </is>
      </c>
      <c r="Y74" s="28" t="inlineStr">
        <is>
          <t>Not Reported</t>
        </is>
      </c>
      <c r="Z74" s="29" t="n">
        <v>0</v>
      </c>
      <c r="AA74" s="28" t="inlineStr">
        <is>
          <t>Met</t>
        </is>
      </c>
      <c r="AB74" s="95" t="inlineStr">
        <is>
          <t>NA</t>
        </is>
      </c>
      <c r="AC74" s="20" t="inlineStr">
        <is>
          <t>NA</t>
        </is>
      </c>
      <c r="AD74" s="126" t="inlineStr">
        <is>
          <t>NA</t>
        </is>
      </c>
      <c r="AE74" s="126" t="inlineStr">
        <is>
          <t>NA</t>
        </is>
      </c>
      <c r="AF74" s="102" t="n">
        <v>0</v>
      </c>
      <c r="AG74" s="202" t="inlineStr">
        <is>
          <t>Met</t>
        </is>
      </c>
      <c r="AH74" s="285" t="n">
        <v>0</v>
      </c>
      <c r="AI74" s="285" t="inlineStr">
        <is>
          <t>Not Reported</t>
        </is>
      </c>
      <c r="AJ74" s="135" t="n">
        <v>0.17</v>
      </c>
      <c r="AK74" s="28" t="inlineStr">
        <is>
          <t>Not Met</t>
        </is>
      </c>
    </row>
    <row r="75">
      <c r="A75" s="21" t="inlineStr">
        <is>
          <t>Atomberg</t>
        </is>
      </c>
      <c r="B75" s="5" t="inlineStr">
        <is>
          <t>West 1</t>
        </is>
      </c>
      <c r="C75" s="76" t="inlineStr">
        <is>
          <t>Geetu</t>
        </is>
      </c>
      <c r="D75" s="26" t="inlineStr">
        <is>
          <t>Mehvish Naz</t>
        </is>
      </c>
      <c r="E75" s="26" t="inlineStr">
        <is>
          <t>Category (A)</t>
        </is>
      </c>
      <c r="F75" s="21" t="inlineStr">
        <is>
          <t>Internal KPI</t>
        </is>
      </c>
      <c r="G75" s="21" t="inlineStr">
        <is>
          <t>No</t>
        </is>
      </c>
      <c r="H75" s="26" t="inlineStr">
        <is>
          <t>Diversity (Manuf)</t>
        </is>
      </c>
      <c r="I75" s="11" t="n">
        <v>0.1</v>
      </c>
      <c r="J75" s="11" t="n">
        <v>0.33</v>
      </c>
      <c r="K75" s="28" t="inlineStr">
        <is>
          <t>Met</t>
        </is>
      </c>
      <c r="L75" s="11" t="n">
        <v>0</v>
      </c>
      <c r="M75" s="28" t="inlineStr">
        <is>
          <t>Not Met</t>
        </is>
      </c>
      <c r="N75" s="29" t="n">
        <v>0</v>
      </c>
      <c r="O75" s="28" t="inlineStr">
        <is>
          <t>Not Met</t>
        </is>
      </c>
      <c r="P75" s="11" t="n">
        <v>0.11</v>
      </c>
      <c r="Q75" s="28" t="inlineStr">
        <is>
          <t>Met</t>
        </is>
      </c>
      <c r="R75" s="29" t="n">
        <v>0</v>
      </c>
      <c r="S75" s="28" t="inlineStr">
        <is>
          <t>Not Met</t>
        </is>
      </c>
      <c r="T75" s="29" t="n">
        <v>0</v>
      </c>
      <c r="U75" s="28" t="inlineStr">
        <is>
          <t>Not Met</t>
        </is>
      </c>
      <c r="V75" s="29" t="n">
        <v>0</v>
      </c>
      <c r="W75" s="28" t="inlineStr">
        <is>
          <t>Not Met</t>
        </is>
      </c>
      <c r="X75" s="28" t="inlineStr">
        <is>
          <t>Not Reported</t>
        </is>
      </c>
      <c r="Y75" s="28" t="inlineStr">
        <is>
          <t>Not Reported</t>
        </is>
      </c>
      <c r="Z75" s="29" t="n">
        <v>0</v>
      </c>
      <c r="AA75" s="28" t="inlineStr">
        <is>
          <t>Not Met</t>
        </is>
      </c>
      <c r="AB75" s="83" t="n">
        <v>0</v>
      </c>
      <c r="AC75" s="28" t="inlineStr">
        <is>
          <t>Not Met</t>
        </is>
      </c>
      <c r="AD75" s="98" t="n">
        <v>0</v>
      </c>
      <c r="AE75" s="28" t="inlineStr">
        <is>
          <t>Not Met</t>
        </is>
      </c>
      <c r="AF75" s="102" t="n">
        <v>0</v>
      </c>
      <c r="AG75" s="28" t="inlineStr">
        <is>
          <t>Not Met</t>
        </is>
      </c>
      <c r="AH75" s="285" t="n">
        <v>0</v>
      </c>
      <c r="AI75" s="285" t="inlineStr">
        <is>
          <t>Not Reported</t>
        </is>
      </c>
      <c r="AJ75" s="135" t="n">
        <v>0.03</v>
      </c>
      <c r="AK75" s="28" t="inlineStr">
        <is>
          <t>Not Met</t>
        </is>
      </c>
    </row>
    <row r="76">
      <c r="A76" s="21" t="inlineStr">
        <is>
          <t>Atomberg</t>
        </is>
      </c>
      <c r="B76" s="5" t="inlineStr">
        <is>
          <t>West 1</t>
        </is>
      </c>
      <c r="C76" s="76" t="inlineStr">
        <is>
          <t>Geetu</t>
        </is>
      </c>
      <c r="D76" s="26" t="inlineStr">
        <is>
          <t>Mehvish Naz</t>
        </is>
      </c>
      <c r="E76" s="26" t="inlineStr">
        <is>
          <t>Category (A)</t>
        </is>
      </c>
      <c r="F76" s="21" t="inlineStr">
        <is>
          <t>Internal KPI</t>
        </is>
      </c>
      <c r="G76" s="21" t="inlineStr">
        <is>
          <t>No</t>
        </is>
      </c>
      <c r="H76" s="26" t="inlineStr">
        <is>
          <t>Diversity (R&amp;D)</t>
        </is>
      </c>
      <c r="I76" s="11" t="n">
        <v>0.1</v>
      </c>
      <c r="J76" s="11" t="n">
        <v>0</v>
      </c>
      <c r="K76" s="28" t="inlineStr">
        <is>
          <t>Not Met</t>
        </is>
      </c>
      <c r="L76" s="11" t="n">
        <v>0</v>
      </c>
      <c r="M76" s="28" t="inlineStr">
        <is>
          <t>Not Met</t>
        </is>
      </c>
      <c r="N76" s="29" t="n">
        <v>0</v>
      </c>
      <c r="O76" s="28" t="inlineStr">
        <is>
          <t>Not Met</t>
        </is>
      </c>
      <c r="P76" s="11" t="n">
        <v>0</v>
      </c>
      <c r="Q76" s="28" t="inlineStr">
        <is>
          <t>Not Met</t>
        </is>
      </c>
      <c r="R76" s="29" t="n">
        <v>0</v>
      </c>
      <c r="S76" s="28" t="inlineStr">
        <is>
          <t>Not Met</t>
        </is>
      </c>
      <c r="T76" s="29" t="n">
        <v>0</v>
      </c>
      <c r="U76" s="28" t="inlineStr">
        <is>
          <t>Not Met</t>
        </is>
      </c>
      <c r="V76" s="29" t="n">
        <v>0</v>
      </c>
      <c r="W76" s="28" t="inlineStr">
        <is>
          <t>Not Met</t>
        </is>
      </c>
      <c r="X76" s="28" t="inlineStr">
        <is>
          <t>Not Reported</t>
        </is>
      </c>
      <c r="Y76" s="28" t="inlineStr">
        <is>
          <t>Not Reported</t>
        </is>
      </c>
      <c r="Z76" s="29" t="inlineStr">
        <is>
          <t>NA</t>
        </is>
      </c>
      <c r="AA76" s="20" t="inlineStr">
        <is>
          <t>NA</t>
        </is>
      </c>
      <c r="AB76" s="83" t="n">
        <v>0</v>
      </c>
      <c r="AC76" s="28" t="inlineStr">
        <is>
          <t>Not Met</t>
        </is>
      </c>
      <c r="AD76" s="98" t="n">
        <v>0</v>
      </c>
      <c r="AE76" s="28" t="inlineStr">
        <is>
          <t>Not Met</t>
        </is>
      </c>
      <c r="AF76" s="102" t="n">
        <v>0</v>
      </c>
      <c r="AG76" s="28" t="inlineStr">
        <is>
          <t>Not Met</t>
        </is>
      </c>
      <c r="AH76" s="285" t="n">
        <v>0</v>
      </c>
      <c r="AI76" s="285" t="inlineStr">
        <is>
          <t>Not Reported</t>
        </is>
      </c>
      <c r="AJ76" s="135" t="n">
        <v>0</v>
      </c>
      <c r="AK76" s="28" t="inlineStr">
        <is>
          <t>Not Met</t>
        </is>
      </c>
    </row>
    <row r="77">
      <c r="A77" s="21" t="inlineStr">
        <is>
          <t>Atomberg</t>
        </is>
      </c>
      <c r="B77" s="5" t="inlineStr">
        <is>
          <t>West 1</t>
        </is>
      </c>
      <c r="C77" s="76" t="inlineStr">
        <is>
          <t>Geetu</t>
        </is>
      </c>
      <c r="D77" s="26" t="inlineStr">
        <is>
          <t>Mehvish Naz</t>
        </is>
      </c>
      <c r="E77" s="26" t="inlineStr">
        <is>
          <t>Category (A)</t>
        </is>
      </c>
      <c r="F77" s="21" t="inlineStr">
        <is>
          <t>Internal KPI</t>
        </is>
      </c>
      <c r="G77" s="21" t="inlineStr">
        <is>
          <t>No</t>
        </is>
      </c>
      <c r="H77" s="26" t="inlineStr">
        <is>
          <t>Diversity (Channel Sales)</t>
        </is>
      </c>
      <c r="I77" s="11" t="n">
        <v>0</v>
      </c>
      <c r="J77" s="11" t="n">
        <v>0</v>
      </c>
      <c r="K77" s="28" t="inlineStr">
        <is>
          <t>Met</t>
        </is>
      </c>
      <c r="L77" s="11" t="n">
        <v>0</v>
      </c>
      <c r="M77" s="28" t="inlineStr">
        <is>
          <t>Met</t>
        </is>
      </c>
      <c r="N77" s="29" t="n">
        <v>0</v>
      </c>
      <c r="O77" s="28" t="inlineStr">
        <is>
          <t>Met</t>
        </is>
      </c>
      <c r="P77" s="11" t="n">
        <v>0</v>
      </c>
      <c r="Q77" s="28" t="inlineStr">
        <is>
          <t>Met</t>
        </is>
      </c>
      <c r="R77" s="29" t="n">
        <v>0</v>
      </c>
      <c r="S77" s="28" t="inlineStr">
        <is>
          <t>Met</t>
        </is>
      </c>
      <c r="T77" s="29" t="inlineStr">
        <is>
          <t>NA</t>
        </is>
      </c>
      <c r="U77" s="28" t="inlineStr">
        <is>
          <t>NA</t>
        </is>
      </c>
      <c r="V77" s="29" t="n">
        <v>0</v>
      </c>
      <c r="W77" s="28" t="inlineStr">
        <is>
          <t>Met</t>
        </is>
      </c>
      <c r="X77" s="28" t="inlineStr">
        <is>
          <t>Not Reported</t>
        </is>
      </c>
      <c r="Y77" s="28" t="inlineStr">
        <is>
          <t>Not Reported</t>
        </is>
      </c>
      <c r="Z77" s="29" t="n">
        <v>0</v>
      </c>
      <c r="AA77" s="28" t="inlineStr">
        <is>
          <t>Met</t>
        </is>
      </c>
      <c r="AB77" s="83" t="n">
        <v>1</v>
      </c>
      <c r="AC77" s="28" t="inlineStr">
        <is>
          <t>Met</t>
        </is>
      </c>
      <c r="AD77" s="98" t="n">
        <v>0</v>
      </c>
      <c r="AE77" s="28" t="inlineStr">
        <is>
          <t>Met</t>
        </is>
      </c>
      <c r="AF77" s="102" t="n">
        <v>0</v>
      </c>
      <c r="AG77" s="202" t="inlineStr">
        <is>
          <t>Met</t>
        </is>
      </c>
      <c r="AH77" s="285" t="n">
        <v>0</v>
      </c>
      <c r="AI77" s="285" t="inlineStr">
        <is>
          <t>Not Reported</t>
        </is>
      </c>
      <c r="AJ77" s="135" t="n">
        <v>0</v>
      </c>
      <c r="AK77" s="202" t="inlineStr">
        <is>
          <t>Met</t>
        </is>
      </c>
    </row>
    <row r="78">
      <c r="A78" s="21" t="inlineStr">
        <is>
          <t>Atomberg</t>
        </is>
      </c>
      <c r="B78" s="5" t="inlineStr">
        <is>
          <t>West 1</t>
        </is>
      </c>
      <c r="C78" s="76" t="inlineStr">
        <is>
          <t>Geetu</t>
        </is>
      </c>
      <c r="D78" s="26" t="inlineStr">
        <is>
          <t>Mehvish Naz</t>
        </is>
      </c>
      <c r="E78" s="26" t="inlineStr">
        <is>
          <t>Category (A)</t>
        </is>
      </c>
      <c r="F78" s="21" t="inlineStr">
        <is>
          <t>Internal KPI</t>
        </is>
      </c>
      <c r="G78" s="21" t="inlineStr">
        <is>
          <t>No</t>
        </is>
      </c>
      <c r="H78" s="26" t="inlineStr">
        <is>
          <t>Diversity (Corp Sales)</t>
        </is>
      </c>
      <c r="I78" s="11" t="n">
        <v>0.1</v>
      </c>
      <c r="J78" s="11" t="n">
        <v>0.33</v>
      </c>
      <c r="K78" s="28" t="inlineStr">
        <is>
          <t>Met</t>
        </is>
      </c>
      <c r="L78" s="52" t="inlineStr">
        <is>
          <t>NA</t>
        </is>
      </c>
      <c r="M78" s="20" t="inlineStr">
        <is>
          <t>NA</t>
        </is>
      </c>
      <c r="N78" s="20" t="inlineStr">
        <is>
          <t>NA</t>
        </is>
      </c>
      <c r="O78" s="28" t="inlineStr">
        <is>
          <t>NA</t>
        </is>
      </c>
      <c r="P78" s="11" t="n">
        <v>0.33</v>
      </c>
      <c r="Q78" s="28" t="inlineStr">
        <is>
          <t>Met</t>
        </is>
      </c>
      <c r="R78" s="17" t="inlineStr">
        <is>
          <t>NA</t>
        </is>
      </c>
      <c r="S78" s="20" t="inlineStr">
        <is>
          <t>NA</t>
        </is>
      </c>
      <c r="T78" s="17" t="inlineStr">
        <is>
          <t>NA</t>
        </is>
      </c>
      <c r="U78" s="28" t="inlineStr">
        <is>
          <t>NA</t>
        </is>
      </c>
      <c r="V78" s="17" t="inlineStr">
        <is>
          <t>NA</t>
        </is>
      </c>
      <c r="W78" s="20" t="inlineStr">
        <is>
          <t>NA</t>
        </is>
      </c>
      <c r="X78" s="28" t="inlineStr">
        <is>
          <t>Not Reported</t>
        </is>
      </c>
      <c r="Y78" s="28" t="inlineStr">
        <is>
          <t>Not Reported</t>
        </is>
      </c>
      <c r="Z78" s="20" t="inlineStr">
        <is>
          <t>NA</t>
        </is>
      </c>
      <c r="AA78" s="20" t="inlineStr">
        <is>
          <t>NA</t>
        </is>
      </c>
      <c r="AB78" s="83" t="n">
        <v>1</v>
      </c>
      <c r="AC78" s="28" t="inlineStr">
        <is>
          <t>Met</t>
        </is>
      </c>
      <c r="AD78" s="98" t="n">
        <v>0</v>
      </c>
      <c r="AE78" s="28" t="inlineStr">
        <is>
          <t>Not Met</t>
        </is>
      </c>
      <c r="AF78" s="102" t="n">
        <v>0</v>
      </c>
      <c r="AG78" s="28" t="inlineStr">
        <is>
          <t>Not Met</t>
        </is>
      </c>
      <c r="AH78" s="285" t="n">
        <v>0</v>
      </c>
      <c r="AI78" s="285" t="inlineStr">
        <is>
          <t>Not Reported</t>
        </is>
      </c>
      <c r="AJ78" s="135" t="n">
        <v>0.33</v>
      </c>
      <c r="AK78" s="202" t="inlineStr">
        <is>
          <t>Met</t>
        </is>
      </c>
    </row>
    <row r="79">
      <c r="A79" s="21" t="inlineStr">
        <is>
          <t>Atomberg</t>
        </is>
      </c>
      <c r="B79" s="5" t="inlineStr">
        <is>
          <t>West 1</t>
        </is>
      </c>
      <c r="C79" s="76" t="inlineStr">
        <is>
          <t>Geetu</t>
        </is>
      </c>
      <c r="D79" s="26" t="inlineStr">
        <is>
          <t>Mehvish Naz</t>
        </is>
      </c>
      <c r="E79" s="26" t="inlineStr">
        <is>
          <t>Category (A)</t>
        </is>
      </c>
      <c r="F79" s="21" t="inlineStr">
        <is>
          <t>Internal KPI</t>
        </is>
      </c>
      <c r="G79" s="21" t="inlineStr">
        <is>
          <t>No</t>
        </is>
      </c>
      <c r="H79" s="26" t="inlineStr">
        <is>
          <t>Diversity (Cust Exp)</t>
        </is>
      </c>
      <c r="I79" s="11" t="n">
        <v>0</v>
      </c>
      <c r="J79" s="11" t="inlineStr">
        <is>
          <t>NA</t>
        </is>
      </c>
      <c r="K79" s="11" t="inlineStr">
        <is>
          <t>NA</t>
        </is>
      </c>
      <c r="L79" s="52" t="inlineStr">
        <is>
          <t>NA</t>
        </is>
      </c>
      <c r="M79" s="20" t="inlineStr">
        <is>
          <t>NA</t>
        </is>
      </c>
      <c r="N79" s="20" t="inlineStr">
        <is>
          <t>NA</t>
        </is>
      </c>
      <c r="O79" s="28" t="inlineStr">
        <is>
          <t>NA</t>
        </is>
      </c>
      <c r="P79" s="11" t="inlineStr">
        <is>
          <t>NA</t>
        </is>
      </c>
      <c r="Q79" s="20" t="inlineStr">
        <is>
          <t>NA</t>
        </is>
      </c>
      <c r="R79" s="17" t="inlineStr">
        <is>
          <t>NA</t>
        </is>
      </c>
      <c r="S79" s="20" t="inlineStr">
        <is>
          <t>NA</t>
        </is>
      </c>
      <c r="T79" s="17" t="inlineStr">
        <is>
          <t>NA</t>
        </is>
      </c>
      <c r="U79" s="28" t="inlineStr">
        <is>
          <t>NA</t>
        </is>
      </c>
      <c r="V79" s="18" t="n">
        <v>0</v>
      </c>
      <c r="W79" s="28" t="inlineStr">
        <is>
          <t>Met</t>
        </is>
      </c>
      <c r="X79" s="28" t="inlineStr">
        <is>
          <t>Not Reported</t>
        </is>
      </c>
      <c r="Y79" s="28" t="inlineStr">
        <is>
          <t>Not Reported</t>
        </is>
      </c>
      <c r="Z79" s="20" t="inlineStr">
        <is>
          <t>NA</t>
        </is>
      </c>
      <c r="AA79" s="20" t="inlineStr">
        <is>
          <t>NA</t>
        </is>
      </c>
      <c r="AB79" s="95" t="inlineStr">
        <is>
          <t>NA</t>
        </is>
      </c>
      <c r="AC79" s="20" t="inlineStr">
        <is>
          <t>NA</t>
        </is>
      </c>
      <c r="AD79" s="98" t="n">
        <v>0</v>
      </c>
      <c r="AE79" s="28" t="inlineStr">
        <is>
          <t>Met</t>
        </is>
      </c>
      <c r="AF79" s="95" t="inlineStr">
        <is>
          <t>NA</t>
        </is>
      </c>
      <c r="AG79" s="97" t="inlineStr">
        <is>
          <t>NA</t>
        </is>
      </c>
      <c r="AH79" s="285" t="n">
        <v>0</v>
      </c>
      <c r="AI79" s="285" t="inlineStr">
        <is>
          <t>Not Reported</t>
        </is>
      </c>
      <c r="AJ79" s="135" t="n">
        <v>0</v>
      </c>
      <c r="AK79" s="202" t="inlineStr">
        <is>
          <t>Met</t>
        </is>
      </c>
    </row>
    <row r="80">
      <c r="A80" s="21" t="inlineStr">
        <is>
          <t>Atomberg</t>
        </is>
      </c>
      <c r="B80" s="5" t="inlineStr">
        <is>
          <t>West 1</t>
        </is>
      </c>
      <c r="C80" s="76" t="inlineStr">
        <is>
          <t>Geetu</t>
        </is>
      </c>
      <c r="D80" s="26" t="inlineStr">
        <is>
          <t>Mehvish Naz</t>
        </is>
      </c>
      <c r="E80" s="26" t="inlineStr">
        <is>
          <t>Category (A)</t>
        </is>
      </c>
      <c r="F80" s="21" t="inlineStr">
        <is>
          <t>Internal KPI</t>
        </is>
      </c>
      <c r="G80" s="21" t="inlineStr">
        <is>
          <t>No</t>
        </is>
      </c>
      <c r="H80" s="26" t="inlineStr">
        <is>
          <t>Diversity (Supply Chain)</t>
        </is>
      </c>
      <c r="I80" s="11" t="n">
        <v>0.1</v>
      </c>
      <c r="J80" s="11" t="n">
        <v>0</v>
      </c>
      <c r="K80" s="28" t="inlineStr">
        <is>
          <t>Not Met</t>
        </is>
      </c>
      <c r="L80" s="52" t="inlineStr">
        <is>
          <t>NA</t>
        </is>
      </c>
      <c r="M80" s="20" t="inlineStr">
        <is>
          <t>NA</t>
        </is>
      </c>
      <c r="N80" s="20" t="n">
        <v>0</v>
      </c>
      <c r="O80" s="28" t="inlineStr">
        <is>
          <t>Not Met</t>
        </is>
      </c>
      <c r="P80" s="11" t="n">
        <v>0</v>
      </c>
      <c r="Q80" s="28" t="inlineStr">
        <is>
          <t>Not Met</t>
        </is>
      </c>
      <c r="R80" s="20" t="n">
        <v>0</v>
      </c>
      <c r="S80" s="28" t="inlineStr">
        <is>
          <t>Not Met</t>
        </is>
      </c>
      <c r="T80" s="20" t="inlineStr">
        <is>
          <t>N</t>
        </is>
      </c>
      <c r="U80" s="28" t="inlineStr">
        <is>
          <t>NA</t>
        </is>
      </c>
      <c r="V80" s="20" t="n">
        <v>0</v>
      </c>
      <c r="W80" s="28" t="inlineStr">
        <is>
          <t>Not Met</t>
        </is>
      </c>
      <c r="X80" s="28" t="inlineStr">
        <is>
          <t>Not Reported</t>
        </is>
      </c>
      <c r="Y80" s="28" t="inlineStr">
        <is>
          <t>Not Reported</t>
        </is>
      </c>
      <c r="Z80" s="20" t="n">
        <v>0</v>
      </c>
      <c r="AA80" s="28" t="inlineStr">
        <is>
          <t>Not Met</t>
        </is>
      </c>
      <c r="AB80" s="95" t="inlineStr">
        <is>
          <t>NA</t>
        </is>
      </c>
      <c r="AC80" s="20" t="inlineStr">
        <is>
          <t>NA</t>
        </is>
      </c>
      <c r="AD80" s="98" t="n">
        <v>0</v>
      </c>
      <c r="AE80" s="28" t="inlineStr">
        <is>
          <t>Not Met</t>
        </is>
      </c>
      <c r="AF80" s="102" t="n">
        <v>0</v>
      </c>
      <c r="AG80" s="28" t="inlineStr">
        <is>
          <t>Not Met</t>
        </is>
      </c>
      <c r="AH80" s="285" t="n">
        <v>0</v>
      </c>
      <c r="AI80" s="285" t="inlineStr">
        <is>
          <t>Not Reported</t>
        </is>
      </c>
      <c r="AJ80" s="135" t="n">
        <v>0</v>
      </c>
      <c r="AK80" s="28" t="inlineStr">
        <is>
          <t>Not Met</t>
        </is>
      </c>
    </row>
    <row r="81">
      <c r="A81" s="21" t="inlineStr">
        <is>
          <t>Atomberg</t>
        </is>
      </c>
      <c r="B81" s="5" t="inlineStr">
        <is>
          <t>West 1</t>
        </is>
      </c>
      <c r="C81" s="76" t="inlineStr">
        <is>
          <t>Geetu</t>
        </is>
      </c>
      <c r="D81" s="26" t="inlineStr">
        <is>
          <t>Mehvish Naz</t>
        </is>
      </c>
      <c r="E81" s="26" t="inlineStr">
        <is>
          <t>Category (A)</t>
        </is>
      </c>
      <c r="F81" s="21" t="inlineStr">
        <is>
          <t>Internal KPI</t>
        </is>
      </c>
      <c r="G81" s="21" t="inlineStr">
        <is>
          <t>No</t>
        </is>
      </c>
      <c r="H81" s="26" t="inlineStr">
        <is>
          <t>Diversity (Fin &amp; HR)</t>
        </is>
      </c>
      <c r="I81" s="11" t="n">
        <v>0.1</v>
      </c>
      <c r="J81" s="11" t="inlineStr">
        <is>
          <t>NA</t>
        </is>
      </c>
      <c r="K81" s="11" t="inlineStr">
        <is>
          <t>NA</t>
        </is>
      </c>
      <c r="L81" s="52" t="inlineStr">
        <is>
          <t>NA</t>
        </is>
      </c>
      <c r="M81" s="20" t="inlineStr">
        <is>
          <t>NA</t>
        </is>
      </c>
      <c r="N81" s="20" t="inlineStr">
        <is>
          <t>NA</t>
        </is>
      </c>
      <c r="O81" s="28" t="inlineStr">
        <is>
          <t>NA</t>
        </is>
      </c>
      <c r="P81" s="11" t="inlineStr">
        <is>
          <t>NA</t>
        </is>
      </c>
      <c r="Q81" s="20" t="inlineStr">
        <is>
          <t>NA</t>
        </is>
      </c>
      <c r="R81" s="17" t="inlineStr">
        <is>
          <t>NA</t>
        </is>
      </c>
      <c r="S81" s="20" t="inlineStr">
        <is>
          <t>NA</t>
        </is>
      </c>
      <c r="T81" s="18" t="n">
        <v>0</v>
      </c>
      <c r="U81" s="28" t="inlineStr">
        <is>
          <t>Not Met</t>
        </is>
      </c>
      <c r="V81" s="17" t="inlineStr">
        <is>
          <t>NA</t>
        </is>
      </c>
      <c r="W81" s="20" t="inlineStr">
        <is>
          <t>NA</t>
        </is>
      </c>
      <c r="X81" s="28" t="inlineStr">
        <is>
          <t>Not Reported</t>
        </is>
      </c>
      <c r="Y81" s="28" t="inlineStr">
        <is>
          <t>Not Reported</t>
        </is>
      </c>
      <c r="Z81" s="20" t="n">
        <v>0</v>
      </c>
      <c r="AA81" s="28" t="inlineStr">
        <is>
          <t>Not Met</t>
        </is>
      </c>
      <c r="AB81" s="83" t="n">
        <v>0</v>
      </c>
      <c r="AC81" s="28" t="inlineStr">
        <is>
          <t>Not Met</t>
        </is>
      </c>
      <c r="AD81" s="98" t="n">
        <v>0</v>
      </c>
      <c r="AE81" s="28" t="inlineStr">
        <is>
          <t>Not Met</t>
        </is>
      </c>
      <c r="AF81" s="95" t="inlineStr">
        <is>
          <t>NA</t>
        </is>
      </c>
      <c r="AG81" s="97" t="inlineStr">
        <is>
          <t>NA</t>
        </is>
      </c>
      <c r="AH81" s="285" t="n">
        <v>0</v>
      </c>
      <c r="AI81" s="285" t="inlineStr">
        <is>
          <t>Not Reported</t>
        </is>
      </c>
      <c r="AJ81" s="135" t="n">
        <v>0</v>
      </c>
      <c r="AK81" s="28" t="inlineStr">
        <is>
          <t>Not Met</t>
        </is>
      </c>
    </row>
    <row r="82">
      <c r="A82" s="21" t="inlineStr">
        <is>
          <t>Birla Paints</t>
        </is>
      </c>
      <c r="B82" s="5" t="inlineStr">
        <is>
          <t>West 1</t>
        </is>
      </c>
      <c r="C82" s="76" t="inlineStr">
        <is>
          <t>Geetu</t>
        </is>
      </c>
      <c r="D82" s="26" t="inlineStr">
        <is>
          <t>Sahil</t>
        </is>
      </c>
      <c r="E82" s="26" t="inlineStr">
        <is>
          <t>Category (A)</t>
        </is>
      </c>
      <c r="F82" s="26" t="inlineStr">
        <is>
          <t>Contractual SLA</t>
        </is>
      </c>
      <c r="G82" s="21" t="inlineStr">
        <is>
          <t>No</t>
        </is>
      </c>
      <c r="H82" s="21" t="inlineStr">
        <is>
          <t>Fulfilment Ratio</t>
        </is>
      </c>
      <c r="I82" s="11" t="n">
        <v>0.9</v>
      </c>
      <c r="J82" s="28" t="inlineStr">
        <is>
          <t>Not Reported</t>
        </is>
      </c>
      <c r="K82" s="28" t="inlineStr">
        <is>
          <t>Not Reported</t>
        </is>
      </c>
      <c r="L82" s="28" t="inlineStr">
        <is>
          <t>Not Reported</t>
        </is>
      </c>
      <c r="M82" s="28" t="inlineStr">
        <is>
          <t>Not Reported</t>
        </is>
      </c>
      <c r="N82" s="28" t="inlineStr">
        <is>
          <t>Not Reported</t>
        </is>
      </c>
      <c r="O82" s="28" t="inlineStr">
        <is>
          <t>Not Reported</t>
        </is>
      </c>
      <c r="P82" s="28" t="inlineStr">
        <is>
          <t>Not Reported</t>
        </is>
      </c>
      <c r="Q82" s="28" t="inlineStr">
        <is>
          <t>Not Reported</t>
        </is>
      </c>
      <c r="R82" s="28" t="inlineStr">
        <is>
          <t>Not Reported</t>
        </is>
      </c>
      <c r="S82" s="28" t="inlineStr">
        <is>
          <t xml:space="preserve">Not Reported </t>
        </is>
      </c>
      <c r="T82" s="28" t="inlineStr">
        <is>
          <t>Not Reported</t>
        </is>
      </c>
      <c r="U82" s="28" t="inlineStr">
        <is>
          <t>Not Reported</t>
        </is>
      </c>
      <c r="V82" s="28" t="inlineStr">
        <is>
          <t>Not Reported</t>
        </is>
      </c>
      <c r="W82" s="28" t="inlineStr">
        <is>
          <t>Not Reported</t>
        </is>
      </c>
      <c r="X82" s="28" t="inlineStr">
        <is>
          <t>Not Reported</t>
        </is>
      </c>
      <c r="Y82" s="28" t="inlineStr">
        <is>
          <t>Not Reported</t>
        </is>
      </c>
      <c r="Z82" s="28" t="inlineStr">
        <is>
          <t>Not Reported</t>
        </is>
      </c>
      <c r="AA82" s="28" t="inlineStr">
        <is>
          <t>Not Reported</t>
        </is>
      </c>
      <c r="AB82" s="94" t="n">
        <v>0.35</v>
      </c>
      <c r="AC82" s="28" t="inlineStr">
        <is>
          <t>Not Met</t>
        </is>
      </c>
      <c r="AD82" s="126" t="n">
        <v>0.43</v>
      </c>
      <c r="AE82" s="28" t="inlineStr">
        <is>
          <t>Not Met</t>
        </is>
      </c>
      <c r="AF82" s="102" t="n">
        <v>0.34</v>
      </c>
      <c r="AG82" s="28" t="inlineStr">
        <is>
          <t>Not Met</t>
        </is>
      </c>
      <c r="AH82" s="285" t="n">
        <v>0</v>
      </c>
      <c r="AI82" s="285" t="inlineStr">
        <is>
          <t>Not Reported</t>
        </is>
      </c>
      <c r="AJ82" s="102" t="n">
        <v>0.54</v>
      </c>
      <c r="AK82" s="28" t="inlineStr">
        <is>
          <t>Not Met</t>
        </is>
      </c>
    </row>
    <row r="83">
      <c r="A83" s="21" t="inlineStr">
        <is>
          <t>Birla Paints</t>
        </is>
      </c>
      <c r="B83" s="5" t="inlineStr">
        <is>
          <t>West 1</t>
        </is>
      </c>
      <c r="C83" s="76" t="inlineStr">
        <is>
          <t>Geetu</t>
        </is>
      </c>
      <c r="D83" s="26" t="inlineStr">
        <is>
          <t>Sahil</t>
        </is>
      </c>
      <c r="E83" s="26" t="inlineStr">
        <is>
          <t>Category (A)</t>
        </is>
      </c>
      <c r="F83" s="26" t="inlineStr">
        <is>
          <t>Contractual SLA</t>
        </is>
      </c>
      <c r="G83" s="21" t="inlineStr">
        <is>
          <t>No</t>
        </is>
      </c>
      <c r="H83" s="21" t="inlineStr">
        <is>
          <t>Time to Fill(%)</t>
        </is>
      </c>
      <c r="I83" s="11" t="n">
        <v>0.9</v>
      </c>
      <c r="J83" s="28" t="inlineStr">
        <is>
          <t>Not Reported</t>
        </is>
      </c>
      <c r="K83" s="28" t="inlineStr">
        <is>
          <t>Not Reported</t>
        </is>
      </c>
      <c r="L83" s="28" t="inlineStr">
        <is>
          <t>Not Reported</t>
        </is>
      </c>
      <c r="M83" s="28" t="inlineStr">
        <is>
          <t>Not Reported</t>
        </is>
      </c>
      <c r="N83" s="28" t="inlineStr">
        <is>
          <t>Not Reported</t>
        </is>
      </c>
      <c r="O83" s="28" t="inlineStr">
        <is>
          <t>Not Reported</t>
        </is>
      </c>
      <c r="P83" s="28" t="inlineStr">
        <is>
          <t>Not Reported</t>
        </is>
      </c>
      <c r="Q83" s="28" t="inlineStr">
        <is>
          <t>Not Reported</t>
        </is>
      </c>
      <c r="R83" s="28" t="inlineStr">
        <is>
          <t>Not Reported</t>
        </is>
      </c>
      <c r="S83" s="28" t="inlineStr">
        <is>
          <t xml:space="preserve">Not Reported </t>
        </is>
      </c>
      <c r="T83" s="28" t="inlineStr">
        <is>
          <t>Not Reported</t>
        </is>
      </c>
      <c r="U83" s="28" t="inlineStr">
        <is>
          <t>Not Reported</t>
        </is>
      </c>
      <c r="V83" s="28" t="inlineStr">
        <is>
          <t>Not Reported</t>
        </is>
      </c>
      <c r="W83" s="28" t="inlineStr">
        <is>
          <t>Not Reported</t>
        </is>
      </c>
      <c r="X83" s="28" t="inlineStr">
        <is>
          <t>Not Reported</t>
        </is>
      </c>
      <c r="Y83" s="28" t="inlineStr">
        <is>
          <t>Not Reported</t>
        </is>
      </c>
      <c r="Z83" s="28" t="inlineStr">
        <is>
          <t>Not Reported</t>
        </is>
      </c>
      <c r="AA83" s="28" t="inlineStr">
        <is>
          <t>Not Reported</t>
        </is>
      </c>
      <c r="AB83" s="98" t="n">
        <v>1.33</v>
      </c>
      <c r="AC83" s="28" t="inlineStr">
        <is>
          <t>Met</t>
        </is>
      </c>
      <c r="AD83" s="126" t="n">
        <v>0.96</v>
      </c>
      <c r="AE83" s="28" t="inlineStr">
        <is>
          <t>Met</t>
        </is>
      </c>
      <c r="AF83" s="102" t="n">
        <v>0.84</v>
      </c>
      <c r="AG83" s="28" t="inlineStr">
        <is>
          <t>Not Met</t>
        </is>
      </c>
      <c r="AH83" s="285" t="n">
        <v>0</v>
      </c>
      <c r="AI83" s="285" t="inlineStr">
        <is>
          <t>Not Reported</t>
        </is>
      </c>
      <c r="AJ83" s="102" t="n">
        <v>0.86</v>
      </c>
      <c r="AK83" s="28" t="inlineStr">
        <is>
          <t>Not Met</t>
        </is>
      </c>
    </row>
    <row r="84">
      <c r="A84" s="21" t="inlineStr">
        <is>
          <t>Birla Paints</t>
        </is>
      </c>
      <c r="B84" s="5" t="inlineStr">
        <is>
          <t>West 1</t>
        </is>
      </c>
      <c r="C84" s="76" t="inlineStr">
        <is>
          <t>Geetu</t>
        </is>
      </c>
      <c r="D84" s="26" t="inlineStr">
        <is>
          <t>Sahil</t>
        </is>
      </c>
      <c r="E84" s="26" t="inlineStr">
        <is>
          <t>Category (A)</t>
        </is>
      </c>
      <c r="F84" s="21" t="inlineStr">
        <is>
          <t>Internal KPI</t>
        </is>
      </c>
      <c r="G84" s="21" t="inlineStr">
        <is>
          <t>No</t>
        </is>
      </c>
      <c r="H84" s="27" t="inlineStr">
        <is>
          <t>Time to Fill</t>
        </is>
      </c>
      <c r="I84" s="14" t="inlineStr">
        <is>
          <t>45 Days</t>
        </is>
      </c>
      <c r="J84" s="28" t="inlineStr">
        <is>
          <t>Not Reported</t>
        </is>
      </c>
      <c r="K84" s="28" t="inlineStr">
        <is>
          <t>Not Reported</t>
        </is>
      </c>
      <c r="L84" s="28" t="inlineStr">
        <is>
          <t>Not Reported</t>
        </is>
      </c>
      <c r="M84" s="28" t="inlineStr">
        <is>
          <t>Not Reported</t>
        </is>
      </c>
      <c r="N84" s="28" t="inlineStr">
        <is>
          <t>Not Reported</t>
        </is>
      </c>
      <c r="O84" s="28" t="inlineStr">
        <is>
          <t>Not Reported</t>
        </is>
      </c>
      <c r="P84" s="28" t="inlineStr">
        <is>
          <t>Not Reported</t>
        </is>
      </c>
      <c r="Q84" s="28" t="inlineStr">
        <is>
          <t>Not Reported</t>
        </is>
      </c>
      <c r="R84" s="28" t="inlineStr">
        <is>
          <t>Not Reported</t>
        </is>
      </c>
      <c r="S84" s="28" t="inlineStr">
        <is>
          <t xml:space="preserve">Not Reported </t>
        </is>
      </c>
      <c r="T84" s="28" t="inlineStr">
        <is>
          <t>Not Reported</t>
        </is>
      </c>
      <c r="U84" s="28" t="inlineStr">
        <is>
          <t>Not Reported</t>
        </is>
      </c>
      <c r="V84" s="28" t="inlineStr">
        <is>
          <t>Not Reported</t>
        </is>
      </c>
      <c r="W84" s="28" t="inlineStr">
        <is>
          <t>Not Reported</t>
        </is>
      </c>
      <c r="X84" s="28" t="inlineStr">
        <is>
          <t>Not Reported</t>
        </is>
      </c>
      <c r="Y84" s="28" t="inlineStr">
        <is>
          <t>Not Reported</t>
        </is>
      </c>
      <c r="Z84" s="14" t="inlineStr">
        <is>
          <t>40 Days</t>
        </is>
      </c>
      <c r="AA84" s="28" t="inlineStr">
        <is>
          <t>Met</t>
        </is>
      </c>
      <c r="AB84" s="97" t="n">
        <v>42</v>
      </c>
      <c r="AC84" s="28" t="inlineStr">
        <is>
          <t>Met</t>
        </is>
      </c>
      <c r="AD84" s="97" t="n">
        <v>43</v>
      </c>
      <c r="AE84" s="28" t="inlineStr">
        <is>
          <t>Met</t>
        </is>
      </c>
      <c r="AF84" s="95" t="n">
        <v>42</v>
      </c>
      <c r="AG84" s="202" t="inlineStr">
        <is>
          <t>Met</t>
        </is>
      </c>
      <c r="AH84" s="285" t="n">
        <v>0</v>
      </c>
      <c r="AI84" s="285" t="inlineStr">
        <is>
          <t>Not Reported</t>
        </is>
      </c>
      <c r="AJ84" s="147" t="n">
        <v>40</v>
      </c>
      <c r="AK84" s="202" t="inlineStr">
        <is>
          <t>Met</t>
        </is>
      </c>
    </row>
    <row r="85">
      <c r="A85" s="21" t="inlineStr">
        <is>
          <t>Birla Paints</t>
        </is>
      </c>
      <c r="B85" s="5" t="inlineStr">
        <is>
          <t>West 1</t>
        </is>
      </c>
      <c r="C85" s="76" t="inlineStr">
        <is>
          <t>Geetu</t>
        </is>
      </c>
      <c r="D85" s="26" t="inlineStr">
        <is>
          <t>Sahil</t>
        </is>
      </c>
      <c r="E85" s="26" t="inlineStr">
        <is>
          <t>Category (A)</t>
        </is>
      </c>
      <c r="F85" s="21" t="inlineStr">
        <is>
          <t>Internal KPI</t>
        </is>
      </c>
      <c r="G85" s="21" t="inlineStr">
        <is>
          <t>No</t>
        </is>
      </c>
      <c r="H85" s="27" t="inlineStr">
        <is>
          <t>Time to Hire</t>
        </is>
      </c>
      <c r="I85" s="14" t="inlineStr">
        <is>
          <t>90 Days</t>
        </is>
      </c>
      <c r="J85" s="28" t="inlineStr">
        <is>
          <t>Not Reported</t>
        </is>
      </c>
      <c r="K85" s="28" t="inlineStr">
        <is>
          <t>Not Reported</t>
        </is>
      </c>
      <c r="L85" s="28" t="inlineStr">
        <is>
          <t>Not Reported</t>
        </is>
      </c>
      <c r="M85" s="28" t="inlineStr">
        <is>
          <t>Not Reported</t>
        </is>
      </c>
      <c r="N85" s="28" t="inlineStr">
        <is>
          <t>Not Reported</t>
        </is>
      </c>
      <c r="O85" s="28" t="inlineStr">
        <is>
          <t>Not Reported</t>
        </is>
      </c>
      <c r="P85" s="28" t="inlineStr">
        <is>
          <t>Not Reported</t>
        </is>
      </c>
      <c r="Q85" s="28" t="inlineStr">
        <is>
          <t>Not Reported</t>
        </is>
      </c>
      <c r="R85" s="28" t="inlineStr">
        <is>
          <t>Not Reported</t>
        </is>
      </c>
      <c r="S85" s="28" t="inlineStr">
        <is>
          <t xml:space="preserve">Not Reported </t>
        </is>
      </c>
      <c r="T85" s="28" t="inlineStr">
        <is>
          <t>Not Reported</t>
        </is>
      </c>
      <c r="U85" s="28" t="inlineStr">
        <is>
          <t>Not Reported</t>
        </is>
      </c>
      <c r="V85" s="28" t="inlineStr">
        <is>
          <t>Not Reported</t>
        </is>
      </c>
      <c r="W85" s="28" t="inlineStr">
        <is>
          <t>Not Reported</t>
        </is>
      </c>
      <c r="X85" s="28" t="inlineStr">
        <is>
          <t>Not Reported</t>
        </is>
      </c>
      <c r="Y85" s="28" t="inlineStr">
        <is>
          <t>Not Reported</t>
        </is>
      </c>
      <c r="Z85" s="14" t="inlineStr">
        <is>
          <t>70 Days</t>
        </is>
      </c>
      <c r="AA85" s="28" t="inlineStr">
        <is>
          <t>Met</t>
        </is>
      </c>
      <c r="AB85" s="97" t="n">
        <v>60</v>
      </c>
      <c r="AC85" s="28" t="inlineStr">
        <is>
          <t>Met</t>
        </is>
      </c>
      <c r="AD85" s="97" t="n">
        <v>60</v>
      </c>
      <c r="AE85" s="28" t="inlineStr">
        <is>
          <t>Met</t>
        </is>
      </c>
      <c r="AF85" s="95" t="n">
        <v>75</v>
      </c>
      <c r="AG85" s="202" t="inlineStr">
        <is>
          <t>Met</t>
        </is>
      </c>
      <c r="AH85" s="285" t="n">
        <v>0</v>
      </c>
      <c r="AI85" s="285" t="inlineStr">
        <is>
          <t>Not Reported</t>
        </is>
      </c>
      <c r="AJ85" s="147" t="n">
        <v>69</v>
      </c>
      <c r="AK85" s="202" t="inlineStr">
        <is>
          <t>Met</t>
        </is>
      </c>
    </row>
    <row r="86">
      <c r="A86" s="21" t="inlineStr">
        <is>
          <t>Birla Paints</t>
        </is>
      </c>
      <c r="B86" s="5" t="inlineStr">
        <is>
          <t>West 1</t>
        </is>
      </c>
      <c r="C86" s="76" t="inlineStr">
        <is>
          <t>Geetu</t>
        </is>
      </c>
      <c r="D86" s="26" t="inlineStr">
        <is>
          <t>Sahil</t>
        </is>
      </c>
      <c r="E86" s="26" t="inlineStr">
        <is>
          <t>Category (A)</t>
        </is>
      </c>
      <c r="F86" s="21" t="inlineStr">
        <is>
          <t>Internal KPI</t>
        </is>
      </c>
      <c r="G86" s="21" t="inlineStr">
        <is>
          <t>No</t>
        </is>
      </c>
      <c r="H86" s="27" t="inlineStr">
        <is>
          <t>Hit Ratio</t>
        </is>
      </c>
      <c r="I86" s="11" t="n">
        <v>0.35</v>
      </c>
      <c r="J86" s="28" t="inlineStr">
        <is>
          <t>Not Reported</t>
        </is>
      </c>
      <c r="K86" s="28" t="inlineStr">
        <is>
          <t>Not Reported</t>
        </is>
      </c>
      <c r="L86" s="28" t="inlineStr">
        <is>
          <t>Not Reported</t>
        </is>
      </c>
      <c r="M86" s="28" t="inlineStr">
        <is>
          <t>Not Reported</t>
        </is>
      </c>
      <c r="N86" s="28" t="inlineStr">
        <is>
          <t>Not Reported</t>
        </is>
      </c>
      <c r="O86" s="28" t="inlineStr">
        <is>
          <t>Not Reported</t>
        </is>
      </c>
      <c r="P86" s="28" t="inlineStr">
        <is>
          <t>Not Reported</t>
        </is>
      </c>
      <c r="Q86" s="28" t="inlineStr">
        <is>
          <t>Not Reported</t>
        </is>
      </c>
      <c r="R86" s="28" t="inlineStr">
        <is>
          <t>Not Reported</t>
        </is>
      </c>
      <c r="S86" s="28" t="inlineStr">
        <is>
          <t xml:space="preserve">Not Reported </t>
        </is>
      </c>
      <c r="T86" s="28" t="inlineStr">
        <is>
          <t>Not Reported</t>
        </is>
      </c>
      <c r="U86" s="28" t="inlineStr">
        <is>
          <t>Not Reported</t>
        </is>
      </c>
      <c r="V86" s="28" t="inlineStr">
        <is>
          <t>Not Reported</t>
        </is>
      </c>
      <c r="W86" s="28" t="inlineStr">
        <is>
          <t>Not Reported</t>
        </is>
      </c>
      <c r="X86" s="28" t="inlineStr">
        <is>
          <t>Not Reported</t>
        </is>
      </c>
      <c r="Y86" s="28" t="inlineStr">
        <is>
          <t>Not Reported</t>
        </is>
      </c>
      <c r="Z86" s="11" t="n">
        <v>0.23</v>
      </c>
      <c r="AA86" s="28" t="inlineStr">
        <is>
          <t>Not Met</t>
        </is>
      </c>
      <c r="AB86" s="94" t="n">
        <v>0.22</v>
      </c>
      <c r="AC86" s="28" t="inlineStr">
        <is>
          <t>Not Met</t>
        </is>
      </c>
      <c r="AD86" s="126" t="n">
        <v>0.22</v>
      </c>
      <c r="AE86" s="28" t="inlineStr">
        <is>
          <t>Not Met</t>
        </is>
      </c>
      <c r="AF86" s="102" t="n">
        <v>0.2</v>
      </c>
      <c r="AG86" s="28" t="inlineStr">
        <is>
          <t>Not Met</t>
        </is>
      </c>
      <c r="AH86" s="285" t="n">
        <v>0</v>
      </c>
      <c r="AI86" s="285" t="inlineStr">
        <is>
          <t>Not Reported</t>
        </is>
      </c>
      <c r="AJ86" s="135" t="n">
        <v>0.29</v>
      </c>
      <c r="AK86" s="28" t="inlineStr">
        <is>
          <t>Not Met</t>
        </is>
      </c>
    </row>
    <row r="87">
      <c r="A87" s="21" t="inlineStr">
        <is>
          <t>Birla Paints</t>
        </is>
      </c>
      <c r="B87" s="5" t="inlineStr">
        <is>
          <t>West 1</t>
        </is>
      </c>
      <c r="C87" s="76" t="inlineStr">
        <is>
          <t>Geetu</t>
        </is>
      </c>
      <c r="D87" s="26" t="inlineStr">
        <is>
          <t>Sahil</t>
        </is>
      </c>
      <c r="E87" s="26" t="inlineStr">
        <is>
          <t>Category (A)</t>
        </is>
      </c>
      <c r="F87" s="21" t="inlineStr">
        <is>
          <t>Internal KPI</t>
        </is>
      </c>
      <c r="G87" s="21" t="inlineStr">
        <is>
          <t>No</t>
        </is>
      </c>
      <c r="H87" s="21" t="inlineStr">
        <is>
          <t>Offer Drop</t>
        </is>
      </c>
      <c r="I87" s="11" t="n">
        <v>0.1</v>
      </c>
      <c r="J87" s="28" t="inlineStr">
        <is>
          <t>Not Reported</t>
        </is>
      </c>
      <c r="K87" s="28" t="inlineStr">
        <is>
          <t>Not Reported</t>
        </is>
      </c>
      <c r="L87" s="28" t="inlineStr">
        <is>
          <t>Not Reported</t>
        </is>
      </c>
      <c r="M87" s="28" t="inlineStr">
        <is>
          <t>Not Reported</t>
        </is>
      </c>
      <c r="N87" s="28" t="inlineStr">
        <is>
          <t>Not Reported</t>
        </is>
      </c>
      <c r="O87" s="28" t="inlineStr">
        <is>
          <t>Not Reported</t>
        </is>
      </c>
      <c r="P87" s="28" t="inlineStr">
        <is>
          <t>Not Reported</t>
        </is>
      </c>
      <c r="Q87" s="28" t="inlineStr">
        <is>
          <t>Not Reported</t>
        </is>
      </c>
      <c r="R87" s="28" t="inlineStr">
        <is>
          <t>Not Reported</t>
        </is>
      </c>
      <c r="S87" s="28" t="inlineStr">
        <is>
          <t xml:space="preserve">Not Reported </t>
        </is>
      </c>
      <c r="T87" s="28" t="inlineStr">
        <is>
          <t>Not Reported</t>
        </is>
      </c>
      <c r="U87" s="28" t="inlineStr">
        <is>
          <t>Not Reported</t>
        </is>
      </c>
      <c r="V87" s="28" t="inlineStr">
        <is>
          <t>Not Reported</t>
        </is>
      </c>
      <c r="W87" s="28" t="inlineStr">
        <is>
          <t>Not Reported</t>
        </is>
      </c>
      <c r="X87" s="28" t="inlineStr">
        <is>
          <t>Not Reported</t>
        </is>
      </c>
      <c r="Y87" s="28" t="inlineStr">
        <is>
          <t>Not Reported</t>
        </is>
      </c>
      <c r="Z87" s="11" t="n">
        <v>0.05</v>
      </c>
      <c r="AA87" s="28" t="inlineStr">
        <is>
          <t>Met</t>
        </is>
      </c>
      <c r="AB87" s="94" t="n">
        <v>0.18</v>
      </c>
      <c r="AC87" s="28" t="inlineStr">
        <is>
          <t>Not Met</t>
        </is>
      </c>
      <c r="AD87" s="126" t="n">
        <v>0.14</v>
      </c>
      <c r="AE87" s="28" t="inlineStr">
        <is>
          <t>Not Met</t>
        </is>
      </c>
      <c r="AF87" s="102" t="n">
        <v>0.19</v>
      </c>
      <c r="AG87" s="28" t="inlineStr">
        <is>
          <t>Not Met</t>
        </is>
      </c>
      <c r="AH87" s="285" t="n">
        <v>0</v>
      </c>
      <c r="AI87" s="285" t="inlineStr">
        <is>
          <t>Not Reported</t>
        </is>
      </c>
      <c r="AJ87" s="102" t="n">
        <v>0.02</v>
      </c>
      <c r="AK87" s="202" t="inlineStr">
        <is>
          <t>Met</t>
        </is>
      </c>
    </row>
    <row r="88">
      <c r="A88" s="21" t="inlineStr">
        <is>
          <t>Birla Paints</t>
        </is>
      </c>
      <c r="B88" s="5" t="inlineStr">
        <is>
          <t>West 1</t>
        </is>
      </c>
      <c r="C88" s="76" t="inlineStr">
        <is>
          <t>Geetu</t>
        </is>
      </c>
      <c r="D88" s="26" t="inlineStr">
        <is>
          <t>Sahil</t>
        </is>
      </c>
      <c r="E88" s="26" t="inlineStr">
        <is>
          <t>Category (A)</t>
        </is>
      </c>
      <c r="F88" s="21" t="inlineStr">
        <is>
          <t>Internal KPI</t>
        </is>
      </c>
      <c r="G88" s="21" t="inlineStr">
        <is>
          <t>No</t>
        </is>
      </c>
      <c r="H88" s="27" t="inlineStr">
        <is>
          <t>First Time Right Ratio</t>
        </is>
      </c>
      <c r="I88" s="20" t="inlineStr">
        <is>
          <t>&gt;=60%</t>
        </is>
      </c>
      <c r="J88" s="28" t="inlineStr">
        <is>
          <t>Not Reported</t>
        </is>
      </c>
      <c r="K88" s="28" t="inlineStr">
        <is>
          <t>Not Reported</t>
        </is>
      </c>
      <c r="L88" s="28" t="inlineStr">
        <is>
          <t>Not Reported</t>
        </is>
      </c>
      <c r="M88" s="28" t="inlineStr">
        <is>
          <t>Not Reported</t>
        </is>
      </c>
      <c r="N88" s="28" t="inlineStr">
        <is>
          <t>Not Reported</t>
        </is>
      </c>
      <c r="O88" s="28" t="inlineStr">
        <is>
          <t>Not Reported</t>
        </is>
      </c>
      <c r="P88" s="28" t="inlineStr">
        <is>
          <t>Not Reported</t>
        </is>
      </c>
      <c r="Q88" s="28" t="inlineStr">
        <is>
          <t>Not Reported</t>
        </is>
      </c>
      <c r="R88" s="28" t="inlineStr">
        <is>
          <t>Not Reported</t>
        </is>
      </c>
      <c r="S88" s="28" t="inlineStr">
        <is>
          <t xml:space="preserve">Not Reported </t>
        </is>
      </c>
      <c r="T88" s="28" t="inlineStr">
        <is>
          <t>Not Reported</t>
        </is>
      </c>
      <c r="U88" s="28" t="inlineStr">
        <is>
          <t>Not Reported</t>
        </is>
      </c>
      <c r="V88" s="28" t="inlineStr">
        <is>
          <t>Not Reported</t>
        </is>
      </c>
      <c r="W88" s="28" t="inlineStr">
        <is>
          <t>Not Reported</t>
        </is>
      </c>
      <c r="X88" s="28" t="inlineStr">
        <is>
          <t>Not Reported</t>
        </is>
      </c>
      <c r="Y88" s="28" t="inlineStr">
        <is>
          <t>Not Reported</t>
        </is>
      </c>
      <c r="Z88" s="20" t="n">
        <v>0.88</v>
      </c>
      <c r="AA88" s="28" t="inlineStr">
        <is>
          <t>Met</t>
        </is>
      </c>
      <c r="AB88" s="94" t="n">
        <v>0.92</v>
      </c>
      <c r="AC88" s="28" t="inlineStr">
        <is>
          <t>Met</t>
        </is>
      </c>
      <c r="AD88" s="126" t="n">
        <v>0.92</v>
      </c>
      <c r="AE88" s="28" t="inlineStr">
        <is>
          <t>Met</t>
        </is>
      </c>
      <c r="AF88" s="102" t="n">
        <v>0.88</v>
      </c>
      <c r="AG88" s="202" t="inlineStr">
        <is>
          <t>Met</t>
        </is>
      </c>
      <c r="AH88" s="285" t="n">
        <v>0</v>
      </c>
      <c r="AI88" s="285" t="inlineStr">
        <is>
          <t>Not Reported</t>
        </is>
      </c>
      <c r="AJ88" s="149" t="n">
        <v>0.7</v>
      </c>
      <c r="AK88" s="202" t="inlineStr">
        <is>
          <t>Met</t>
        </is>
      </c>
    </row>
    <row r="89">
      <c r="A89" s="21" t="inlineStr">
        <is>
          <t>Birla Paints</t>
        </is>
      </c>
      <c r="B89" s="5" t="inlineStr">
        <is>
          <t>West 1</t>
        </is>
      </c>
      <c r="C89" s="76" t="inlineStr">
        <is>
          <t>Geetu</t>
        </is>
      </c>
      <c r="D89" s="26" t="inlineStr">
        <is>
          <t>Sahil</t>
        </is>
      </c>
      <c r="E89" s="26" t="inlineStr">
        <is>
          <t>Category (A)</t>
        </is>
      </c>
      <c r="F89" s="21" t="inlineStr">
        <is>
          <t>Internal KPI</t>
        </is>
      </c>
      <c r="G89" s="21" t="inlineStr">
        <is>
          <t>No</t>
        </is>
      </c>
      <c r="H89" s="21" t="inlineStr">
        <is>
          <t>Ageing</t>
        </is>
      </c>
      <c r="I89" s="20" t="n">
        <v>0.1</v>
      </c>
      <c r="J89" s="28" t="inlineStr">
        <is>
          <t>Not Reported</t>
        </is>
      </c>
      <c r="K89" s="28" t="inlineStr">
        <is>
          <t>Not Reported</t>
        </is>
      </c>
      <c r="L89" s="28" t="inlineStr">
        <is>
          <t>Not Reported</t>
        </is>
      </c>
      <c r="M89" s="28" t="inlineStr">
        <is>
          <t>Not Reported</t>
        </is>
      </c>
      <c r="N89" s="28" t="inlineStr">
        <is>
          <t>Not Reported</t>
        </is>
      </c>
      <c r="O89" s="28" t="inlineStr">
        <is>
          <t>Not Reported</t>
        </is>
      </c>
      <c r="P89" s="28" t="inlineStr">
        <is>
          <t>Not Reported</t>
        </is>
      </c>
      <c r="Q89" s="28" t="inlineStr">
        <is>
          <t>Not Reported</t>
        </is>
      </c>
      <c r="R89" s="28" t="inlineStr">
        <is>
          <t>Not Reported</t>
        </is>
      </c>
      <c r="S89" s="28" t="inlineStr">
        <is>
          <t xml:space="preserve">Not Reported </t>
        </is>
      </c>
      <c r="T89" s="28" t="inlineStr">
        <is>
          <t>Not Reported</t>
        </is>
      </c>
      <c r="U89" s="28" t="inlineStr">
        <is>
          <t>Not Reported</t>
        </is>
      </c>
      <c r="V89" s="28" t="inlineStr">
        <is>
          <t>Not Reported</t>
        </is>
      </c>
      <c r="W89" s="28" t="inlineStr">
        <is>
          <t>Not Reported</t>
        </is>
      </c>
      <c r="X89" s="28" t="inlineStr">
        <is>
          <t>Not Reported</t>
        </is>
      </c>
      <c r="Y89" s="28" t="inlineStr">
        <is>
          <t>Not Reported</t>
        </is>
      </c>
      <c r="Z89" s="20" t="n">
        <v>0.25</v>
      </c>
      <c r="AA89" s="28" t="inlineStr">
        <is>
          <t>Not Met</t>
        </is>
      </c>
      <c r="AB89" s="104" t="n">
        <v>0.31</v>
      </c>
      <c r="AC89" s="28" t="inlineStr">
        <is>
          <t>Not Met</t>
        </is>
      </c>
      <c r="AD89" s="129" t="n">
        <v>0.22</v>
      </c>
      <c r="AE89" s="28" t="inlineStr">
        <is>
          <t>Not Met</t>
        </is>
      </c>
      <c r="AF89" s="102" t="n">
        <v>0.25</v>
      </c>
      <c r="AG89" s="28" t="inlineStr">
        <is>
          <t>Not Met</t>
        </is>
      </c>
      <c r="AH89" s="285" t="n">
        <v>0</v>
      </c>
      <c r="AI89" s="285" t="inlineStr">
        <is>
          <t>Not Reported</t>
        </is>
      </c>
      <c r="AJ89" s="149" t="n">
        <v>0.12</v>
      </c>
      <c r="AK89" s="28" t="inlineStr">
        <is>
          <t>Not Met</t>
        </is>
      </c>
    </row>
    <row r="90">
      <c r="A90" s="21" t="inlineStr">
        <is>
          <t>BITS</t>
        </is>
      </c>
      <c r="B90" s="5" t="inlineStr">
        <is>
          <t>South 2</t>
        </is>
      </c>
      <c r="C90" s="76" t="inlineStr">
        <is>
          <t>Krishna</t>
        </is>
      </c>
      <c r="D90" s="26" t="inlineStr">
        <is>
          <t>Himanshu Srivastava</t>
        </is>
      </c>
      <c r="E90" s="26" t="inlineStr">
        <is>
          <t>Category (B)</t>
        </is>
      </c>
      <c r="F90" s="26" t="inlineStr">
        <is>
          <t>Contractual SLA</t>
        </is>
      </c>
      <c r="G90" s="26" t="inlineStr">
        <is>
          <t>No</t>
        </is>
      </c>
      <c r="H90" s="26" t="inlineStr">
        <is>
          <t xml:space="preserve">% AV interviews scheduled within timeline </t>
        </is>
      </c>
      <c r="I90" s="29" t="n">
        <v>1</v>
      </c>
      <c r="J90" s="17" t="inlineStr">
        <is>
          <t xml:space="preserve">100% </t>
        </is>
      </c>
      <c r="K90" s="28" t="inlineStr">
        <is>
          <t>Met</t>
        </is>
      </c>
      <c r="L90" s="17" t="inlineStr">
        <is>
          <t xml:space="preserve">100% </t>
        </is>
      </c>
      <c r="M90" s="28" t="inlineStr">
        <is>
          <t>Met</t>
        </is>
      </c>
      <c r="N90" s="17" t="inlineStr">
        <is>
          <t xml:space="preserve">100% </t>
        </is>
      </c>
      <c r="O90" s="28" t="inlineStr">
        <is>
          <t>Met</t>
        </is>
      </c>
      <c r="P90" s="17" t="inlineStr">
        <is>
          <t xml:space="preserve">100% </t>
        </is>
      </c>
      <c r="Q90" s="28" t="inlineStr">
        <is>
          <t>Met</t>
        </is>
      </c>
      <c r="R90" s="17" t="inlineStr">
        <is>
          <t xml:space="preserve">100% </t>
        </is>
      </c>
      <c r="S90" s="28" t="inlineStr">
        <is>
          <t>Met</t>
        </is>
      </c>
      <c r="T90" s="17" t="inlineStr">
        <is>
          <t xml:space="preserve">100% </t>
        </is>
      </c>
      <c r="U90" s="28" t="inlineStr">
        <is>
          <t>Met</t>
        </is>
      </c>
      <c r="V90" s="17" t="inlineStr">
        <is>
          <t xml:space="preserve">100% </t>
        </is>
      </c>
      <c r="W90" s="28" t="inlineStr">
        <is>
          <t>Met</t>
        </is>
      </c>
      <c r="X90" s="17" t="inlineStr">
        <is>
          <t xml:space="preserve">100% </t>
        </is>
      </c>
      <c r="Y90" s="28" t="inlineStr">
        <is>
          <t>Met</t>
        </is>
      </c>
      <c r="Z90" s="17" t="inlineStr">
        <is>
          <t xml:space="preserve">100% </t>
        </is>
      </c>
      <c r="AA90" s="28" t="inlineStr">
        <is>
          <t>Met</t>
        </is>
      </c>
      <c r="AB90" s="93" t="inlineStr">
        <is>
          <t xml:space="preserve">100% </t>
        </is>
      </c>
      <c r="AC90" s="28" t="inlineStr">
        <is>
          <t>Met</t>
        </is>
      </c>
      <c r="AD90" s="93" t="inlineStr">
        <is>
          <t xml:space="preserve">100% </t>
        </is>
      </c>
      <c r="AE90" s="28" t="inlineStr">
        <is>
          <t>Met</t>
        </is>
      </c>
      <c r="AF90" s="93" t="inlineStr">
        <is>
          <t xml:space="preserve">100% </t>
        </is>
      </c>
      <c r="AG90" s="202" t="inlineStr">
        <is>
          <t>Met</t>
        </is>
      </c>
      <c r="AH90" s="285" t="n">
        <v>0</v>
      </c>
      <c r="AI90" s="285" t="inlineStr">
        <is>
          <t>Not Reported</t>
        </is>
      </c>
      <c r="AJ90" s="93" t="inlineStr">
        <is>
          <t xml:space="preserve">100% </t>
        </is>
      </c>
      <c r="AK90" s="202" t="inlineStr">
        <is>
          <t>Met</t>
        </is>
      </c>
    </row>
    <row r="91">
      <c r="A91" s="26" t="inlineStr">
        <is>
          <t>BITS</t>
        </is>
      </c>
      <c r="B91" s="5" t="inlineStr">
        <is>
          <t>South 2</t>
        </is>
      </c>
      <c r="C91" s="76" t="inlineStr">
        <is>
          <t>Krishna</t>
        </is>
      </c>
      <c r="D91" s="26" t="inlineStr">
        <is>
          <t>Himanshu Srivastava</t>
        </is>
      </c>
      <c r="E91" s="26" t="inlineStr">
        <is>
          <t>Category (B)</t>
        </is>
      </c>
      <c r="F91" s="26" t="inlineStr">
        <is>
          <t>Contractual SLA</t>
        </is>
      </c>
      <c r="G91" s="26" t="inlineStr">
        <is>
          <t>No</t>
        </is>
      </c>
      <c r="H91" s="26" t="inlineStr">
        <is>
          <t xml:space="preserve">% campus interviews scheduled within timeline </t>
        </is>
      </c>
      <c r="I91" s="29" t="n">
        <v>1</v>
      </c>
      <c r="J91" s="17" t="inlineStr">
        <is>
          <t xml:space="preserve">100% </t>
        </is>
      </c>
      <c r="K91" s="28" t="inlineStr">
        <is>
          <t>Met</t>
        </is>
      </c>
      <c r="L91" s="17" t="inlineStr">
        <is>
          <t xml:space="preserve">100% </t>
        </is>
      </c>
      <c r="M91" s="28" t="inlineStr">
        <is>
          <t>Met</t>
        </is>
      </c>
      <c r="N91" s="17" t="inlineStr">
        <is>
          <t xml:space="preserve">100% </t>
        </is>
      </c>
      <c r="O91" s="28" t="inlineStr">
        <is>
          <t>Met</t>
        </is>
      </c>
      <c r="P91" s="17" t="inlineStr">
        <is>
          <t xml:space="preserve">100% </t>
        </is>
      </c>
      <c r="Q91" s="28" t="inlineStr">
        <is>
          <t>Met</t>
        </is>
      </c>
      <c r="R91" s="17" t="inlineStr">
        <is>
          <t xml:space="preserve">100% </t>
        </is>
      </c>
      <c r="S91" s="28" t="inlineStr">
        <is>
          <t>Met</t>
        </is>
      </c>
      <c r="T91" s="17" t="inlineStr">
        <is>
          <t xml:space="preserve">100% </t>
        </is>
      </c>
      <c r="U91" s="28" t="inlineStr">
        <is>
          <t>Met</t>
        </is>
      </c>
      <c r="V91" s="17" t="inlineStr">
        <is>
          <t xml:space="preserve">100% </t>
        </is>
      </c>
      <c r="W91" s="28" t="inlineStr">
        <is>
          <t>Met</t>
        </is>
      </c>
      <c r="X91" s="17" t="inlineStr">
        <is>
          <t xml:space="preserve">100% </t>
        </is>
      </c>
      <c r="Y91" s="28" t="inlineStr">
        <is>
          <t>Met</t>
        </is>
      </c>
      <c r="Z91" s="17" t="inlineStr">
        <is>
          <t xml:space="preserve">100% </t>
        </is>
      </c>
      <c r="AA91" s="28" t="inlineStr">
        <is>
          <t>Met</t>
        </is>
      </c>
      <c r="AB91" s="93" t="inlineStr">
        <is>
          <t xml:space="preserve">100% </t>
        </is>
      </c>
      <c r="AC91" s="28" t="inlineStr">
        <is>
          <t>Met</t>
        </is>
      </c>
      <c r="AD91" s="93" t="inlineStr">
        <is>
          <t xml:space="preserve">100% </t>
        </is>
      </c>
      <c r="AE91" s="28" t="inlineStr">
        <is>
          <t>Met</t>
        </is>
      </c>
      <c r="AF91" s="93" t="inlineStr">
        <is>
          <t xml:space="preserve">100% </t>
        </is>
      </c>
      <c r="AG91" s="202" t="inlineStr">
        <is>
          <t>Met</t>
        </is>
      </c>
      <c r="AH91" s="285" t="n">
        <v>0</v>
      </c>
      <c r="AI91" s="285" t="inlineStr">
        <is>
          <t>Not Reported</t>
        </is>
      </c>
      <c r="AJ91" s="93" t="inlineStr">
        <is>
          <t xml:space="preserve">100% </t>
        </is>
      </c>
      <c r="AK91" s="202" t="inlineStr">
        <is>
          <t>Met</t>
        </is>
      </c>
    </row>
    <row r="92">
      <c r="A92" s="26" t="inlineStr">
        <is>
          <t>BITS</t>
        </is>
      </c>
      <c r="B92" s="5" t="inlineStr">
        <is>
          <t>South 2</t>
        </is>
      </c>
      <c r="C92" s="76" t="inlineStr">
        <is>
          <t>Krishna</t>
        </is>
      </c>
      <c r="D92" s="26" t="inlineStr">
        <is>
          <t>Himanshu Srivastava</t>
        </is>
      </c>
      <c r="E92" s="26" t="inlineStr">
        <is>
          <t>Category (B)</t>
        </is>
      </c>
      <c r="F92" s="26" t="inlineStr">
        <is>
          <t>Contractual SLA</t>
        </is>
      </c>
      <c r="G92" s="26" t="inlineStr">
        <is>
          <t>No</t>
        </is>
      </c>
      <c r="H92" s="26" t="inlineStr">
        <is>
          <t xml:space="preserve">% candidates informed about required documents within timeline for external committee round </t>
        </is>
      </c>
      <c r="I92" s="29" t="n">
        <v>1</v>
      </c>
      <c r="J92" s="17" t="inlineStr">
        <is>
          <t xml:space="preserve">100% </t>
        </is>
      </c>
      <c r="K92" s="28" t="inlineStr">
        <is>
          <t>Met</t>
        </is>
      </c>
      <c r="L92" s="17" t="inlineStr">
        <is>
          <t xml:space="preserve">100% </t>
        </is>
      </c>
      <c r="M92" s="28" t="inlineStr">
        <is>
          <t>Met</t>
        </is>
      </c>
      <c r="N92" s="17" t="inlineStr">
        <is>
          <t xml:space="preserve">100% </t>
        </is>
      </c>
      <c r="O92" s="28" t="inlineStr">
        <is>
          <t>Met</t>
        </is>
      </c>
      <c r="P92" s="17" t="inlineStr">
        <is>
          <t xml:space="preserve">100% </t>
        </is>
      </c>
      <c r="Q92" s="28" t="inlineStr">
        <is>
          <t>Met</t>
        </is>
      </c>
      <c r="R92" s="17" t="inlineStr">
        <is>
          <t xml:space="preserve">100% </t>
        </is>
      </c>
      <c r="S92" s="28" t="inlineStr">
        <is>
          <t>Met</t>
        </is>
      </c>
      <c r="T92" s="17" t="inlineStr">
        <is>
          <t xml:space="preserve">100% </t>
        </is>
      </c>
      <c r="U92" s="28" t="inlineStr">
        <is>
          <t>Met</t>
        </is>
      </c>
      <c r="V92" s="17" t="inlineStr">
        <is>
          <t xml:space="preserve">100% </t>
        </is>
      </c>
      <c r="W92" s="28" t="inlineStr">
        <is>
          <t>Met</t>
        </is>
      </c>
      <c r="X92" s="17" t="inlineStr">
        <is>
          <t xml:space="preserve">100% </t>
        </is>
      </c>
      <c r="Y92" s="28" t="inlineStr">
        <is>
          <t>Met</t>
        </is>
      </c>
      <c r="Z92" s="17" t="inlineStr">
        <is>
          <t xml:space="preserve">100% </t>
        </is>
      </c>
      <c r="AA92" s="28" t="inlineStr">
        <is>
          <t>Met</t>
        </is>
      </c>
      <c r="AB92" s="93" t="inlineStr">
        <is>
          <t xml:space="preserve">100% </t>
        </is>
      </c>
      <c r="AC92" s="28" t="inlineStr">
        <is>
          <t>Met</t>
        </is>
      </c>
      <c r="AD92" s="93" t="inlineStr">
        <is>
          <t xml:space="preserve">100% </t>
        </is>
      </c>
      <c r="AE92" s="28" t="inlineStr">
        <is>
          <t>Met</t>
        </is>
      </c>
      <c r="AF92" s="93" t="inlineStr">
        <is>
          <t xml:space="preserve">100% </t>
        </is>
      </c>
      <c r="AG92" s="202" t="inlineStr">
        <is>
          <t>Met</t>
        </is>
      </c>
      <c r="AH92" s="285" t="n">
        <v>0</v>
      </c>
      <c r="AI92" s="285" t="inlineStr">
        <is>
          <t>Not Reported</t>
        </is>
      </c>
      <c r="AJ92" s="93" t="inlineStr">
        <is>
          <t xml:space="preserve">100% </t>
        </is>
      </c>
      <c r="AK92" s="202" t="inlineStr">
        <is>
          <t>Met</t>
        </is>
      </c>
    </row>
    <row r="93">
      <c r="A93" s="26" t="inlineStr">
        <is>
          <t>BITS</t>
        </is>
      </c>
      <c r="B93" s="5" t="inlineStr">
        <is>
          <t>South 2</t>
        </is>
      </c>
      <c r="C93" s="76" t="inlineStr">
        <is>
          <t>Krishna</t>
        </is>
      </c>
      <c r="D93" s="26" t="inlineStr">
        <is>
          <t>Himanshu Srivastava</t>
        </is>
      </c>
      <c r="E93" s="26" t="inlineStr">
        <is>
          <t>Category (B)</t>
        </is>
      </c>
      <c r="F93" s="26" t="inlineStr">
        <is>
          <t>Contractual SLA</t>
        </is>
      </c>
      <c r="G93" s="26" t="inlineStr">
        <is>
          <t>No</t>
        </is>
      </c>
      <c r="H93" s="26" t="inlineStr">
        <is>
          <t>% candidates informed about required documents within timeline for offer</t>
        </is>
      </c>
      <c r="I93" s="29" t="n">
        <v>1</v>
      </c>
      <c r="J93" s="17" t="inlineStr">
        <is>
          <t>NA</t>
        </is>
      </c>
      <c r="K93" s="20" t="inlineStr">
        <is>
          <t>NA</t>
        </is>
      </c>
      <c r="L93" s="17" t="inlineStr">
        <is>
          <t>NA</t>
        </is>
      </c>
      <c r="M93" s="20" t="inlineStr">
        <is>
          <t>NA</t>
        </is>
      </c>
      <c r="N93" s="17" t="inlineStr">
        <is>
          <t>NA</t>
        </is>
      </c>
      <c r="O93" s="20" t="inlineStr">
        <is>
          <t>NA</t>
        </is>
      </c>
      <c r="P93" s="17" t="inlineStr">
        <is>
          <t>NA</t>
        </is>
      </c>
      <c r="Q93" s="20" t="inlineStr">
        <is>
          <t>NA</t>
        </is>
      </c>
      <c r="R93" s="17" t="inlineStr">
        <is>
          <t>NA</t>
        </is>
      </c>
      <c r="S93" s="20" t="inlineStr">
        <is>
          <t>NA</t>
        </is>
      </c>
      <c r="T93" s="17" t="inlineStr">
        <is>
          <t>NA</t>
        </is>
      </c>
      <c r="U93" s="20" t="inlineStr">
        <is>
          <t>NA</t>
        </is>
      </c>
      <c r="V93" s="17" t="inlineStr">
        <is>
          <t>NA</t>
        </is>
      </c>
      <c r="W93" s="20" t="inlineStr">
        <is>
          <t>NA</t>
        </is>
      </c>
      <c r="X93" s="17" t="inlineStr">
        <is>
          <t>NA</t>
        </is>
      </c>
      <c r="Y93" s="20" t="inlineStr">
        <is>
          <t>NA</t>
        </is>
      </c>
      <c r="Z93" s="17" t="inlineStr">
        <is>
          <t>NA</t>
        </is>
      </c>
      <c r="AA93" s="20" t="inlineStr">
        <is>
          <t>NA</t>
        </is>
      </c>
      <c r="AB93" s="93" t="inlineStr">
        <is>
          <t>NA</t>
        </is>
      </c>
      <c r="AC93" s="20" t="inlineStr">
        <is>
          <t>NA</t>
        </is>
      </c>
      <c r="AD93" s="93" t="inlineStr">
        <is>
          <t>NA</t>
        </is>
      </c>
      <c r="AE93" s="126" t="inlineStr">
        <is>
          <t>NA</t>
        </is>
      </c>
      <c r="AF93" s="93" t="inlineStr">
        <is>
          <t>NA</t>
        </is>
      </c>
      <c r="AG93" s="97" t="inlineStr">
        <is>
          <t>NA</t>
        </is>
      </c>
      <c r="AH93" s="285" t="n">
        <v>0</v>
      </c>
      <c r="AI93" s="285" t="inlineStr">
        <is>
          <t>Not Reported</t>
        </is>
      </c>
      <c r="AJ93" s="93" t="inlineStr">
        <is>
          <t>NA</t>
        </is>
      </c>
      <c r="AK93" s="126" t="inlineStr">
        <is>
          <t>NA</t>
        </is>
      </c>
    </row>
    <row r="94">
      <c r="A94" s="26" t="inlineStr">
        <is>
          <t>BITS</t>
        </is>
      </c>
      <c r="B94" s="5" t="inlineStr">
        <is>
          <t>South 2</t>
        </is>
      </c>
      <c r="C94" s="76" t="inlineStr">
        <is>
          <t>Krishna</t>
        </is>
      </c>
      <c r="D94" s="26" t="inlineStr">
        <is>
          <t>Himanshu Srivastava</t>
        </is>
      </c>
      <c r="E94" s="26" t="inlineStr">
        <is>
          <t>Category (B)</t>
        </is>
      </c>
      <c r="F94" s="26" t="inlineStr">
        <is>
          <t>Contractual SLA</t>
        </is>
      </c>
      <c r="G94" s="26" t="inlineStr">
        <is>
          <t>No</t>
        </is>
      </c>
      <c r="H94" s="26" t="inlineStr">
        <is>
          <t xml:space="preserve">% resumes parsed and validated within timeline </t>
        </is>
      </c>
      <c r="I94" s="29" t="n">
        <v>1</v>
      </c>
      <c r="J94" s="17" t="inlineStr">
        <is>
          <t xml:space="preserve">100% </t>
        </is>
      </c>
      <c r="K94" s="28" t="inlineStr">
        <is>
          <t>Met</t>
        </is>
      </c>
      <c r="L94" s="17" t="inlineStr">
        <is>
          <t xml:space="preserve">100% </t>
        </is>
      </c>
      <c r="M94" s="28" t="inlineStr">
        <is>
          <t>Met</t>
        </is>
      </c>
      <c r="N94" s="17" t="inlineStr">
        <is>
          <t xml:space="preserve">100% </t>
        </is>
      </c>
      <c r="O94" s="28" t="inlineStr">
        <is>
          <t>Met</t>
        </is>
      </c>
      <c r="P94" s="17" t="inlineStr">
        <is>
          <t xml:space="preserve">100% </t>
        </is>
      </c>
      <c r="Q94" s="28" t="inlineStr">
        <is>
          <t>Met</t>
        </is>
      </c>
      <c r="R94" s="17" t="inlineStr">
        <is>
          <t xml:space="preserve">100% </t>
        </is>
      </c>
      <c r="S94" s="28" t="inlineStr">
        <is>
          <t>Met</t>
        </is>
      </c>
      <c r="T94" s="17" t="inlineStr">
        <is>
          <t xml:space="preserve">100% </t>
        </is>
      </c>
      <c r="U94" s="28" t="inlineStr">
        <is>
          <t>Met</t>
        </is>
      </c>
      <c r="V94" s="17" t="inlineStr">
        <is>
          <t xml:space="preserve">100% </t>
        </is>
      </c>
      <c r="W94" s="28" t="inlineStr">
        <is>
          <t>Met</t>
        </is>
      </c>
      <c r="X94" s="17" t="inlineStr">
        <is>
          <t xml:space="preserve">100% </t>
        </is>
      </c>
      <c r="Y94" s="28" t="inlineStr">
        <is>
          <t>Met</t>
        </is>
      </c>
      <c r="Z94" s="17" t="inlineStr">
        <is>
          <t xml:space="preserve">100% </t>
        </is>
      </c>
      <c r="AA94" s="28" t="inlineStr">
        <is>
          <t>Met</t>
        </is>
      </c>
      <c r="AB94" s="93" t="inlineStr">
        <is>
          <t xml:space="preserve">100% </t>
        </is>
      </c>
      <c r="AC94" s="28" t="inlineStr">
        <is>
          <t>Met</t>
        </is>
      </c>
      <c r="AD94" s="93" t="inlineStr">
        <is>
          <t xml:space="preserve">100% </t>
        </is>
      </c>
      <c r="AE94" s="28" t="inlineStr">
        <is>
          <t>Met</t>
        </is>
      </c>
      <c r="AF94" s="93" t="inlineStr">
        <is>
          <t xml:space="preserve">100% </t>
        </is>
      </c>
      <c r="AG94" s="202" t="inlineStr">
        <is>
          <t>Met</t>
        </is>
      </c>
      <c r="AH94" s="285" t="n">
        <v>0</v>
      </c>
      <c r="AI94" s="285" t="inlineStr">
        <is>
          <t>Not Reported</t>
        </is>
      </c>
      <c r="AJ94" s="93" t="inlineStr">
        <is>
          <t xml:space="preserve">100% </t>
        </is>
      </c>
      <c r="AK94" s="202" t="inlineStr">
        <is>
          <t>Met</t>
        </is>
      </c>
    </row>
    <row r="95">
      <c r="A95" s="21" t="inlineStr">
        <is>
          <t>Bridgestone</t>
        </is>
      </c>
      <c r="B95" s="5" t="inlineStr">
        <is>
          <t>West 2</t>
        </is>
      </c>
      <c r="C95" s="76" t="inlineStr">
        <is>
          <t>Shweta</t>
        </is>
      </c>
      <c r="D95" s="26" t="inlineStr">
        <is>
          <t>debashreeta</t>
        </is>
      </c>
      <c r="E95" s="26" t="inlineStr">
        <is>
          <t>Category (B)</t>
        </is>
      </c>
      <c r="F95" s="21" t="inlineStr">
        <is>
          <t>Internal KPI</t>
        </is>
      </c>
      <c r="G95" s="21" t="inlineStr">
        <is>
          <t>No</t>
        </is>
      </c>
      <c r="H95" s="26" t="inlineStr">
        <is>
          <t>Time to Hire</t>
        </is>
      </c>
      <c r="I95" s="11" t="inlineStr">
        <is>
          <t>100 days</t>
        </is>
      </c>
      <c r="J95" s="37" t="inlineStr">
        <is>
          <t>NA</t>
        </is>
      </c>
      <c r="K95" s="37" t="inlineStr">
        <is>
          <t>NA</t>
        </is>
      </c>
      <c r="L95" s="39" t="inlineStr">
        <is>
          <t>76 days</t>
        </is>
      </c>
      <c r="M95" s="38" t="inlineStr">
        <is>
          <t>Met</t>
        </is>
      </c>
      <c r="N95" s="38" t="n">
        <v>61</v>
      </c>
      <c r="O95" s="38" t="inlineStr">
        <is>
          <t>Met</t>
        </is>
      </c>
      <c r="P95" s="38" t="n">
        <v>65</v>
      </c>
      <c r="Q95" s="38" t="inlineStr">
        <is>
          <t>Met</t>
        </is>
      </c>
      <c r="R95" s="39" t="n">
        <v>77</v>
      </c>
      <c r="S95" s="38" t="inlineStr">
        <is>
          <t>Met</t>
        </is>
      </c>
      <c r="T95" s="71" t="n">
        <v>84</v>
      </c>
      <c r="U95" s="38" t="inlineStr">
        <is>
          <t>Met</t>
        </is>
      </c>
      <c r="V95" s="38" t="n">
        <v>117</v>
      </c>
      <c r="W95" s="38" t="inlineStr">
        <is>
          <t>Not Met</t>
        </is>
      </c>
      <c r="X95" s="38" t="inlineStr">
        <is>
          <t>Not Reported</t>
        </is>
      </c>
      <c r="Y95" s="38" t="inlineStr">
        <is>
          <t>Not Reported</t>
        </is>
      </c>
      <c r="Z95" s="17" t="n">
        <v>139</v>
      </c>
      <c r="AA95" s="28" t="inlineStr">
        <is>
          <t>Not Met</t>
        </is>
      </c>
      <c r="AB95" s="17" t="n">
        <v>127</v>
      </c>
      <c r="AC95" s="28" t="inlineStr">
        <is>
          <t>Not Met</t>
        </is>
      </c>
      <c r="AD95" s="93" t="n">
        <v>85</v>
      </c>
      <c r="AE95" s="28" t="inlineStr">
        <is>
          <t>Met</t>
        </is>
      </c>
      <c r="AF95" s="281" t="inlineStr">
        <is>
          <t>Not Reported</t>
        </is>
      </c>
      <c r="AG95" s="149" t="inlineStr">
        <is>
          <t>Not Reported</t>
        </is>
      </c>
      <c r="AH95" s="285" t="n">
        <v>0</v>
      </c>
      <c r="AI95" s="285" t="inlineStr">
        <is>
          <t>Not Reported</t>
        </is>
      </c>
      <c r="AJ95" s="95" t="inlineStr">
        <is>
          <t>Not Reported</t>
        </is>
      </c>
      <c r="AK95" s="97" t="inlineStr">
        <is>
          <t>Not Reported</t>
        </is>
      </c>
    </row>
    <row r="96">
      <c r="A96" s="21" t="inlineStr">
        <is>
          <t>Bridgestone</t>
        </is>
      </c>
      <c r="B96" s="5" t="inlineStr">
        <is>
          <t>West 2</t>
        </is>
      </c>
      <c r="C96" s="76" t="inlineStr">
        <is>
          <t>Shweta</t>
        </is>
      </c>
      <c r="D96" s="26" t="inlineStr">
        <is>
          <t>debashreeta</t>
        </is>
      </c>
      <c r="E96" s="26" t="inlineStr">
        <is>
          <t>Category (B)</t>
        </is>
      </c>
      <c r="F96" s="21" t="inlineStr">
        <is>
          <t>Contractual SLA</t>
        </is>
      </c>
      <c r="G96" s="21" t="inlineStr">
        <is>
          <t>No</t>
        </is>
      </c>
      <c r="H96" s="26" t="inlineStr">
        <is>
          <t>Time to Fill</t>
        </is>
      </c>
      <c r="I96" s="11" t="inlineStr">
        <is>
          <t>45 days</t>
        </is>
      </c>
      <c r="J96" s="14" t="inlineStr">
        <is>
          <t>NA</t>
        </is>
      </c>
      <c r="K96" s="14" t="inlineStr">
        <is>
          <t>NA</t>
        </is>
      </c>
      <c r="L96" s="17" t="inlineStr">
        <is>
          <t>38 days</t>
        </is>
      </c>
      <c r="M96" s="28" t="inlineStr">
        <is>
          <t>Met</t>
        </is>
      </c>
      <c r="N96" s="28" t="n">
        <v>42</v>
      </c>
      <c r="O96" s="28" t="inlineStr">
        <is>
          <t>Met</t>
        </is>
      </c>
      <c r="P96" s="28" t="n">
        <v>37</v>
      </c>
      <c r="Q96" s="28" t="inlineStr">
        <is>
          <t>Met</t>
        </is>
      </c>
      <c r="R96" s="17" t="n">
        <v>55</v>
      </c>
      <c r="S96" s="28" t="inlineStr">
        <is>
          <t>Not Met</t>
        </is>
      </c>
      <c r="T96" s="9" t="n">
        <v>48</v>
      </c>
      <c r="U96" s="28" t="inlineStr">
        <is>
          <t>Met</t>
        </is>
      </c>
      <c r="V96" s="28" t="n">
        <v>25</v>
      </c>
      <c r="W96" s="28" t="inlineStr">
        <is>
          <t>Met</t>
        </is>
      </c>
      <c r="X96" s="28" t="inlineStr">
        <is>
          <t>Not Reported</t>
        </is>
      </c>
      <c r="Y96" s="28" t="inlineStr">
        <is>
          <t>Not Reported</t>
        </is>
      </c>
      <c r="Z96" s="17" t="n">
        <v>35</v>
      </c>
      <c r="AA96" s="28" t="inlineStr">
        <is>
          <t>Met</t>
        </is>
      </c>
      <c r="AB96" s="17" t="n">
        <v>39</v>
      </c>
      <c r="AC96" s="28" t="inlineStr">
        <is>
          <t>Met</t>
        </is>
      </c>
      <c r="AD96" s="93" t="n">
        <v>34</v>
      </c>
      <c r="AE96" s="28" t="inlineStr">
        <is>
          <t>Met</t>
        </is>
      </c>
      <c r="AF96" s="281" t="inlineStr">
        <is>
          <t>Not Reported</t>
        </is>
      </c>
      <c r="AG96" s="149" t="inlineStr">
        <is>
          <t>Not Reported</t>
        </is>
      </c>
      <c r="AH96" s="285" t="n">
        <v>0</v>
      </c>
      <c r="AI96" s="285" t="inlineStr">
        <is>
          <t>Not Reported</t>
        </is>
      </c>
      <c r="AJ96" s="95" t="inlineStr">
        <is>
          <t>Not Reported</t>
        </is>
      </c>
      <c r="AK96" s="97" t="inlineStr">
        <is>
          <t>Not Reported</t>
        </is>
      </c>
    </row>
    <row r="97">
      <c r="A97" s="21" t="inlineStr">
        <is>
          <t>Bridgestone</t>
        </is>
      </c>
      <c r="B97" s="5" t="inlineStr">
        <is>
          <t>West 2</t>
        </is>
      </c>
      <c r="C97" s="76" t="inlineStr">
        <is>
          <t>Shweta</t>
        </is>
      </c>
      <c r="D97" s="26" t="inlineStr">
        <is>
          <t>debashreeta</t>
        </is>
      </c>
      <c r="E97" s="26" t="inlineStr">
        <is>
          <t>Category (B)</t>
        </is>
      </c>
      <c r="F97" s="21" t="inlineStr">
        <is>
          <t>Contractual SLA</t>
        </is>
      </c>
      <c r="G97" s="21" t="inlineStr">
        <is>
          <t>No</t>
        </is>
      </c>
      <c r="H97" s="26" t="inlineStr">
        <is>
          <t xml:space="preserve">Ageing </t>
        </is>
      </c>
      <c r="I97" s="11" t="n">
        <v>0.3</v>
      </c>
      <c r="J97" s="14" t="inlineStr">
        <is>
          <t>NA</t>
        </is>
      </c>
      <c r="K97" s="14" t="inlineStr">
        <is>
          <t>NA</t>
        </is>
      </c>
      <c r="L97" s="45" t="n">
        <v>0.2333333333333333</v>
      </c>
      <c r="M97" s="28" t="inlineStr">
        <is>
          <t>Met</t>
        </is>
      </c>
      <c r="N97" s="52" t="n">
        <v>0.21</v>
      </c>
      <c r="O97" s="28" t="inlineStr">
        <is>
          <t>Met</t>
        </is>
      </c>
      <c r="P97" s="52" t="n">
        <v>0.19</v>
      </c>
      <c r="Q97" s="28" t="inlineStr">
        <is>
          <t>Met</t>
        </is>
      </c>
      <c r="R97" s="29" t="n">
        <v>0.09</v>
      </c>
      <c r="S97" s="28" t="inlineStr">
        <is>
          <t>Met</t>
        </is>
      </c>
      <c r="T97" s="11" t="n">
        <v>0.1176470588235294</v>
      </c>
      <c r="U97" s="28" t="inlineStr">
        <is>
          <t>Met</t>
        </is>
      </c>
      <c r="V97" s="29" t="n">
        <v>0</v>
      </c>
      <c r="W97" s="28" t="inlineStr">
        <is>
          <t>Met</t>
        </is>
      </c>
      <c r="X97" s="28" t="inlineStr">
        <is>
          <t>Not Reported</t>
        </is>
      </c>
      <c r="Y97" s="28" t="inlineStr">
        <is>
          <t>Not Reported</t>
        </is>
      </c>
      <c r="Z97" s="45" t="n">
        <v>0.08333333333333333</v>
      </c>
      <c r="AA97" s="28" t="inlineStr">
        <is>
          <t>Met</t>
        </is>
      </c>
      <c r="AB97" s="45" t="n">
        <v>0</v>
      </c>
      <c r="AC97" s="28" t="inlineStr">
        <is>
          <t>Met</t>
        </is>
      </c>
      <c r="AD97" s="130">
        <f>24/143</f>
        <v/>
      </c>
      <c r="AE97" s="28" t="inlineStr">
        <is>
          <t>Met</t>
        </is>
      </c>
      <c r="AF97" s="281" t="inlineStr">
        <is>
          <t>Not Reported</t>
        </is>
      </c>
      <c r="AG97" s="149" t="inlineStr">
        <is>
          <t>Not Reported</t>
        </is>
      </c>
      <c r="AH97" s="285" t="n">
        <v>0</v>
      </c>
      <c r="AI97" s="285" t="inlineStr">
        <is>
          <t>Not Reported</t>
        </is>
      </c>
      <c r="AJ97" s="95" t="inlineStr">
        <is>
          <t>Not Reported</t>
        </is>
      </c>
      <c r="AK97" s="127" t="inlineStr">
        <is>
          <t>Not Reported</t>
        </is>
      </c>
    </row>
    <row r="98">
      <c r="A98" s="21" t="inlineStr">
        <is>
          <t>Bridgestone</t>
        </is>
      </c>
      <c r="B98" s="5" t="inlineStr">
        <is>
          <t>West 2</t>
        </is>
      </c>
      <c r="C98" s="76" t="inlineStr">
        <is>
          <t>Shweta</t>
        </is>
      </c>
      <c r="D98" s="26" t="inlineStr">
        <is>
          <t>debashreeta</t>
        </is>
      </c>
      <c r="E98" s="26" t="inlineStr">
        <is>
          <t>Category (B)</t>
        </is>
      </c>
      <c r="F98" s="21" t="inlineStr">
        <is>
          <t>Contractual SLA</t>
        </is>
      </c>
      <c r="G98" s="21" t="inlineStr">
        <is>
          <t>No</t>
        </is>
      </c>
      <c r="H98" s="26" t="inlineStr">
        <is>
          <t>First Time Right Ratio</t>
        </is>
      </c>
      <c r="I98" s="11" t="n">
        <v>0.7</v>
      </c>
      <c r="J98" s="14" t="inlineStr">
        <is>
          <t>NA</t>
        </is>
      </c>
      <c r="K98" s="14" t="inlineStr">
        <is>
          <t>NA</t>
        </is>
      </c>
      <c r="L98" s="72" t="n">
        <v>0.8333333333333334</v>
      </c>
      <c r="M98" s="28" t="inlineStr">
        <is>
          <t>Met</t>
        </is>
      </c>
      <c r="N98" s="52" t="n">
        <v>0.66</v>
      </c>
      <c r="O98" s="28" t="inlineStr">
        <is>
          <t>Not Met</t>
        </is>
      </c>
      <c r="P98" s="52" t="n">
        <v>0.74</v>
      </c>
      <c r="Q98" s="28" t="inlineStr">
        <is>
          <t>Met</t>
        </is>
      </c>
      <c r="R98" s="20" t="n">
        <v>0.695364238410596</v>
      </c>
      <c r="S98" s="28" t="inlineStr">
        <is>
          <t>Met</t>
        </is>
      </c>
      <c r="T98" s="11" t="n">
        <v>0.9636363636363636</v>
      </c>
      <c r="U98" s="28" t="inlineStr">
        <is>
          <t>Met</t>
        </is>
      </c>
      <c r="V98" s="52" t="n">
        <v>0.9</v>
      </c>
      <c r="W98" s="28" t="inlineStr">
        <is>
          <t>Met</t>
        </is>
      </c>
      <c r="X98" s="28" t="inlineStr">
        <is>
          <t>Not Reported</t>
        </is>
      </c>
      <c r="Y98" s="28" t="inlineStr">
        <is>
          <t>Not Reported</t>
        </is>
      </c>
      <c r="Z98" s="65" t="n">
        <v>0.9577464788732394</v>
      </c>
      <c r="AA98" s="28" t="inlineStr">
        <is>
          <t>Met</t>
        </is>
      </c>
      <c r="AB98" s="65" t="n">
        <v>0.76</v>
      </c>
      <c r="AC98" s="28" t="inlineStr">
        <is>
          <t>Met</t>
        </is>
      </c>
      <c r="AD98" s="131">
        <f>30/41</f>
        <v/>
      </c>
      <c r="AE98" s="28" t="inlineStr">
        <is>
          <t>Met</t>
        </is>
      </c>
      <c r="AF98" s="281" t="inlineStr">
        <is>
          <t>Not Reported</t>
        </is>
      </c>
      <c r="AG98" s="149" t="inlineStr">
        <is>
          <t>Not Reported</t>
        </is>
      </c>
      <c r="AH98" s="285" t="n">
        <v>0</v>
      </c>
      <c r="AI98" s="285" t="inlineStr">
        <is>
          <t>Not Reported</t>
        </is>
      </c>
      <c r="AJ98" s="95" t="inlineStr">
        <is>
          <t>Not Reported</t>
        </is>
      </c>
      <c r="AK98" s="126" t="inlineStr">
        <is>
          <t>Not Reported</t>
        </is>
      </c>
    </row>
    <row r="99">
      <c r="A99" s="21" t="inlineStr">
        <is>
          <t>Bridgestone</t>
        </is>
      </c>
      <c r="B99" s="5" t="inlineStr">
        <is>
          <t>West 2</t>
        </is>
      </c>
      <c r="C99" s="76" t="inlineStr">
        <is>
          <t>Shweta</t>
        </is>
      </c>
      <c r="D99" s="26" t="inlineStr">
        <is>
          <t>debashreeta</t>
        </is>
      </c>
      <c r="E99" s="26" t="inlineStr">
        <is>
          <t>Category (B)</t>
        </is>
      </c>
      <c r="F99" s="21" t="inlineStr">
        <is>
          <t>Internal KPI</t>
        </is>
      </c>
      <c r="G99" s="21" t="inlineStr">
        <is>
          <t>No</t>
        </is>
      </c>
      <c r="H99" s="26" t="inlineStr">
        <is>
          <t>Hit Ratio</t>
        </is>
      </c>
      <c r="I99" s="11" t="n">
        <v>0.06</v>
      </c>
      <c r="J99" s="14" t="inlineStr">
        <is>
          <t>NA</t>
        </is>
      </c>
      <c r="K99" s="14" t="inlineStr">
        <is>
          <t>NA</t>
        </is>
      </c>
      <c r="L99" s="66" t="n">
        <v>0.119047619047619</v>
      </c>
      <c r="M99" s="28" t="inlineStr">
        <is>
          <t>Met</t>
        </is>
      </c>
      <c r="N99" s="52" t="n">
        <v>0.1</v>
      </c>
      <c r="O99" s="28" t="inlineStr">
        <is>
          <t>Met</t>
        </is>
      </c>
      <c r="P99" s="52" t="n">
        <v>0.14</v>
      </c>
      <c r="Q99" s="28" t="inlineStr">
        <is>
          <t>Met</t>
        </is>
      </c>
      <c r="R99" s="66" t="n">
        <v>0.08609271523178808</v>
      </c>
      <c r="S99" s="28" t="inlineStr">
        <is>
          <t>Met</t>
        </is>
      </c>
      <c r="T99" s="11" t="n">
        <v>0.2727272727272727</v>
      </c>
      <c r="U99" s="28" t="inlineStr">
        <is>
          <t>Met</t>
        </is>
      </c>
      <c r="V99" s="52" t="n">
        <v>0.07000000000000001</v>
      </c>
      <c r="W99" s="28" t="inlineStr">
        <is>
          <t>Met</t>
        </is>
      </c>
      <c r="X99" s="28" t="inlineStr">
        <is>
          <t>Not Reported</t>
        </is>
      </c>
      <c r="Y99" s="28" t="inlineStr">
        <is>
          <t>Not Reported</t>
        </is>
      </c>
      <c r="Z99" s="73" t="n">
        <v>0.07042253521126761</v>
      </c>
      <c r="AA99" s="28" t="inlineStr">
        <is>
          <t>Met</t>
        </is>
      </c>
      <c r="AB99" s="73" t="n">
        <v>0.09</v>
      </c>
      <c r="AC99" s="28" t="inlineStr">
        <is>
          <t>Met</t>
        </is>
      </c>
      <c r="AD99" s="132">
        <f>6/40</f>
        <v/>
      </c>
      <c r="AE99" s="28" t="inlineStr">
        <is>
          <t>Met</t>
        </is>
      </c>
      <c r="AF99" s="281" t="inlineStr">
        <is>
          <t>Not Reported</t>
        </is>
      </c>
      <c r="AG99" s="149" t="inlineStr">
        <is>
          <t>Not Reported</t>
        </is>
      </c>
      <c r="AH99" s="285" t="n">
        <v>0</v>
      </c>
      <c r="AI99" s="285" t="inlineStr">
        <is>
          <t>Not Reported</t>
        </is>
      </c>
      <c r="AJ99" s="95" t="inlineStr">
        <is>
          <t>Not Reported</t>
        </is>
      </c>
      <c r="AK99" s="126" t="inlineStr">
        <is>
          <t>Not Reported</t>
        </is>
      </c>
    </row>
    <row r="100">
      <c r="A100" s="164" t="inlineStr">
        <is>
          <t>Bridgestone</t>
        </is>
      </c>
      <c r="B100" s="165" t="inlineStr">
        <is>
          <t>West 2</t>
        </is>
      </c>
      <c r="C100" s="278" t="inlineStr">
        <is>
          <t>Shweta</t>
        </is>
      </c>
      <c r="D100" s="166" t="inlineStr">
        <is>
          <t>debashreeta</t>
        </is>
      </c>
      <c r="E100" s="166" t="inlineStr">
        <is>
          <t>Category (B)</t>
        </is>
      </c>
      <c r="F100" s="164" t="inlineStr">
        <is>
          <t>Contractual SLA</t>
        </is>
      </c>
      <c r="G100" s="164" t="inlineStr">
        <is>
          <t>No</t>
        </is>
      </c>
      <c r="H100" s="166" t="inlineStr">
        <is>
          <t>Offer Drop</t>
        </is>
      </c>
      <c r="I100" s="173" t="n">
        <v>0.05</v>
      </c>
      <c r="J100" s="174" t="inlineStr">
        <is>
          <t>NA</t>
        </is>
      </c>
      <c r="K100" s="174" t="inlineStr">
        <is>
          <t>NA</t>
        </is>
      </c>
      <c r="L100" s="175" t="n">
        <v>0.04761904761904762</v>
      </c>
      <c r="M100" s="170" t="inlineStr">
        <is>
          <t>Met</t>
        </is>
      </c>
      <c r="N100" s="176" t="n">
        <v>0.05</v>
      </c>
      <c r="O100" s="170" t="inlineStr">
        <is>
          <t>Met</t>
        </is>
      </c>
      <c r="P100" s="176" t="n">
        <v>0.05</v>
      </c>
      <c r="Q100" s="170" t="inlineStr">
        <is>
          <t>Met</t>
        </is>
      </c>
      <c r="R100" s="169" t="n">
        <v>0</v>
      </c>
      <c r="S100" s="170" t="inlineStr">
        <is>
          <t>Met</t>
        </is>
      </c>
      <c r="T100" s="173" t="n">
        <v>0.2</v>
      </c>
      <c r="U100" s="170" t="inlineStr">
        <is>
          <t>Not Met</t>
        </is>
      </c>
      <c r="V100" s="176" t="n">
        <v>0.09090909090909091</v>
      </c>
      <c r="W100" s="170" t="inlineStr">
        <is>
          <t>Not Met</t>
        </is>
      </c>
      <c r="X100" s="170" t="inlineStr">
        <is>
          <t>Not Reported</t>
        </is>
      </c>
      <c r="Y100" s="170" t="inlineStr">
        <is>
          <t>Not Reported</t>
        </is>
      </c>
      <c r="Z100" s="175" t="n">
        <v>0.1111111111111111</v>
      </c>
      <c r="AA100" s="170" t="inlineStr">
        <is>
          <t>Not Met</t>
        </is>
      </c>
      <c r="AB100" s="175" t="n">
        <v>0</v>
      </c>
      <c r="AC100" s="170" t="inlineStr">
        <is>
          <t>Met</t>
        </is>
      </c>
      <c r="AD100" s="177" t="n">
        <v>0.17</v>
      </c>
      <c r="AE100" s="170" t="inlineStr">
        <is>
          <t>Not Met</t>
        </is>
      </c>
      <c r="AF100" s="281" t="inlineStr">
        <is>
          <t>Not Reported</t>
        </is>
      </c>
      <c r="AG100" s="149" t="inlineStr">
        <is>
          <t>Not Reported</t>
        </is>
      </c>
      <c r="AH100" s="285" t="n">
        <v>0</v>
      </c>
      <c r="AI100" s="285" t="inlineStr">
        <is>
          <t>Not Reported</t>
        </is>
      </c>
      <c r="AJ100" s="95" t="inlineStr">
        <is>
          <t>Not Reported</t>
        </is>
      </c>
      <c r="AK100" s="126" t="inlineStr">
        <is>
          <t>Not Reported</t>
        </is>
      </c>
    </row>
    <row r="101">
      <c r="A101" s="21" t="inlineStr">
        <is>
          <t>Bridgestone</t>
        </is>
      </c>
      <c r="B101" s="5" t="inlineStr">
        <is>
          <t>West 2</t>
        </is>
      </c>
      <c r="C101" s="76" t="inlineStr">
        <is>
          <t>Shweta</t>
        </is>
      </c>
      <c r="D101" s="26" t="inlineStr">
        <is>
          <t>debashreeta</t>
        </is>
      </c>
      <c r="E101" s="26" t="inlineStr">
        <is>
          <t>Category (B)</t>
        </is>
      </c>
      <c r="F101" s="21" t="inlineStr">
        <is>
          <t>Contractual SLA</t>
        </is>
      </c>
      <c r="G101" s="21" t="inlineStr">
        <is>
          <t>No</t>
        </is>
      </c>
      <c r="H101" s="26" t="inlineStr">
        <is>
          <t>Diversity (Optional)</t>
        </is>
      </c>
      <c r="I101" s="11" t="inlineStr">
        <is>
          <t>Not Shared</t>
        </is>
      </c>
      <c r="J101" s="14" t="inlineStr">
        <is>
          <t>NA</t>
        </is>
      </c>
      <c r="K101" s="14" t="inlineStr">
        <is>
          <t>NA</t>
        </is>
      </c>
      <c r="L101" s="14" t="inlineStr">
        <is>
          <t>Not reported</t>
        </is>
      </c>
      <c r="M101" s="28" t="inlineStr">
        <is>
          <t>Not Reported</t>
        </is>
      </c>
      <c r="N101" s="28" t="inlineStr">
        <is>
          <t>Not Reported</t>
        </is>
      </c>
      <c r="O101" s="28" t="inlineStr">
        <is>
          <t>Not Reported</t>
        </is>
      </c>
      <c r="P101" s="28" t="inlineStr">
        <is>
          <t>Not Reported</t>
        </is>
      </c>
      <c r="Q101" s="28" t="inlineStr">
        <is>
          <t>Not Reported</t>
        </is>
      </c>
      <c r="R101" s="28" t="inlineStr">
        <is>
          <t>Not Reported</t>
        </is>
      </c>
      <c r="S101" s="28" t="inlineStr">
        <is>
          <t xml:space="preserve">Not Reported </t>
        </is>
      </c>
      <c r="T101" s="28" t="inlineStr">
        <is>
          <t>Not Reported</t>
        </is>
      </c>
      <c r="U101" s="28" t="inlineStr">
        <is>
          <t>Not Reported</t>
        </is>
      </c>
      <c r="V101" s="28" t="inlineStr">
        <is>
          <t>Not Reported</t>
        </is>
      </c>
      <c r="W101" s="28" t="inlineStr">
        <is>
          <t>Not Reported</t>
        </is>
      </c>
      <c r="X101" s="28" t="inlineStr">
        <is>
          <t>Not Reported</t>
        </is>
      </c>
      <c r="Y101" s="28" t="inlineStr">
        <is>
          <t>Not Reported</t>
        </is>
      </c>
      <c r="Z101" s="28" t="inlineStr">
        <is>
          <t>Not Reported</t>
        </is>
      </c>
      <c r="AA101" s="28" t="inlineStr">
        <is>
          <t>Not Reported</t>
        </is>
      </c>
      <c r="AB101" s="97" t="inlineStr">
        <is>
          <t>Not Reported</t>
        </is>
      </c>
      <c r="AC101" s="90" t="inlineStr">
        <is>
          <t>Not Reported</t>
        </is>
      </c>
      <c r="AD101" s="97" t="inlineStr">
        <is>
          <t>Not Reported</t>
        </is>
      </c>
      <c r="AE101" s="97" t="inlineStr">
        <is>
          <t>Not Reported</t>
        </is>
      </c>
      <c r="AF101" s="281" t="inlineStr">
        <is>
          <t>Not Reported</t>
        </is>
      </c>
      <c r="AG101" s="149" t="inlineStr">
        <is>
          <t>Not Reported</t>
        </is>
      </c>
      <c r="AH101" s="285" t="n">
        <v>0</v>
      </c>
      <c r="AI101" s="285" t="inlineStr">
        <is>
          <t>Not Reported</t>
        </is>
      </c>
      <c r="AJ101" s="95" t="inlineStr">
        <is>
          <t>Not Reported</t>
        </is>
      </c>
      <c r="AK101" s="97" t="inlineStr">
        <is>
          <t>Not Reported</t>
        </is>
      </c>
    </row>
    <row r="102">
      <c r="A102" s="21" t="inlineStr">
        <is>
          <t>Bridgestone</t>
        </is>
      </c>
      <c r="B102" s="5" t="inlineStr">
        <is>
          <t>West 2</t>
        </is>
      </c>
      <c r="C102" s="76" t="inlineStr">
        <is>
          <t>Shweta</t>
        </is>
      </c>
      <c r="D102" s="26" t="inlineStr">
        <is>
          <t>debashreeta</t>
        </is>
      </c>
      <c r="E102" s="26" t="inlineStr">
        <is>
          <t>Category (B)</t>
        </is>
      </c>
      <c r="F102" s="21" t="inlineStr">
        <is>
          <t>Contractual SLA</t>
        </is>
      </c>
      <c r="G102" s="21" t="inlineStr">
        <is>
          <t>No</t>
        </is>
      </c>
      <c r="H102" s="26" t="inlineStr">
        <is>
          <t xml:space="preserve">Fulfilment </t>
        </is>
      </c>
      <c r="I102" s="11" t="n">
        <v>0.8</v>
      </c>
      <c r="J102" s="14" t="inlineStr">
        <is>
          <t>NA</t>
        </is>
      </c>
      <c r="K102" s="14" t="inlineStr">
        <is>
          <t>NA</t>
        </is>
      </c>
      <c r="L102" s="14" t="inlineStr">
        <is>
          <t>Not reported</t>
        </is>
      </c>
      <c r="M102" s="28" t="inlineStr">
        <is>
          <t>Not Reported</t>
        </is>
      </c>
      <c r="N102" s="28" t="inlineStr">
        <is>
          <t>Not Reported</t>
        </is>
      </c>
      <c r="O102" s="28" t="inlineStr">
        <is>
          <t>Not Reported</t>
        </is>
      </c>
      <c r="P102" s="28" t="inlineStr">
        <is>
          <t>Not Reported</t>
        </is>
      </c>
      <c r="Q102" s="28" t="inlineStr">
        <is>
          <t>Not Reported</t>
        </is>
      </c>
      <c r="R102" s="28" t="inlineStr">
        <is>
          <t>Not Reported</t>
        </is>
      </c>
      <c r="S102" s="28" t="inlineStr">
        <is>
          <t xml:space="preserve">Not Reported </t>
        </is>
      </c>
      <c r="T102" s="28" t="inlineStr">
        <is>
          <t>Not Reported</t>
        </is>
      </c>
      <c r="U102" s="28" t="inlineStr">
        <is>
          <t>Not Reported</t>
        </is>
      </c>
      <c r="V102" s="28" t="inlineStr">
        <is>
          <t>Not Reported</t>
        </is>
      </c>
      <c r="W102" s="28" t="inlineStr">
        <is>
          <t>Not Reported</t>
        </is>
      </c>
      <c r="X102" s="28" t="inlineStr">
        <is>
          <t>Not Reported</t>
        </is>
      </c>
      <c r="Y102" s="28" t="inlineStr">
        <is>
          <t>Not Reported</t>
        </is>
      </c>
      <c r="Z102" s="28" t="inlineStr">
        <is>
          <t>Not Reported</t>
        </is>
      </c>
      <c r="AA102" s="28" t="inlineStr">
        <is>
          <t>Not Reported</t>
        </is>
      </c>
      <c r="AB102" s="97" t="inlineStr">
        <is>
          <t>Not Reported</t>
        </is>
      </c>
      <c r="AC102" s="90" t="inlineStr">
        <is>
          <t>Not Reported</t>
        </is>
      </c>
      <c r="AD102" s="97" t="inlineStr">
        <is>
          <t>Not Reported</t>
        </is>
      </c>
      <c r="AE102" s="126" t="inlineStr">
        <is>
          <t>Not Reported</t>
        </is>
      </c>
      <c r="AF102" s="281" t="inlineStr">
        <is>
          <t>Not Reported</t>
        </is>
      </c>
      <c r="AG102" s="149" t="inlineStr">
        <is>
          <t>Not Reported</t>
        </is>
      </c>
      <c r="AH102" s="285" t="n">
        <v>0</v>
      </c>
      <c r="AI102" s="285" t="inlineStr">
        <is>
          <t>Not Reported</t>
        </is>
      </c>
      <c r="AJ102" s="95" t="inlineStr">
        <is>
          <t>Not Reported</t>
        </is>
      </c>
      <c r="AK102" s="126" t="inlineStr">
        <is>
          <t>Not Reported</t>
        </is>
      </c>
    </row>
    <row r="103">
      <c r="A103" s="204" t="inlineStr">
        <is>
          <t>DP World</t>
        </is>
      </c>
      <c r="B103" s="205" t="inlineStr">
        <is>
          <t>West 1</t>
        </is>
      </c>
      <c r="C103" s="279" t="inlineStr">
        <is>
          <t>Geetu</t>
        </is>
      </c>
      <c r="D103" s="206" t="inlineStr">
        <is>
          <t>Sahil/Rishab</t>
        </is>
      </c>
      <c r="E103" s="206" t="inlineStr">
        <is>
          <t>Category (A)</t>
        </is>
      </c>
      <c r="F103" s="204" t="inlineStr">
        <is>
          <t>Internal KPI</t>
        </is>
      </c>
      <c r="G103" s="204" t="inlineStr">
        <is>
          <t>No</t>
        </is>
      </c>
      <c r="H103" s="210" t="inlineStr">
        <is>
          <t>Time to Hire</t>
        </is>
      </c>
      <c r="I103" s="211" t="inlineStr">
        <is>
          <t>90 Days</t>
        </is>
      </c>
      <c r="J103" s="212" t="inlineStr">
        <is>
          <t xml:space="preserve">60 Days </t>
        </is>
      </c>
      <c r="K103" s="202" t="inlineStr">
        <is>
          <t>Met</t>
        </is>
      </c>
      <c r="L103" s="213" t="inlineStr">
        <is>
          <t>64 Days</t>
        </is>
      </c>
      <c r="M103" s="202" t="inlineStr">
        <is>
          <t>Met</t>
        </is>
      </c>
      <c r="N103" s="213" t="inlineStr">
        <is>
          <t>62 Days</t>
        </is>
      </c>
      <c r="O103" s="202" t="inlineStr">
        <is>
          <t>Met</t>
        </is>
      </c>
      <c r="P103" s="213" t="inlineStr">
        <is>
          <t>59 Days</t>
        </is>
      </c>
      <c r="Q103" s="202" t="inlineStr">
        <is>
          <t>Met</t>
        </is>
      </c>
      <c r="R103" s="213" t="inlineStr">
        <is>
          <t>65 Days</t>
        </is>
      </c>
      <c r="S103" s="202" t="inlineStr">
        <is>
          <t>Met</t>
        </is>
      </c>
      <c r="T103" s="202" t="inlineStr">
        <is>
          <t>Not Reported</t>
        </is>
      </c>
      <c r="U103" s="202" t="inlineStr">
        <is>
          <t>Not Reported</t>
        </is>
      </c>
      <c r="V103" s="202" t="inlineStr">
        <is>
          <t>Not Reported</t>
        </is>
      </c>
      <c r="W103" s="202" t="inlineStr">
        <is>
          <t>Not Reported</t>
        </is>
      </c>
      <c r="X103" s="202" t="inlineStr">
        <is>
          <t>Not Reported</t>
        </is>
      </c>
      <c r="Y103" s="202" t="inlineStr">
        <is>
          <t>Not Reported</t>
        </is>
      </c>
      <c r="Z103" s="213" t="inlineStr">
        <is>
          <t>53 Days</t>
        </is>
      </c>
      <c r="AA103" s="202" t="inlineStr">
        <is>
          <t>Met</t>
        </is>
      </c>
      <c r="AB103" s="213" t="n">
        <v>62</v>
      </c>
      <c r="AC103" s="202" t="inlineStr">
        <is>
          <t>Met</t>
        </is>
      </c>
      <c r="AD103" s="163" t="n">
        <v>50</v>
      </c>
      <c r="AE103" s="202" t="inlineStr">
        <is>
          <t>Met</t>
        </is>
      </c>
      <c r="AF103" s="95" t="n">
        <v>63</v>
      </c>
      <c r="AG103" s="202" t="inlineStr">
        <is>
          <t>Met</t>
        </is>
      </c>
      <c r="AH103" s="285" t="n">
        <v>0</v>
      </c>
      <c r="AI103" s="285" t="inlineStr">
        <is>
          <t>Not Reported</t>
        </is>
      </c>
      <c r="AJ103" s="17" t="n">
        <v>55</v>
      </c>
      <c r="AK103" s="202" t="inlineStr">
        <is>
          <t>Met</t>
        </is>
      </c>
    </row>
    <row r="104">
      <c r="A104" s="21" t="inlineStr">
        <is>
          <t>DP World</t>
        </is>
      </c>
      <c r="B104" s="5" t="inlineStr">
        <is>
          <t>West 1</t>
        </is>
      </c>
      <c r="C104" s="76" t="inlineStr">
        <is>
          <t>Geetu</t>
        </is>
      </c>
      <c r="D104" s="26" t="inlineStr">
        <is>
          <t>Sahil/Rishab</t>
        </is>
      </c>
      <c r="E104" s="26" t="inlineStr">
        <is>
          <t>Category (A)</t>
        </is>
      </c>
      <c r="F104" s="21" t="inlineStr">
        <is>
          <t>Internal KPI</t>
        </is>
      </c>
      <c r="G104" s="21" t="inlineStr">
        <is>
          <t>No</t>
        </is>
      </c>
      <c r="H104" s="27" t="inlineStr">
        <is>
          <t>Time to Fill</t>
        </is>
      </c>
      <c r="I104" s="11" t="inlineStr">
        <is>
          <t>40 Days</t>
        </is>
      </c>
      <c r="J104" s="54" t="inlineStr">
        <is>
          <t xml:space="preserve">26 Days </t>
        </is>
      </c>
      <c r="K104" s="28" t="inlineStr">
        <is>
          <t>Met</t>
        </is>
      </c>
      <c r="L104" s="17" t="inlineStr">
        <is>
          <t>35 Days</t>
        </is>
      </c>
      <c r="M104" s="28" t="inlineStr">
        <is>
          <t>Met</t>
        </is>
      </c>
      <c r="N104" s="17" t="inlineStr">
        <is>
          <t>42 Days</t>
        </is>
      </c>
      <c r="O104" s="28" t="inlineStr">
        <is>
          <t>Not Met</t>
        </is>
      </c>
      <c r="P104" s="17" t="inlineStr">
        <is>
          <t>39 Days</t>
        </is>
      </c>
      <c r="Q104" s="28" t="inlineStr">
        <is>
          <t>Met</t>
        </is>
      </c>
      <c r="R104" s="17" t="inlineStr">
        <is>
          <t>42 Days</t>
        </is>
      </c>
      <c r="S104" s="28" t="inlineStr">
        <is>
          <t>Not Met</t>
        </is>
      </c>
      <c r="T104" s="28" t="inlineStr">
        <is>
          <t>Not Reported</t>
        </is>
      </c>
      <c r="U104" s="28" t="inlineStr">
        <is>
          <t>Not Reported</t>
        </is>
      </c>
      <c r="V104" s="28" t="inlineStr">
        <is>
          <t>Not Reported</t>
        </is>
      </c>
      <c r="W104" s="28" t="inlineStr">
        <is>
          <t>Not Reported</t>
        </is>
      </c>
      <c r="X104" s="28" t="inlineStr">
        <is>
          <t>Not Reported</t>
        </is>
      </c>
      <c r="Y104" s="28" t="inlineStr">
        <is>
          <t>Not Reported</t>
        </is>
      </c>
      <c r="Z104" s="17" t="inlineStr">
        <is>
          <t>34 Days</t>
        </is>
      </c>
      <c r="AA104" s="28" t="inlineStr">
        <is>
          <t>Met</t>
        </is>
      </c>
      <c r="AB104" s="17" t="n">
        <v>37</v>
      </c>
      <c r="AC104" s="28" t="inlineStr">
        <is>
          <t>Met</t>
        </is>
      </c>
      <c r="AD104" s="97" t="n">
        <v>32</v>
      </c>
      <c r="AE104" s="28" t="inlineStr">
        <is>
          <t>Met</t>
        </is>
      </c>
      <c r="AF104" s="95" t="n">
        <v>37</v>
      </c>
      <c r="AG104" s="202" t="inlineStr">
        <is>
          <t>Met</t>
        </is>
      </c>
      <c r="AH104" s="285" t="n">
        <v>0</v>
      </c>
      <c r="AI104" s="285" t="inlineStr">
        <is>
          <t>Not Reported</t>
        </is>
      </c>
      <c r="AJ104" s="17" t="n">
        <v>35</v>
      </c>
      <c r="AK104" s="202" t="inlineStr">
        <is>
          <t>Met</t>
        </is>
      </c>
    </row>
    <row r="105">
      <c r="A105" s="21" t="inlineStr">
        <is>
          <t>DP World</t>
        </is>
      </c>
      <c r="B105" s="5" t="inlineStr">
        <is>
          <t>West 1</t>
        </is>
      </c>
      <c r="C105" s="76" t="inlineStr">
        <is>
          <t>Geetu</t>
        </is>
      </c>
      <c r="D105" s="26" t="inlineStr">
        <is>
          <t>Sahil/Rishab</t>
        </is>
      </c>
      <c r="E105" s="26" t="inlineStr">
        <is>
          <t>Category (A)</t>
        </is>
      </c>
      <c r="F105" s="21" t="inlineStr">
        <is>
          <t>Internal KPI</t>
        </is>
      </c>
      <c r="G105" s="21" t="inlineStr">
        <is>
          <t>No</t>
        </is>
      </c>
      <c r="H105" s="21" t="inlineStr">
        <is>
          <t>Ageing</t>
        </is>
      </c>
      <c r="I105" s="11" t="n">
        <v>0.3</v>
      </c>
      <c r="J105" s="45" t="n">
        <v>0.4571428571428571</v>
      </c>
      <c r="K105" s="28" t="inlineStr">
        <is>
          <t>Not Met</t>
        </is>
      </c>
      <c r="L105" s="45" t="n">
        <v>0.3</v>
      </c>
      <c r="M105" s="28" t="inlineStr">
        <is>
          <t>Met</t>
        </is>
      </c>
      <c r="N105" s="45" t="n">
        <v>0.1951219512195122</v>
      </c>
      <c r="O105" s="28" t="inlineStr">
        <is>
          <t>Met</t>
        </is>
      </c>
      <c r="P105" s="45" t="n">
        <v>0.1951219512195122</v>
      </c>
      <c r="Q105" s="28" t="inlineStr">
        <is>
          <t>Met</t>
        </is>
      </c>
      <c r="R105" s="45" t="n">
        <v>0.1914893617021277</v>
      </c>
      <c r="S105" s="28" t="inlineStr">
        <is>
          <t>Met</t>
        </is>
      </c>
      <c r="T105" s="28" t="inlineStr">
        <is>
          <t>Not Reported</t>
        </is>
      </c>
      <c r="U105" s="28" t="inlineStr">
        <is>
          <t>Not Reported</t>
        </is>
      </c>
      <c r="V105" s="28" t="inlineStr">
        <is>
          <t>Not Reported</t>
        </is>
      </c>
      <c r="W105" s="28" t="inlineStr">
        <is>
          <t>Not Reported</t>
        </is>
      </c>
      <c r="X105" s="28" t="inlineStr">
        <is>
          <t>Not Reported</t>
        </is>
      </c>
      <c r="Y105" s="28" t="inlineStr">
        <is>
          <t>Not Reported</t>
        </is>
      </c>
      <c r="Z105" s="45" t="n">
        <v>0.3414634146341464</v>
      </c>
      <c r="AA105" s="28" t="inlineStr">
        <is>
          <t>Not Met</t>
        </is>
      </c>
      <c r="AB105" s="45" t="n">
        <v>0.3617021276595745</v>
      </c>
      <c r="AC105" s="28" t="inlineStr">
        <is>
          <t>Not Met</t>
        </is>
      </c>
      <c r="AD105" s="128" t="n">
        <v>0.49</v>
      </c>
      <c r="AE105" s="28" t="inlineStr">
        <is>
          <t>Not Met</t>
        </is>
      </c>
      <c r="AF105" s="102" t="n">
        <v>0.46</v>
      </c>
      <c r="AG105" s="28" t="inlineStr">
        <is>
          <t>Not Met</t>
        </is>
      </c>
      <c r="AH105" s="285" t="n">
        <v>0</v>
      </c>
      <c r="AI105" s="285" t="inlineStr">
        <is>
          <t>Not Reported</t>
        </is>
      </c>
      <c r="AJ105" s="45" t="n">
        <v>0.49</v>
      </c>
      <c r="AK105" s="28" t="inlineStr">
        <is>
          <t>Not Met</t>
        </is>
      </c>
    </row>
    <row r="106">
      <c r="A106" s="21" t="inlineStr">
        <is>
          <t>DP World</t>
        </is>
      </c>
      <c r="B106" s="5" t="inlineStr">
        <is>
          <t>West 1</t>
        </is>
      </c>
      <c r="C106" s="76" t="inlineStr">
        <is>
          <t>Geetu</t>
        </is>
      </c>
      <c r="D106" s="26" t="inlineStr">
        <is>
          <t>Sahil/Rishab</t>
        </is>
      </c>
      <c r="E106" s="26" t="inlineStr">
        <is>
          <t>Category (A)</t>
        </is>
      </c>
      <c r="F106" s="21" t="inlineStr">
        <is>
          <t>Internal KPI</t>
        </is>
      </c>
      <c r="G106" s="21" t="inlineStr">
        <is>
          <t>No</t>
        </is>
      </c>
      <c r="H106" s="27" t="inlineStr">
        <is>
          <t>First Time Right Ratio</t>
        </is>
      </c>
      <c r="I106" s="20" t="n">
        <v>0.6</v>
      </c>
      <c r="J106" s="45" t="n">
        <v>0.7828947368421053</v>
      </c>
      <c r="K106" s="28" t="inlineStr">
        <is>
          <t>Met</t>
        </is>
      </c>
      <c r="L106" s="45" t="n">
        <v>0.77</v>
      </c>
      <c r="M106" s="28" t="inlineStr">
        <is>
          <t>Met</t>
        </is>
      </c>
      <c r="N106" s="45" t="n">
        <v>0.59</v>
      </c>
      <c r="O106" s="28" t="inlineStr">
        <is>
          <t>Not Met</t>
        </is>
      </c>
      <c r="P106" s="45" t="n">
        <v>0.73</v>
      </c>
      <c r="Q106" s="28" t="inlineStr">
        <is>
          <t>Met</t>
        </is>
      </c>
      <c r="R106" s="45" t="n">
        <v>0.78</v>
      </c>
      <c r="S106" s="28" t="inlineStr">
        <is>
          <t>Met</t>
        </is>
      </c>
      <c r="T106" s="28" t="inlineStr">
        <is>
          <t>Not Reported</t>
        </is>
      </c>
      <c r="U106" s="28" t="inlineStr">
        <is>
          <t>Not Reported</t>
        </is>
      </c>
      <c r="V106" s="28" t="inlineStr">
        <is>
          <t>Not Reported</t>
        </is>
      </c>
      <c r="W106" s="28" t="inlineStr">
        <is>
          <t>Not Reported</t>
        </is>
      </c>
      <c r="X106" s="28" t="inlineStr">
        <is>
          <t>Not Reported</t>
        </is>
      </c>
      <c r="Y106" s="28" t="inlineStr">
        <is>
          <t>Not Reported</t>
        </is>
      </c>
      <c r="Z106" s="45" t="n">
        <v>0.835820895522388</v>
      </c>
      <c r="AA106" s="28" t="inlineStr">
        <is>
          <t>Met</t>
        </is>
      </c>
      <c r="AB106" s="45" t="n">
        <v>0.8452830188679246</v>
      </c>
      <c r="AC106" s="28" t="inlineStr">
        <is>
          <t>Met</t>
        </is>
      </c>
      <c r="AD106" s="126" t="n">
        <v>0.79</v>
      </c>
      <c r="AE106" s="28" t="inlineStr">
        <is>
          <t>Met</t>
        </is>
      </c>
      <c r="AF106" s="102" t="n">
        <v>0.83</v>
      </c>
      <c r="AG106" s="202" t="inlineStr">
        <is>
          <t>Met</t>
        </is>
      </c>
      <c r="AH106" s="285" t="n">
        <v>0</v>
      </c>
      <c r="AI106" s="285" t="inlineStr">
        <is>
          <t>Not Reported</t>
        </is>
      </c>
      <c r="AJ106" s="45" t="n">
        <v>0.76</v>
      </c>
      <c r="AK106" s="202" t="inlineStr">
        <is>
          <t>Met</t>
        </is>
      </c>
    </row>
    <row r="107">
      <c r="A107" s="21" t="inlineStr">
        <is>
          <t>DP World</t>
        </is>
      </c>
      <c r="B107" s="5" t="inlineStr">
        <is>
          <t>West 1</t>
        </is>
      </c>
      <c r="C107" s="76" t="inlineStr">
        <is>
          <t>Geetu</t>
        </is>
      </c>
      <c r="D107" s="26" t="inlineStr">
        <is>
          <t>Sahil/Rishab</t>
        </is>
      </c>
      <c r="E107" s="26" t="inlineStr">
        <is>
          <t>Category (A)</t>
        </is>
      </c>
      <c r="F107" s="21" t="inlineStr">
        <is>
          <t>Internal KPI</t>
        </is>
      </c>
      <c r="G107" s="21" t="inlineStr">
        <is>
          <t>No</t>
        </is>
      </c>
      <c r="H107" s="27" t="inlineStr">
        <is>
          <t>Hit Ratio</t>
        </is>
      </c>
      <c r="I107" s="20" t="n">
        <v>0.2</v>
      </c>
      <c r="J107" s="45" t="n">
        <v>0.125</v>
      </c>
      <c r="K107" s="28" t="inlineStr">
        <is>
          <t>Not Met</t>
        </is>
      </c>
      <c r="L107" s="45" t="n">
        <v>0.1095890410958904</v>
      </c>
      <c r="M107" s="28" t="inlineStr">
        <is>
          <t>Not Met</t>
        </is>
      </c>
      <c r="N107" s="45" t="n">
        <v>0.19</v>
      </c>
      <c r="O107" s="28" t="inlineStr">
        <is>
          <t>Not Met</t>
        </is>
      </c>
      <c r="P107" s="45" t="n">
        <v>0.16</v>
      </c>
      <c r="Q107" s="28" t="inlineStr">
        <is>
          <t>Not Met</t>
        </is>
      </c>
      <c r="R107" s="45" t="n">
        <v>0.19</v>
      </c>
      <c r="S107" s="28" t="inlineStr">
        <is>
          <t>Not Met</t>
        </is>
      </c>
      <c r="T107" s="28" t="inlineStr">
        <is>
          <t>Not Reported</t>
        </is>
      </c>
      <c r="U107" s="28" t="inlineStr">
        <is>
          <t>Not Reported</t>
        </is>
      </c>
      <c r="V107" s="28" t="inlineStr">
        <is>
          <t>Not Reported</t>
        </is>
      </c>
      <c r="W107" s="28" t="inlineStr">
        <is>
          <t>Not Reported</t>
        </is>
      </c>
      <c r="X107" s="28" t="inlineStr">
        <is>
          <t>Not Reported</t>
        </is>
      </c>
      <c r="Y107" s="28" t="inlineStr">
        <is>
          <t>Not Reported</t>
        </is>
      </c>
      <c r="Z107" s="45" t="n">
        <v>0.1641791044776119</v>
      </c>
      <c r="AA107" s="28" t="inlineStr">
        <is>
          <t>Not Met</t>
        </is>
      </c>
      <c r="AB107" s="45" t="n">
        <v>0.0946969696969697</v>
      </c>
      <c r="AC107" s="28" t="inlineStr">
        <is>
          <t>Not Met</t>
        </is>
      </c>
      <c r="AD107" s="126" t="n">
        <v>0.13</v>
      </c>
      <c r="AE107" s="28" t="inlineStr">
        <is>
          <t>Not Met</t>
        </is>
      </c>
      <c r="AF107" s="102" t="n">
        <v>0.11</v>
      </c>
      <c r="AG107" s="28" t="inlineStr">
        <is>
          <t>Not Met</t>
        </is>
      </c>
      <c r="AH107" s="285" t="n">
        <v>0</v>
      </c>
      <c r="AI107" s="285" t="inlineStr">
        <is>
          <t>Not Reported</t>
        </is>
      </c>
      <c r="AJ107" s="45" t="n">
        <v>0.21</v>
      </c>
      <c r="AK107" s="202" t="inlineStr">
        <is>
          <t>Met</t>
        </is>
      </c>
    </row>
    <row r="108">
      <c r="A108" s="21" t="inlineStr">
        <is>
          <t>DP World</t>
        </is>
      </c>
      <c r="B108" s="5" t="inlineStr">
        <is>
          <t>West 1</t>
        </is>
      </c>
      <c r="C108" s="76" t="inlineStr">
        <is>
          <t>Geetu</t>
        </is>
      </c>
      <c r="D108" s="26" t="inlineStr">
        <is>
          <t>Sahil/Rishab</t>
        </is>
      </c>
      <c r="E108" s="26" t="inlineStr">
        <is>
          <t>Category (A)</t>
        </is>
      </c>
      <c r="F108" s="21" t="inlineStr">
        <is>
          <t>Internal KPI</t>
        </is>
      </c>
      <c r="G108" s="21" t="inlineStr">
        <is>
          <t>No</t>
        </is>
      </c>
      <c r="H108" s="21" t="inlineStr">
        <is>
          <t>Offer Drop</t>
        </is>
      </c>
      <c r="I108" s="20" t="n">
        <v>0.15</v>
      </c>
      <c r="J108" s="18" t="n">
        <v>0.1578947368421053</v>
      </c>
      <c r="K108" s="28" t="inlineStr">
        <is>
          <t>Not Met</t>
        </is>
      </c>
      <c r="L108" s="18" t="n">
        <v>0.15625</v>
      </c>
      <c r="M108" s="28" t="inlineStr">
        <is>
          <t>Not Met</t>
        </is>
      </c>
      <c r="N108" s="18" t="n">
        <v>0.1363636363636364</v>
      </c>
      <c r="O108" s="28" t="inlineStr">
        <is>
          <t>Met</t>
        </is>
      </c>
      <c r="P108" s="18" t="n">
        <v>0.1521739130434783</v>
      </c>
      <c r="Q108" s="28" t="inlineStr">
        <is>
          <t>Met</t>
        </is>
      </c>
      <c r="R108" s="18" t="n">
        <v>0.1</v>
      </c>
      <c r="S108" s="28" t="inlineStr">
        <is>
          <t>Met</t>
        </is>
      </c>
      <c r="T108" s="28" t="inlineStr">
        <is>
          <t>Not Reported</t>
        </is>
      </c>
      <c r="U108" s="28" t="inlineStr">
        <is>
          <t>Not Reported</t>
        </is>
      </c>
      <c r="V108" s="28" t="inlineStr">
        <is>
          <t>Not Reported</t>
        </is>
      </c>
      <c r="W108" s="28" t="inlineStr">
        <is>
          <t>Not Reported</t>
        </is>
      </c>
      <c r="X108" s="28" t="inlineStr">
        <is>
          <t>Not Reported</t>
        </is>
      </c>
      <c r="Y108" s="28" t="inlineStr">
        <is>
          <t>Not Reported</t>
        </is>
      </c>
      <c r="Z108" s="18" t="n">
        <v>0.1363636363636364</v>
      </c>
      <c r="AA108" s="28" t="inlineStr">
        <is>
          <t>Met</t>
        </is>
      </c>
      <c r="AB108" s="45" t="n">
        <v>0.05555555555555555</v>
      </c>
      <c r="AC108" s="28" t="inlineStr">
        <is>
          <t>Met</t>
        </is>
      </c>
      <c r="AD108" s="126" t="n">
        <v>0.06</v>
      </c>
      <c r="AE108" s="28" t="inlineStr">
        <is>
          <t>Met</t>
        </is>
      </c>
      <c r="AF108" s="102" t="n">
        <v>0</v>
      </c>
      <c r="AG108" s="202" t="inlineStr">
        <is>
          <t>Met</t>
        </is>
      </c>
      <c r="AH108" s="285" t="n">
        <v>0</v>
      </c>
      <c r="AI108" s="285" t="inlineStr">
        <is>
          <t>Not Reported</t>
        </is>
      </c>
      <c r="AJ108" s="18" t="n">
        <v>0.1</v>
      </c>
      <c r="AK108" s="202" t="inlineStr">
        <is>
          <t>Met</t>
        </is>
      </c>
    </row>
    <row r="109">
      <c r="A109" s="21" t="inlineStr">
        <is>
          <t>DP World</t>
        </is>
      </c>
      <c r="B109" s="5" t="inlineStr">
        <is>
          <t>West 1</t>
        </is>
      </c>
      <c r="C109" s="76" t="inlineStr">
        <is>
          <t>Geetu</t>
        </is>
      </c>
      <c r="D109" s="26" t="inlineStr">
        <is>
          <t>Sahil/Rishab</t>
        </is>
      </c>
      <c r="E109" s="26" t="inlineStr">
        <is>
          <t>Category (A)</t>
        </is>
      </c>
      <c r="F109" s="21" t="inlineStr">
        <is>
          <t>Internal KPI</t>
        </is>
      </c>
      <c r="G109" s="21" t="inlineStr">
        <is>
          <t>No</t>
        </is>
      </c>
      <c r="H109" s="27" t="inlineStr">
        <is>
          <t xml:space="preserve">Fulfilment </t>
        </is>
      </c>
      <c r="I109" s="20" t="n">
        <v>0.8</v>
      </c>
      <c r="J109" s="18" t="n">
        <v>0.49</v>
      </c>
      <c r="K109" s="28" t="inlineStr">
        <is>
          <t>Not Met</t>
        </is>
      </c>
      <c r="L109" s="18" t="n">
        <v>0.33</v>
      </c>
      <c r="M109" s="28" t="inlineStr">
        <is>
          <t>Not Met</t>
        </is>
      </c>
      <c r="N109" s="18" t="n">
        <v>0.76</v>
      </c>
      <c r="O109" s="28" t="inlineStr">
        <is>
          <t>Not Met</t>
        </is>
      </c>
      <c r="P109" s="18" t="n">
        <v>0.55</v>
      </c>
      <c r="Q109" s="28" t="inlineStr">
        <is>
          <t>Not Met</t>
        </is>
      </c>
      <c r="R109" s="18" t="n">
        <v>0.71</v>
      </c>
      <c r="S109" s="28" t="inlineStr">
        <is>
          <t>Not Met</t>
        </is>
      </c>
      <c r="T109" s="28" t="inlineStr">
        <is>
          <t>Not Reported</t>
        </is>
      </c>
      <c r="U109" s="28" t="inlineStr">
        <is>
          <t>Not Reported</t>
        </is>
      </c>
      <c r="V109" s="28" t="inlineStr">
        <is>
          <t>Not Reported</t>
        </is>
      </c>
      <c r="W109" s="28" t="inlineStr">
        <is>
          <t>Not Reported</t>
        </is>
      </c>
      <c r="X109" s="28" t="inlineStr">
        <is>
          <t>Not Reported</t>
        </is>
      </c>
      <c r="Y109" s="28" t="inlineStr">
        <is>
          <t>Not Reported</t>
        </is>
      </c>
      <c r="Z109" s="18" t="n">
        <v>0.86</v>
      </c>
      <c r="AA109" s="28" t="inlineStr">
        <is>
          <t>Met</t>
        </is>
      </c>
      <c r="AB109" s="45" t="n">
        <v>0.4411764705882353</v>
      </c>
      <c r="AC109" s="28" t="inlineStr">
        <is>
          <t>Not Met</t>
        </is>
      </c>
      <c r="AD109" s="126" t="n">
        <v>0.23</v>
      </c>
      <c r="AE109" s="28" t="inlineStr">
        <is>
          <t>Not Met</t>
        </is>
      </c>
      <c r="AF109" s="102" t="n">
        <v>0.46</v>
      </c>
      <c r="AG109" s="28" t="inlineStr">
        <is>
          <t>Not Met</t>
        </is>
      </c>
      <c r="AH109" s="285" t="n">
        <v>0</v>
      </c>
      <c r="AI109" s="285" t="inlineStr">
        <is>
          <t>Not Reported</t>
        </is>
      </c>
      <c r="AJ109" s="18" t="n">
        <v>0.75</v>
      </c>
      <c r="AK109" s="28" t="inlineStr">
        <is>
          <t>Not Met</t>
        </is>
      </c>
    </row>
    <row r="110">
      <c r="A110" s="21" t="inlineStr">
        <is>
          <t>Excelacom</t>
        </is>
      </c>
      <c r="B110" s="5" t="inlineStr">
        <is>
          <t>South 2</t>
        </is>
      </c>
      <c r="C110" s="76" t="inlineStr">
        <is>
          <t>Krishna</t>
        </is>
      </c>
      <c r="D110" s="26" t="inlineStr">
        <is>
          <t>Himanshu Srivastava</t>
        </is>
      </c>
      <c r="E110" s="26" t="inlineStr">
        <is>
          <t>Category (B)</t>
        </is>
      </c>
      <c r="F110" s="21" t="inlineStr">
        <is>
          <t>Internal KPI</t>
        </is>
      </c>
      <c r="G110" s="21" t="inlineStr">
        <is>
          <t>No</t>
        </is>
      </c>
      <c r="H110" s="26" t="inlineStr">
        <is>
          <t>Time to Hire</t>
        </is>
      </c>
      <c r="I110" s="14" t="inlineStr">
        <is>
          <t>60 Days</t>
        </is>
      </c>
      <c r="J110" s="17" t="inlineStr">
        <is>
          <t>NA</t>
        </is>
      </c>
      <c r="K110" s="17" t="inlineStr">
        <is>
          <t>NA</t>
        </is>
      </c>
      <c r="L110" s="17" t="inlineStr">
        <is>
          <t>NA</t>
        </is>
      </c>
      <c r="M110" s="20" t="inlineStr">
        <is>
          <t>NA</t>
        </is>
      </c>
      <c r="N110" s="17" t="inlineStr">
        <is>
          <t>NA</t>
        </is>
      </c>
      <c r="O110" s="20" t="inlineStr">
        <is>
          <t>NA</t>
        </is>
      </c>
      <c r="P110" s="17" t="inlineStr">
        <is>
          <t>NA</t>
        </is>
      </c>
      <c r="Q110" s="20" t="inlineStr">
        <is>
          <t>NA</t>
        </is>
      </c>
      <c r="R110" s="17" t="inlineStr">
        <is>
          <t>NA</t>
        </is>
      </c>
      <c r="S110" s="20" t="inlineStr">
        <is>
          <t>NA</t>
        </is>
      </c>
      <c r="T110" s="17" t="inlineStr">
        <is>
          <t>NA</t>
        </is>
      </c>
      <c r="U110" s="20" t="inlineStr">
        <is>
          <t>NA</t>
        </is>
      </c>
      <c r="V110" s="17" t="inlineStr">
        <is>
          <t>NA</t>
        </is>
      </c>
      <c r="W110" s="20" t="inlineStr">
        <is>
          <t>NA</t>
        </is>
      </c>
      <c r="X110" s="17" t="inlineStr">
        <is>
          <t>NA</t>
        </is>
      </c>
      <c r="Y110" s="20" t="inlineStr">
        <is>
          <t>NA</t>
        </is>
      </c>
      <c r="Z110" s="17" t="inlineStr">
        <is>
          <t>NA</t>
        </is>
      </c>
      <c r="AA110" s="20" t="inlineStr">
        <is>
          <t>NA</t>
        </is>
      </c>
      <c r="AB110" s="93" t="inlineStr">
        <is>
          <t>NA</t>
        </is>
      </c>
      <c r="AC110" s="20" t="inlineStr">
        <is>
          <t>NA</t>
        </is>
      </c>
      <c r="AD110" s="97">
        <f>IF(AC110="NA","NA",IF(AC110="Not Reported","Not Reported",IF(AC110&gt;$L$323,"Not Met","Met")))</f>
        <v/>
      </c>
      <c r="AE110" s="97" t="inlineStr">
        <is>
          <t>NA</t>
        </is>
      </c>
      <c r="AF110" s="93" t="inlineStr">
        <is>
          <t>NA</t>
        </is>
      </c>
      <c r="AG110" s="97" t="inlineStr">
        <is>
          <t>NA</t>
        </is>
      </c>
      <c r="AH110" s="285" t="n">
        <v>0</v>
      </c>
      <c r="AI110" s="285" t="inlineStr">
        <is>
          <t>Not Reported</t>
        </is>
      </c>
      <c r="AJ110" s="93" t="inlineStr">
        <is>
          <t>NA</t>
        </is>
      </c>
      <c r="AK110" s="97" t="inlineStr">
        <is>
          <t>NA</t>
        </is>
      </c>
    </row>
    <row r="111">
      <c r="A111" s="21" t="inlineStr">
        <is>
          <t>Excelacom</t>
        </is>
      </c>
      <c r="B111" s="5" t="inlineStr">
        <is>
          <t>South 2</t>
        </is>
      </c>
      <c r="C111" s="76" t="inlineStr">
        <is>
          <t>Krishna</t>
        </is>
      </c>
      <c r="D111" s="26" t="inlineStr">
        <is>
          <t>Himanshu Srivastava</t>
        </is>
      </c>
      <c r="E111" s="26" t="inlineStr">
        <is>
          <t>Category (B)</t>
        </is>
      </c>
      <c r="F111" s="21" t="inlineStr">
        <is>
          <t>Internal KPI</t>
        </is>
      </c>
      <c r="G111" s="21" t="inlineStr">
        <is>
          <t>No</t>
        </is>
      </c>
      <c r="H111" s="26" t="inlineStr">
        <is>
          <t>Time to Fill</t>
        </is>
      </c>
      <c r="I111" s="14" t="inlineStr">
        <is>
          <t>30 days</t>
        </is>
      </c>
      <c r="J111" s="17" t="inlineStr">
        <is>
          <t>NA</t>
        </is>
      </c>
      <c r="K111" s="17" t="inlineStr">
        <is>
          <t>NA</t>
        </is>
      </c>
      <c r="L111" s="17" t="inlineStr">
        <is>
          <t>NA</t>
        </is>
      </c>
      <c r="M111" s="20" t="inlineStr">
        <is>
          <t>NA</t>
        </is>
      </c>
      <c r="N111" s="17" t="inlineStr">
        <is>
          <t>NA</t>
        </is>
      </c>
      <c r="O111" s="20" t="inlineStr">
        <is>
          <t>NA</t>
        </is>
      </c>
      <c r="P111" s="17" t="inlineStr">
        <is>
          <t>NA</t>
        </is>
      </c>
      <c r="Q111" s="20" t="inlineStr">
        <is>
          <t>NA</t>
        </is>
      </c>
      <c r="R111" s="17" t="inlineStr">
        <is>
          <t>NA</t>
        </is>
      </c>
      <c r="S111" s="20" t="inlineStr">
        <is>
          <t>NA</t>
        </is>
      </c>
      <c r="T111" s="17" t="inlineStr">
        <is>
          <t>NA</t>
        </is>
      </c>
      <c r="U111" s="20" t="inlineStr">
        <is>
          <t>NA</t>
        </is>
      </c>
      <c r="V111" s="17" t="inlineStr">
        <is>
          <t>NA</t>
        </is>
      </c>
      <c r="W111" s="20" t="inlineStr">
        <is>
          <t>NA</t>
        </is>
      </c>
      <c r="X111" s="17" t="inlineStr">
        <is>
          <t>NA</t>
        </is>
      </c>
      <c r="Y111" s="20" t="inlineStr">
        <is>
          <t>NA</t>
        </is>
      </c>
      <c r="Z111" s="17" t="inlineStr">
        <is>
          <t>NA</t>
        </is>
      </c>
      <c r="AA111" s="20" t="inlineStr">
        <is>
          <t>NA</t>
        </is>
      </c>
      <c r="AB111" s="93" t="inlineStr">
        <is>
          <t>NA</t>
        </is>
      </c>
      <c r="AC111" s="20" t="inlineStr">
        <is>
          <t>NA</t>
        </is>
      </c>
      <c r="AD111" s="97">
        <f>IF(AC111="NA","NA",IF(AC111="Not Reported","Not Reported",IF(AC111&gt;$L$323,"Not Met","Met")))</f>
        <v/>
      </c>
      <c r="AE111" s="97" t="inlineStr">
        <is>
          <t>NA</t>
        </is>
      </c>
      <c r="AF111" s="93" t="inlineStr">
        <is>
          <t>NA</t>
        </is>
      </c>
      <c r="AG111" s="97" t="inlineStr">
        <is>
          <t>NA</t>
        </is>
      </c>
      <c r="AH111" s="285" t="n">
        <v>0</v>
      </c>
      <c r="AI111" s="285" t="inlineStr">
        <is>
          <t>Not Reported</t>
        </is>
      </c>
      <c r="AJ111" s="93" t="inlineStr">
        <is>
          <t>NA</t>
        </is>
      </c>
      <c r="AK111" s="97" t="inlineStr">
        <is>
          <t>NA</t>
        </is>
      </c>
    </row>
    <row r="112">
      <c r="A112" s="21" t="inlineStr">
        <is>
          <t>Excelacom</t>
        </is>
      </c>
      <c r="B112" s="5" t="inlineStr">
        <is>
          <t>South 2</t>
        </is>
      </c>
      <c r="C112" s="76" t="inlineStr">
        <is>
          <t>Krishna</t>
        </is>
      </c>
      <c r="D112" s="26" t="inlineStr">
        <is>
          <t>Himanshu Srivastava</t>
        </is>
      </c>
      <c r="E112" s="26" t="inlineStr">
        <is>
          <t>Category (B)</t>
        </is>
      </c>
      <c r="F112" s="21" t="inlineStr">
        <is>
          <t>Internal KPI</t>
        </is>
      </c>
      <c r="G112" s="21" t="inlineStr">
        <is>
          <t>No</t>
        </is>
      </c>
      <c r="H112" s="26" t="inlineStr">
        <is>
          <t>Ageing</t>
        </is>
      </c>
      <c r="I112" s="11" t="n">
        <v>0.2</v>
      </c>
      <c r="J112" s="17" t="inlineStr">
        <is>
          <t>NA</t>
        </is>
      </c>
      <c r="K112" s="17" t="inlineStr">
        <is>
          <t>NA</t>
        </is>
      </c>
      <c r="L112" s="17" t="inlineStr">
        <is>
          <t>NA</t>
        </is>
      </c>
      <c r="M112" s="20" t="inlineStr">
        <is>
          <t>NA</t>
        </is>
      </c>
      <c r="N112" s="17" t="inlineStr">
        <is>
          <t>NA</t>
        </is>
      </c>
      <c r="O112" s="20" t="inlineStr">
        <is>
          <t>NA</t>
        </is>
      </c>
      <c r="P112" s="17" t="inlineStr">
        <is>
          <t>NA</t>
        </is>
      </c>
      <c r="Q112" s="20" t="inlineStr">
        <is>
          <t>NA</t>
        </is>
      </c>
      <c r="R112" s="17" t="inlineStr">
        <is>
          <t>NA</t>
        </is>
      </c>
      <c r="S112" s="20" t="inlineStr">
        <is>
          <t>NA</t>
        </is>
      </c>
      <c r="T112" s="17" t="inlineStr">
        <is>
          <t>NA</t>
        </is>
      </c>
      <c r="U112" s="20" t="inlineStr">
        <is>
          <t>NA</t>
        </is>
      </c>
      <c r="V112" s="17" t="inlineStr">
        <is>
          <t>NA</t>
        </is>
      </c>
      <c r="W112" s="20" t="inlineStr">
        <is>
          <t>NA</t>
        </is>
      </c>
      <c r="X112" s="17" t="inlineStr">
        <is>
          <t>NA</t>
        </is>
      </c>
      <c r="Y112" s="20" t="inlineStr">
        <is>
          <t>NA</t>
        </is>
      </c>
      <c r="Z112" s="17" t="inlineStr">
        <is>
          <t>NA</t>
        </is>
      </c>
      <c r="AA112" s="20" t="inlineStr">
        <is>
          <t>NA</t>
        </is>
      </c>
      <c r="AB112" s="93" t="inlineStr">
        <is>
          <t>NA</t>
        </is>
      </c>
      <c r="AC112" s="20" t="inlineStr">
        <is>
          <t>NA</t>
        </is>
      </c>
      <c r="AD112" s="97">
        <f>IF(AC112="NA","NA",IF(AC112="Not Reported","Not Reported",IF(AC112&gt;$L$323,"Not Met","Met")))</f>
        <v/>
      </c>
      <c r="AE112" s="127" t="inlineStr">
        <is>
          <t>NA</t>
        </is>
      </c>
      <c r="AF112" s="93" t="inlineStr">
        <is>
          <t>NA</t>
        </is>
      </c>
      <c r="AG112" s="97" t="inlineStr">
        <is>
          <t>NA</t>
        </is>
      </c>
      <c r="AH112" s="285" t="n">
        <v>0</v>
      </c>
      <c r="AI112" s="285" t="inlineStr">
        <is>
          <t>Not Reported</t>
        </is>
      </c>
      <c r="AJ112" s="93" t="inlineStr">
        <is>
          <t>NA</t>
        </is>
      </c>
      <c r="AK112" s="127" t="inlineStr">
        <is>
          <t>NA</t>
        </is>
      </c>
    </row>
    <row r="113">
      <c r="A113" s="21" t="inlineStr">
        <is>
          <t>Excelacom</t>
        </is>
      </c>
      <c r="B113" s="5" t="inlineStr">
        <is>
          <t>South 2</t>
        </is>
      </c>
      <c r="C113" s="76" t="inlineStr">
        <is>
          <t>Krishna</t>
        </is>
      </c>
      <c r="D113" s="26" t="inlineStr">
        <is>
          <t>Himanshu Srivastava</t>
        </is>
      </c>
      <c r="E113" s="26" t="inlineStr">
        <is>
          <t>Category (B)</t>
        </is>
      </c>
      <c r="F113" s="21" t="inlineStr">
        <is>
          <t>Internal KPI</t>
        </is>
      </c>
      <c r="G113" s="21" t="inlineStr">
        <is>
          <t>No</t>
        </is>
      </c>
      <c r="H113" s="26" t="inlineStr">
        <is>
          <t>First Time Right Ratio</t>
        </is>
      </c>
      <c r="I113" s="11" t="n">
        <v>0.65</v>
      </c>
      <c r="J113" s="17" t="inlineStr">
        <is>
          <t>NA</t>
        </is>
      </c>
      <c r="K113" s="17" t="inlineStr">
        <is>
          <t>NA</t>
        </is>
      </c>
      <c r="L113" s="17" t="inlineStr">
        <is>
          <t>NA</t>
        </is>
      </c>
      <c r="M113" s="20" t="inlineStr">
        <is>
          <t>NA</t>
        </is>
      </c>
      <c r="N113" s="17" t="inlineStr">
        <is>
          <t>NA</t>
        </is>
      </c>
      <c r="O113" s="20" t="inlineStr">
        <is>
          <t>NA</t>
        </is>
      </c>
      <c r="P113" s="17" t="inlineStr">
        <is>
          <t>NA</t>
        </is>
      </c>
      <c r="Q113" s="20" t="inlineStr">
        <is>
          <t>NA</t>
        </is>
      </c>
      <c r="R113" s="17" t="inlineStr">
        <is>
          <t>NA</t>
        </is>
      </c>
      <c r="S113" s="20" t="inlineStr">
        <is>
          <t>NA</t>
        </is>
      </c>
      <c r="T113" s="17" t="inlineStr">
        <is>
          <t>NA</t>
        </is>
      </c>
      <c r="U113" s="20" t="inlineStr">
        <is>
          <t>NA</t>
        </is>
      </c>
      <c r="V113" s="17" t="inlineStr">
        <is>
          <t>NA</t>
        </is>
      </c>
      <c r="W113" s="20" t="inlineStr">
        <is>
          <t>NA</t>
        </is>
      </c>
      <c r="X113" s="17" t="inlineStr">
        <is>
          <t>NA</t>
        </is>
      </c>
      <c r="Y113" s="20" t="inlineStr">
        <is>
          <t>NA</t>
        </is>
      </c>
      <c r="Z113" s="17" t="inlineStr">
        <is>
          <t>NA</t>
        </is>
      </c>
      <c r="AA113" s="20" t="inlineStr">
        <is>
          <t>NA</t>
        </is>
      </c>
      <c r="AB113" s="93" t="inlineStr">
        <is>
          <t>NA</t>
        </is>
      </c>
      <c r="AC113" s="20" t="inlineStr">
        <is>
          <t>NA</t>
        </is>
      </c>
      <c r="AD113" s="97">
        <f>IF(AC113="NA","NA",IF(AC113="Not Reported","Not Reported",IF(AC113&gt;$L$323,"Not Met","Met")))</f>
        <v/>
      </c>
      <c r="AE113" s="126" t="inlineStr">
        <is>
          <t>NA</t>
        </is>
      </c>
      <c r="AF113" s="93" t="inlineStr">
        <is>
          <t>NA</t>
        </is>
      </c>
      <c r="AG113" s="97" t="inlineStr">
        <is>
          <t>NA</t>
        </is>
      </c>
      <c r="AH113" s="285" t="n">
        <v>0</v>
      </c>
      <c r="AI113" s="285" t="inlineStr">
        <is>
          <t>Not Reported</t>
        </is>
      </c>
      <c r="AJ113" s="93" t="inlineStr">
        <is>
          <t>NA</t>
        </is>
      </c>
      <c r="AK113" s="126" t="inlineStr">
        <is>
          <t>NA</t>
        </is>
      </c>
    </row>
    <row r="114">
      <c r="A114" s="21" t="inlineStr">
        <is>
          <t>Excelacom</t>
        </is>
      </c>
      <c r="B114" s="5" t="inlineStr">
        <is>
          <t>South 2</t>
        </is>
      </c>
      <c r="C114" s="76" t="inlineStr">
        <is>
          <t>Krishna</t>
        </is>
      </c>
      <c r="D114" s="26" t="inlineStr">
        <is>
          <t>Himanshu Srivastava</t>
        </is>
      </c>
      <c r="E114" s="26" t="inlineStr">
        <is>
          <t>Category (B)</t>
        </is>
      </c>
      <c r="F114" s="21" t="inlineStr">
        <is>
          <t>Internal KPI</t>
        </is>
      </c>
      <c r="G114" s="21" t="inlineStr">
        <is>
          <t>No</t>
        </is>
      </c>
      <c r="H114" s="26" t="inlineStr">
        <is>
          <t>Hit Ratio</t>
        </is>
      </c>
      <c r="I114" s="11" t="n">
        <v>0.2</v>
      </c>
      <c r="J114" s="17" t="inlineStr">
        <is>
          <t>NA</t>
        </is>
      </c>
      <c r="K114" s="17" t="inlineStr">
        <is>
          <t>NA</t>
        </is>
      </c>
      <c r="L114" s="17" t="inlineStr">
        <is>
          <t>NA</t>
        </is>
      </c>
      <c r="M114" s="20" t="inlineStr">
        <is>
          <t>NA</t>
        </is>
      </c>
      <c r="N114" s="17" t="inlineStr">
        <is>
          <t>NA</t>
        </is>
      </c>
      <c r="O114" s="20" t="inlineStr">
        <is>
          <t>NA</t>
        </is>
      </c>
      <c r="P114" s="17" t="inlineStr">
        <is>
          <t>NA</t>
        </is>
      </c>
      <c r="Q114" s="20" t="inlineStr">
        <is>
          <t>NA</t>
        </is>
      </c>
      <c r="R114" s="17" t="inlineStr">
        <is>
          <t>NA</t>
        </is>
      </c>
      <c r="S114" s="20" t="inlineStr">
        <is>
          <t>NA</t>
        </is>
      </c>
      <c r="T114" s="17" t="inlineStr">
        <is>
          <t>NA</t>
        </is>
      </c>
      <c r="U114" s="20" t="inlineStr">
        <is>
          <t>NA</t>
        </is>
      </c>
      <c r="V114" s="17" t="inlineStr">
        <is>
          <t>NA</t>
        </is>
      </c>
      <c r="W114" s="20" t="inlineStr">
        <is>
          <t>NA</t>
        </is>
      </c>
      <c r="X114" s="17" t="inlineStr">
        <is>
          <t>NA</t>
        </is>
      </c>
      <c r="Y114" s="20" t="inlineStr">
        <is>
          <t>NA</t>
        </is>
      </c>
      <c r="Z114" s="17" t="inlineStr">
        <is>
          <t>NA</t>
        </is>
      </c>
      <c r="AA114" s="20" t="inlineStr">
        <is>
          <t>NA</t>
        </is>
      </c>
      <c r="AB114" s="93" t="inlineStr">
        <is>
          <t>NA</t>
        </is>
      </c>
      <c r="AC114" s="20" t="inlineStr">
        <is>
          <t>NA</t>
        </is>
      </c>
      <c r="AD114" s="97">
        <f>IF(AC114="NA","NA",IF(AC114="Not Reported","Not Reported",IF(AC114&gt;$L$323,"Not Met","Met")))</f>
        <v/>
      </c>
      <c r="AE114" s="126" t="inlineStr">
        <is>
          <t>NA</t>
        </is>
      </c>
      <c r="AF114" s="93" t="inlineStr">
        <is>
          <t>NA</t>
        </is>
      </c>
      <c r="AG114" s="97" t="inlineStr">
        <is>
          <t>NA</t>
        </is>
      </c>
      <c r="AH114" s="285" t="n">
        <v>0</v>
      </c>
      <c r="AI114" s="285" t="inlineStr">
        <is>
          <t>Not Reported</t>
        </is>
      </c>
      <c r="AJ114" s="93" t="inlineStr">
        <is>
          <t>NA</t>
        </is>
      </c>
      <c r="AK114" s="126" t="inlineStr">
        <is>
          <t>NA</t>
        </is>
      </c>
    </row>
    <row r="115">
      <c r="A115" s="21" t="inlineStr">
        <is>
          <t>Excelacom</t>
        </is>
      </c>
      <c r="B115" s="5" t="inlineStr">
        <is>
          <t>South 2</t>
        </is>
      </c>
      <c r="C115" s="76" t="inlineStr">
        <is>
          <t>Krishna</t>
        </is>
      </c>
      <c r="D115" s="26" t="inlineStr">
        <is>
          <t>Himanshu Srivastava</t>
        </is>
      </c>
      <c r="E115" s="26" t="inlineStr">
        <is>
          <t>Category (B)</t>
        </is>
      </c>
      <c r="F115" s="21" t="inlineStr">
        <is>
          <t>Internal KPI</t>
        </is>
      </c>
      <c r="G115" s="21" t="inlineStr">
        <is>
          <t>No</t>
        </is>
      </c>
      <c r="H115" s="26" t="inlineStr">
        <is>
          <t>Offer Drop</t>
        </is>
      </c>
      <c r="I115" s="11" t="n">
        <v>0.2</v>
      </c>
      <c r="J115" s="17" t="inlineStr">
        <is>
          <t>NA</t>
        </is>
      </c>
      <c r="K115" s="17" t="inlineStr">
        <is>
          <t>NA</t>
        </is>
      </c>
      <c r="L115" s="17" t="inlineStr">
        <is>
          <t>NA</t>
        </is>
      </c>
      <c r="M115" s="20" t="inlineStr">
        <is>
          <t>NA</t>
        </is>
      </c>
      <c r="N115" s="17" t="inlineStr">
        <is>
          <t>NA</t>
        </is>
      </c>
      <c r="O115" s="20" t="inlineStr">
        <is>
          <t>NA</t>
        </is>
      </c>
      <c r="P115" s="17" t="inlineStr">
        <is>
          <t>NA</t>
        </is>
      </c>
      <c r="Q115" s="20" t="inlineStr">
        <is>
          <t>NA</t>
        </is>
      </c>
      <c r="R115" s="17" t="inlineStr">
        <is>
          <t>NA</t>
        </is>
      </c>
      <c r="S115" s="20" t="inlineStr">
        <is>
          <t>NA</t>
        </is>
      </c>
      <c r="T115" s="17" t="inlineStr">
        <is>
          <t>NA</t>
        </is>
      </c>
      <c r="U115" s="20" t="inlineStr">
        <is>
          <t>NA</t>
        </is>
      </c>
      <c r="V115" s="17" t="inlineStr">
        <is>
          <t>NA</t>
        </is>
      </c>
      <c r="W115" s="20" t="inlineStr">
        <is>
          <t>NA</t>
        </is>
      </c>
      <c r="X115" s="17" t="inlineStr">
        <is>
          <t>NA</t>
        </is>
      </c>
      <c r="Y115" s="20" t="inlineStr">
        <is>
          <t>NA</t>
        </is>
      </c>
      <c r="Z115" s="17" t="inlineStr">
        <is>
          <t>NA</t>
        </is>
      </c>
      <c r="AA115" s="20" t="inlineStr">
        <is>
          <t>NA</t>
        </is>
      </c>
      <c r="AB115" s="93" t="inlineStr">
        <is>
          <t>NA</t>
        </is>
      </c>
      <c r="AC115" s="20" t="inlineStr">
        <is>
          <t>NA</t>
        </is>
      </c>
      <c r="AD115" s="97">
        <f>IF(AC115="NA","NA",IF(AC115="Not Reported","Not Reported",IF(AC115&gt;$L$323,"Not Met","Met")))</f>
        <v/>
      </c>
      <c r="AE115" s="126" t="inlineStr">
        <is>
          <t>NA</t>
        </is>
      </c>
      <c r="AF115" s="93" t="inlineStr">
        <is>
          <t>NA</t>
        </is>
      </c>
      <c r="AG115" s="97" t="inlineStr">
        <is>
          <t>NA</t>
        </is>
      </c>
      <c r="AH115" s="285" t="n">
        <v>0</v>
      </c>
      <c r="AI115" s="285" t="inlineStr">
        <is>
          <t>Not Reported</t>
        </is>
      </c>
      <c r="AJ115" s="93" t="inlineStr">
        <is>
          <t>NA</t>
        </is>
      </c>
      <c r="AK115" s="126" t="inlineStr">
        <is>
          <t>NA</t>
        </is>
      </c>
    </row>
    <row r="116">
      <c r="A116" s="21" t="inlineStr">
        <is>
          <t>Excelacom</t>
        </is>
      </c>
      <c r="B116" s="5" t="inlineStr">
        <is>
          <t>South 2</t>
        </is>
      </c>
      <c r="C116" s="76" t="inlineStr">
        <is>
          <t>Krishna</t>
        </is>
      </c>
      <c r="D116" s="26" t="inlineStr">
        <is>
          <t>Himanshu Srivastava</t>
        </is>
      </c>
      <c r="E116" s="26" t="inlineStr">
        <is>
          <t>Category (B)</t>
        </is>
      </c>
      <c r="F116" s="21" t="inlineStr">
        <is>
          <t>Internal KPI</t>
        </is>
      </c>
      <c r="G116" s="21" t="inlineStr">
        <is>
          <t>No</t>
        </is>
      </c>
      <c r="H116" s="26" t="inlineStr">
        <is>
          <t xml:space="preserve">Fulfilment </t>
        </is>
      </c>
      <c r="I116" s="11" t="n">
        <v>0.8</v>
      </c>
      <c r="J116" s="17" t="inlineStr">
        <is>
          <t>NA</t>
        </is>
      </c>
      <c r="K116" s="17" t="inlineStr">
        <is>
          <t>NA</t>
        </is>
      </c>
      <c r="L116" s="17" t="inlineStr">
        <is>
          <t>NA</t>
        </is>
      </c>
      <c r="M116" s="20" t="inlineStr">
        <is>
          <t>NA</t>
        </is>
      </c>
      <c r="N116" s="17" t="inlineStr">
        <is>
          <t>NA</t>
        </is>
      </c>
      <c r="O116" s="20" t="inlineStr">
        <is>
          <t>NA</t>
        </is>
      </c>
      <c r="P116" s="17" t="inlineStr">
        <is>
          <t>NA</t>
        </is>
      </c>
      <c r="Q116" s="20" t="inlineStr">
        <is>
          <t>NA</t>
        </is>
      </c>
      <c r="R116" s="17" t="inlineStr">
        <is>
          <t>NA</t>
        </is>
      </c>
      <c r="S116" s="20" t="inlineStr">
        <is>
          <t>NA</t>
        </is>
      </c>
      <c r="T116" s="17" t="inlineStr">
        <is>
          <t>NA</t>
        </is>
      </c>
      <c r="U116" s="20" t="inlineStr">
        <is>
          <t>NA</t>
        </is>
      </c>
      <c r="V116" s="17" t="inlineStr">
        <is>
          <t>NA</t>
        </is>
      </c>
      <c r="W116" s="20" t="inlineStr">
        <is>
          <t>NA</t>
        </is>
      </c>
      <c r="X116" s="17" t="inlineStr">
        <is>
          <t>NA</t>
        </is>
      </c>
      <c r="Y116" s="20" t="inlineStr">
        <is>
          <t>NA</t>
        </is>
      </c>
      <c r="Z116" s="17" t="inlineStr">
        <is>
          <t>NA</t>
        </is>
      </c>
      <c r="AA116" s="20" t="inlineStr">
        <is>
          <t>NA</t>
        </is>
      </c>
      <c r="AB116" s="93" t="inlineStr">
        <is>
          <t>NA</t>
        </is>
      </c>
      <c r="AC116" s="20" t="inlineStr">
        <is>
          <t>NA</t>
        </is>
      </c>
      <c r="AD116" s="97">
        <f>IF(AC116="NA","NA",IF(AC116="Not Reported","Not Reported",IF(AC116&gt;$L$323,"Not Met","Met")))</f>
        <v/>
      </c>
      <c r="AE116" s="126" t="inlineStr">
        <is>
          <t>NA</t>
        </is>
      </c>
      <c r="AF116" s="93" t="inlineStr">
        <is>
          <t>NA</t>
        </is>
      </c>
      <c r="AG116" s="97" t="inlineStr">
        <is>
          <t>NA</t>
        </is>
      </c>
      <c r="AH116" s="285" t="n">
        <v>0</v>
      </c>
      <c r="AI116" s="285" t="inlineStr">
        <is>
          <t>Not Reported</t>
        </is>
      </c>
      <c r="AJ116" s="93" t="inlineStr">
        <is>
          <t>NA</t>
        </is>
      </c>
      <c r="AK116" s="126" t="inlineStr">
        <is>
          <t>NA</t>
        </is>
      </c>
    </row>
    <row r="117">
      <c r="A117" s="26" t="inlineStr">
        <is>
          <t>Honeywell</t>
        </is>
      </c>
      <c r="B117" s="5" t="inlineStr">
        <is>
          <t xml:space="preserve">South 1 </t>
        </is>
      </c>
      <c r="C117" s="76" t="inlineStr">
        <is>
          <t>Bapi Reddy</t>
        </is>
      </c>
      <c r="D117" s="26" t="inlineStr">
        <is>
          <t>Debashreeta</t>
        </is>
      </c>
      <c r="E117" s="26" t="inlineStr">
        <is>
          <t>Category (B)</t>
        </is>
      </c>
      <c r="F117" s="26" t="inlineStr">
        <is>
          <t>Contractual SLA</t>
        </is>
      </c>
      <c r="G117" s="26" t="inlineStr">
        <is>
          <t>Yes</t>
        </is>
      </c>
      <c r="H117" s="21" t="inlineStr">
        <is>
          <t>*TTF of &lt;33 days B3+</t>
        </is>
      </c>
      <c r="I117" s="20" t="inlineStr">
        <is>
          <t>&lt;33 Days</t>
        </is>
      </c>
      <c r="J117" s="29" t="inlineStr">
        <is>
          <t>29 days</t>
        </is>
      </c>
      <c r="K117" s="28" t="inlineStr">
        <is>
          <t>Met</t>
        </is>
      </c>
      <c r="L117" s="28" t="inlineStr">
        <is>
          <t>NA</t>
        </is>
      </c>
      <c r="M117" s="20" t="inlineStr">
        <is>
          <t>NA</t>
        </is>
      </c>
      <c r="N117" s="28" t="inlineStr">
        <is>
          <t>NA</t>
        </is>
      </c>
      <c r="O117" s="20" t="inlineStr">
        <is>
          <t>NA</t>
        </is>
      </c>
      <c r="P117" s="28" t="inlineStr">
        <is>
          <t>NA</t>
        </is>
      </c>
      <c r="Q117" s="20" t="inlineStr">
        <is>
          <t>NA</t>
        </is>
      </c>
      <c r="R117" s="17" t="inlineStr">
        <is>
          <t>NA</t>
        </is>
      </c>
      <c r="S117" s="20" t="inlineStr">
        <is>
          <t>NA</t>
        </is>
      </c>
      <c r="T117" s="20" t="inlineStr">
        <is>
          <t>24 days</t>
        </is>
      </c>
      <c r="U117" s="28" t="inlineStr">
        <is>
          <t>Met</t>
        </is>
      </c>
      <c r="V117" s="28" t="inlineStr">
        <is>
          <t>24 days</t>
        </is>
      </c>
      <c r="W117" s="28" t="inlineStr">
        <is>
          <t>Met</t>
        </is>
      </c>
      <c r="X117" s="28" t="inlineStr">
        <is>
          <t>24 days</t>
        </is>
      </c>
      <c r="Y117" s="28" t="inlineStr">
        <is>
          <t>Met</t>
        </is>
      </c>
      <c r="Z117" s="28" t="inlineStr">
        <is>
          <t>22 days</t>
        </is>
      </c>
      <c r="AA117" s="28" t="inlineStr">
        <is>
          <t>Met</t>
        </is>
      </c>
      <c r="AB117" s="95" t="n">
        <v>22</v>
      </c>
      <c r="AC117" s="28" t="inlineStr">
        <is>
          <t>Met</t>
        </is>
      </c>
      <c r="AD117" s="133" t="n">
        <v>24</v>
      </c>
      <c r="AE117" s="28" t="inlineStr">
        <is>
          <t>Met</t>
        </is>
      </c>
      <c r="AF117" s="95" t="n">
        <v>24</v>
      </c>
      <c r="AG117" s="202" t="inlineStr">
        <is>
          <t>Met</t>
        </is>
      </c>
      <c r="AH117" s="285" t="n">
        <v>0</v>
      </c>
      <c r="AI117" s="285" t="inlineStr">
        <is>
          <t>Not Reported</t>
        </is>
      </c>
      <c r="AJ117" s="95" t="n">
        <v>26</v>
      </c>
      <c r="AK117" s="202" t="inlineStr">
        <is>
          <t>Met</t>
        </is>
      </c>
      <c r="AL117">
        <f>29/38</f>
        <v/>
      </c>
    </row>
    <row r="118">
      <c r="A118" s="26" t="inlineStr">
        <is>
          <t>Honeywell</t>
        </is>
      </c>
      <c r="B118" s="5" t="inlineStr">
        <is>
          <t xml:space="preserve">South 1 </t>
        </is>
      </c>
      <c r="C118" s="76" t="inlineStr">
        <is>
          <t>Bapi Reddy</t>
        </is>
      </c>
      <c r="D118" s="26" t="inlineStr">
        <is>
          <t>Debashreeta</t>
        </is>
      </c>
      <c r="E118" s="26" t="inlineStr">
        <is>
          <t>Category (B)</t>
        </is>
      </c>
      <c r="F118" s="26" t="inlineStr">
        <is>
          <t>Contractual SLA</t>
        </is>
      </c>
      <c r="G118" s="26" t="inlineStr">
        <is>
          <t>Yes</t>
        </is>
      </c>
      <c r="H118" s="21" t="inlineStr">
        <is>
          <t xml:space="preserve">*TTF of &lt;27 days B 0-2 </t>
        </is>
      </c>
      <c r="I118" s="20" t="inlineStr">
        <is>
          <t>&lt;27 Days</t>
        </is>
      </c>
      <c r="J118" s="29" t="inlineStr">
        <is>
          <t>20 days</t>
        </is>
      </c>
      <c r="K118" s="28" t="inlineStr">
        <is>
          <t>Met</t>
        </is>
      </c>
      <c r="L118" s="28" t="inlineStr">
        <is>
          <t>NA</t>
        </is>
      </c>
      <c r="M118" s="20" t="inlineStr">
        <is>
          <t>NA</t>
        </is>
      </c>
      <c r="N118" s="28" t="inlineStr">
        <is>
          <t>NA</t>
        </is>
      </c>
      <c r="O118" s="20" t="inlineStr">
        <is>
          <t>NA</t>
        </is>
      </c>
      <c r="P118" s="28" t="inlineStr">
        <is>
          <t>NA</t>
        </is>
      </c>
      <c r="Q118" s="20" t="inlineStr">
        <is>
          <t>NA</t>
        </is>
      </c>
      <c r="R118" s="17" t="inlineStr">
        <is>
          <t>NA</t>
        </is>
      </c>
      <c r="S118" s="20" t="inlineStr">
        <is>
          <t>NA</t>
        </is>
      </c>
      <c r="T118" s="20" t="inlineStr">
        <is>
          <t>16 days</t>
        </is>
      </c>
      <c r="U118" s="28" t="inlineStr">
        <is>
          <t>Met</t>
        </is>
      </c>
      <c r="V118" s="28" t="inlineStr">
        <is>
          <t>16 days</t>
        </is>
      </c>
      <c r="W118" s="28" t="inlineStr">
        <is>
          <t>Met</t>
        </is>
      </c>
      <c r="X118" s="28" t="inlineStr">
        <is>
          <t>17 days</t>
        </is>
      </c>
      <c r="Y118" s="28" t="inlineStr">
        <is>
          <t>Met</t>
        </is>
      </c>
      <c r="Z118" s="28" t="inlineStr">
        <is>
          <t>16 days</t>
        </is>
      </c>
      <c r="AA118" s="28" t="inlineStr">
        <is>
          <t>Met</t>
        </is>
      </c>
      <c r="AB118" s="95" t="n">
        <v>16</v>
      </c>
      <c r="AC118" s="28" t="inlineStr">
        <is>
          <t>Met</t>
        </is>
      </c>
      <c r="AD118" s="133" t="n">
        <v>19</v>
      </c>
      <c r="AE118" s="28" t="inlineStr">
        <is>
          <t>Met</t>
        </is>
      </c>
      <c r="AF118" s="95" t="n">
        <v>19</v>
      </c>
      <c r="AG118" s="202" t="inlineStr">
        <is>
          <t>Met</t>
        </is>
      </c>
      <c r="AH118" s="285" t="n">
        <v>0</v>
      </c>
      <c r="AI118" s="285" t="inlineStr">
        <is>
          <t>Not Reported</t>
        </is>
      </c>
      <c r="AJ118" s="95" t="n">
        <v>19</v>
      </c>
      <c r="AK118" s="202" t="inlineStr">
        <is>
          <t>Met</t>
        </is>
      </c>
    </row>
    <row r="119">
      <c r="A119" s="26" t="inlineStr">
        <is>
          <t>Honeywell</t>
        </is>
      </c>
      <c r="B119" s="5" t="inlineStr">
        <is>
          <t xml:space="preserve">South 1 </t>
        </is>
      </c>
      <c r="C119" s="76" t="inlineStr">
        <is>
          <t>Bapi Reddy</t>
        </is>
      </c>
      <c r="D119" s="26" t="inlineStr">
        <is>
          <t>Debashreeta</t>
        </is>
      </c>
      <c r="E119" s="26" t="inlineStr">
        <is>
          <t>Category (B)</t>
        </is>
      </c>
      <c r="F119" s="26" t="inlineStr">
        <is>
          <t>Contractual SLA</t>
        </is>
      </c>
      <c r="G119" s="26" t="inlineStr">
        <is>
          <t>Yes</t>
        </is>
      </c>
      <c r="H119" s="21" t="inlineStr">
        <is>
          <t>* TTF of 24 days Internal only</t>
        </is>
      </c>
      <c r="I119" s="20" t="inlineStr">
        <is>
          <t>&lt;24 Days - Q1
&lt;19 Days - Q2
&lt;14 Days - Q3 onwards</t>
        </is>
      </c>
      <c r="J119" s="29" t="inlineStr">
        <is>
          <t>14 days</t>
        </is>
      </c>
      <c r="K119" s="28" t="inlineStr">
        <is>
          <t>Met</t>
        </is>
      </c>
      <c r="L119" s="28" t="inlineStr">
        <is>
          <t>NA</t>
        </is>
      </c>
      <c r="M119" s="20" t="inlineStr">
        <is>
          <t>NA</t>
        </is>
      </c>
      <c r="N119" s="28" t="inlineStr">
        <is>
          <t>NA</t>
        </is>
      </c>
      <c r="O119" s="20" t="inlineStr">
        <is>
          <t>NA</t>
        </is>
      </c>
      <c r="P119" s="28" t="inlineStr">
        <is>
          <t>NA</t>
        </is>
      </c>
      <c r="Q119" s="20" t="inlineStr">
        <is>
          <t>NA</t>
        </is>
      </c>
      <c r="R119" s="17" t="inlineStr">
        <is>
          <t>NA</t>
        </is>
      </c>
      <c r="S119" s="20" t="inlineStr">
        <is>
          <t>NA</t>
        </is>
      </c>
      <c r="T119" s="20" t="inlineStr">
        <is>
          <t>14 days</t>
        </is>
      </c>
      <c r="U119" s="28" t="inlineStr">
        <is>
          <t>Met</t>
        </is>
      </c>
      <c r="V119" s="28" t="inlineStr">
        <is>
          <t>14 days</t>
        </is>
      </c>
      <c r="W119" s="28" t="inlineStr">
        <is>
          <t>Met</t>
        </is>
      </c>
      <c r="X119" s="28" t="inlineStr">
        <is>
          <t>14 days</t>
        </is>
      </c>
      <c r="Y119" s="28" t="inlineStr">
        <is>
          <t>Met</t>
        </is>
      </c>
      <c r="Z119" s="28" t="inlineStr">
        <is>
          <t>14 days</t>
        </is>
      </c>
      <c r="AA119" s="28" t="inlineStr">
        <is>
          <t>Met</t>
        </is>
      </c>
      <c r="AB119" s="95" t="n">
        <v>14</v>
      </c>
      <c r="AC119" s="28" t="inlineStr">
        <is>
          <t>Met</t>
        </is>
      </c>
      <c r="AD119" s="134" t="n">
        <v>14</v>
      </c>
      <c r="AE119" s="28" t="inlineStr">
        <is>
          <t>Not Met</t>
        </is>
      </c>
      <c r="AF119" s="95" t="n">
        <v>14</v>
      </c>
      <c r="AG119" s="28" t="inlineStr">
        <is>
          <t>Not Met</t>
        </is>
      </c>
      <c r="AH119" s="285" t="n">
        <v>0</v>
      </c>
      <c r="AI119" s="285" t="inlineStr">
        <is>
          <t>Not Reported</t>
        </is>
      </c>
      <c r="AJ119" s="95" t="n">
        <v>14</v>
      </c>
      <c r="AK119" s="28" t="inlineStr">
        <is>
          <t>Not Met</t>
        </is>
      </c>
    </row>
    <row r="120">
      <c r="A120" s="26" t="inlineStr">
        <is>
          <t>Honeywell</t>
        </is>
      </c>
      <c r="B120" s="5" t="inlineStr">
        <is>
          <t xml:space="preserve">South 1 </t>
        </is>
      </c>
      <c r="C120" s="76" t="inlineStr">
        <is>
          <t>Bapi Reddy</t>
        </is>
      </c>
      <c r="D120" s="26" t="inlineStr">
        <is>
          <t>Debashreeta</t>
        </is>
      </c>
      <c r="E120" s="26" t="inlineStr">
        <is>
          <t>Category (B)</t>
        </is>
      </c>
      <c r="F120" s="26" t="inlineStr">
        <is>
          <t>Contractual SLA</t>
        </is>
      </c>
      <c r="G120" s="26" t="inlineStr">
        <is>
          <t>Yes</t>
        </is>
      </c>
      <c r="H120" s="21" t="inlineStr">
        <is>
          <t>&lt;15% with 46+ days</t>
        </is>
      </c>
      <c r="I120" s="20" t="inlineStr">
        <is>
          <t>&lt;15%</t>
        </is>
      </c>
      <c r="J120" s="29" t="n">
        <v>0.14</v>
      </c>
      <c r="K120" s="28" t="inlineStr">
        <is>
          <t>Met</t>
        </is>
      </c>
      <c r="L120" s="28" t="inlineStr">
        <is>
          <t>NA</t>
        </is>
      </c>
      <c r="M120" s="20" t="inlineStr">
        <is>
          <t>NA</t>
        </is>
      </c>
      <c r="N120" s="28" t="inlineStr">
        <is>
          <t>NA</t>
        </is>
      </c>
      <c r="O120" s="20" t="inlineStr">
        <is>
          <t>NA</t>
        </is>
      </c>
      <c r="P120" s="28" t="inlineStr">
        <is>
          <t>NA</t>
        </is>
      </c>
      <c r="Q120" s="20" t="inlineStr">
        <is>
          <t>NA</t>
        </is>
      </c>
      <c r="R120" s="17" t="inlineStr">
        <is>
          <t>NA</t>
        </is>
      </c>
      <c r="S120" s="20" t="inlineStr">
        <is>
          <t>NA</t>
        </is>
      </c>
      <c r="T120" s="20" t="n">
        <v>0.13</v>
      </c>
      <c r="U120" s="28" t="inlineStr">
        <is>
          <t>Met</t>
        </is>
      </c>
      <c r="V120" s="29" t="n">
        <v>0.11</v>
      </c>
      <c r="W120" s="28" t="inlineStr">
        <is>
          <t>Met</t>
        </is>
      </c>
      <c r="X120" s="29" t="n">
        <v>0.11</v>
      </c>
      <c r="Y120" s="28" t="inlineStr">
        <is>
          <t>Met</t>
        </is>
      </c>
      <c r="Z120" s="29" t="n">
        <v>0.11</v>
      </c>
      <c r="AA120" s="28" t="inlineStr">
        <is>
          <t>Met</t>
        </is>
      </c>
      <c r="AB120" s="96" t="n">
        <v>0.11</v>
      </c>
      <c r="AC120" s="28" t="inlineStr">
        <is>
          <t>Met</t>
        </is>
      </c>
      <c r="AD120" s="135" t="n">
        <v>0.13</v>
      </c>
      <c r="AE120" s="28" t="inlineStr">
        <is>
          <t>Met</t>
        </is>
      </c>
      <c r="AF120" s="102" t="n">
        <v>0.12</v>
      </c>
      <c r="AG120" s="202" t="inlineStr">
        <is>
          <t>Met</t>
        </is>
      </c>
      <c r="AH120" s="285" t="n">
        <v>0</v>
      </c>
      <c r="AI120" s="285" t="inlineStr">
        <is>
          <t>Not Reported</t>
        </is>
      </c>
      <c r="AJ120" s="102" t="n">
        <v>0.12</v>
      </c>
      <c r="AK120" s="202" t="inlineStr">
        <is>
          <t>Met</t>
        </is>
      </c>
    </row>
    <row r="121">
      <c r="A121" s="26" t="inlineStr">
        <is>
          <t>Honeywell</t>
        </is>
      </c>
      <c r="B121" s="5" t="inlineStr">
        <is>
          <t xml:space="preserve">South 1 </t>
        </is>
      </c>
      <c r="C121" s="76" t="inlineStr">
        <is>
          <t>Bapi Reddy</t>
        </is>
      </c>
      <c r="D121" s="26" t="inlineStr">
        <is>
          <t>Debashreeta</t>
        </is>
      </c>
      <c r="E121" s="26" t="inlineStr">
        <is>
          <t>Category (B)</t>
        </is>
      </c>
      <c r="F121" s="26" t="inlineStr">
        <is>
          <t>Contractual SLA</t>
        </is>
      </c>
      <c r="G121" s="26" t="inlineStr">
        <is>
          <t>Yes</t>
        </is>
      </c>
      <c r="H121" s="21" t="inlineStr">
        <is>
          <t>new hire leavers in first 3 months / total new hires within same timeframe</t>
        </is>
      </c>
      <c r="I121" s="20" t="inlineStr">
        <is>
          <t>&lt;5%</t>
        </is>
      </c>
      <c r="J121" s="20" t="inlineStr">
        <is>
          <t>NA</t>
        </is>
      </c>
      <c r="K121" s="20" t="inlineStr">
        <is>
          <t>NA</t>
        </is>
      </c>
      <c r="L121" s="28" t="inlineStr">
        <is>
          <t>NA</t>
        </is>
      </c>
      <c r="M121" s="20" t="inlineStr">
        <is>
          <t>NA</t>
        </is>
      </c>
      <c r="N121" s="28" t="inlineStr">
        <is>
          <t>NA</t>
        </is>
      </c>
      <c r="O121" s="20" t="inlineStr">
        <is>
          <t>NA</t>
        </is>
      </c>
      <c r="P121" s="28" t="inlineStr">
        <is>
          <t>NA</t>
        </is>
      </c>
      <c r="Q121" s="20" t="inlineStr">
        <is>
          <t>NA</t>
        </is>
      </c>
      <c r="R121" s="17" t="inlineStr">
        <is>
          <t>NA</t>
        </is>
      </c>
      <c r="S121" s="20" t="inlineStr">
        <is>
          <t>NA</t>
        </is>
      </c>
      <c r="T121" s="17" t="inlineStr">
        <is>
          <t>NA</t>
        </is>
      </c>
      <c r="U121" s="17" t="inlineStr">
        <is>
          <t>NA</t>
        </is>
      </c>
      <c r="V121" s="17" t="inlineStr">
        <is>
          <t>NA</t>
        </is>
      </c>
      <c r="W121" s="20" t="inlineStr">
        <is>
          <t>NA</t>
        </is>
      </c>
      <c r="X121" s="20" t="inlineStr">
        <is>
          <t>NA</t>
        </is>
      </c>
      <c r="Y121" s="20" t="inlineStr">
        <is>
          <t>NA</t>
        </is>
      </c>
      <c r="Z121" s="17" t="inlineStr">
        <is>
          <t>NA</t>
        </is>
      </c>
      <c r="AA121" s="20" t="inlineStr">
        <is>
          <t>NA</t>
        </is>
      </c>
      <c r="AB121" s="93" t="inlineStr">
        <is>
          <t>NA</t>
        </is>
      </c>
      <c r="AC121" s="20" t="inlineStr">
        <is>
          <t>NA</t>
        </is>
      </c>
      <c r="AD121" s="126" t="inlineStr">
        <is>
          <t>NA</t>
        </is>
      </c>
      <c r="AE121" s="126" t="inlineStr">
        <is>
          <t>NA</t>
        </is>
      </c>
      <c r="AF121" s="126" t="inlineStr">
        <is>
          <t>NA</t>
        </is>
      </c>
      <c r="AG121" s="97" t="inlineStr">
        <is>
          <t>NA</t>
        </is>
      </c>
      <c r="AH121" s="285" t="n">
        <v>0</v>
      </c>
      <c r="AI121" s="285" t="inlineStr">
        <is>
          <t>Not Reported</t>
        </is>
      </c>
      <c r="AJ121" s="93" t="inlineStr">
        <is>
          <t>NA</t>
        </is>
      </c>
      <c r="AK121" s="126" t="inlineStr">
        <is>
          <t>NA</t>
        </is>
      </c>
    </row>
    <row r="122">
      <c r="A122" s="26" t="inlineStr">
        <is>
          <t>Honeywell</t>
        </is>
      </c>
      <c r="B122" s="5" t="inlineStr">
        <is>
          <t xml:space="preserve">South 1 </t>
        </is>
      </c>
      <c r="C122" s="76" t="inlineStr">
        <is>
          <t>Bapi Reddy</t>
        </is>
      </c>
      <c r="D122" s="26" t="inlineStr">
        <is>
          <t>Debashreeta</t>
        </is>
      </c>
      <c r="E122" s="26" t="inlineStr">
        <is>
          <t>Category (B)</t>
        </is>
      </c>
      <c r="F122" s="26" t="inlineStr">
        <is>
          <t>Contractual SLA</t>
        </is>
      </c>
      <c r="G122" s="26" t="inlineStr">
        <is>
          <t>Yes</t>
        </is>
      </c>
      <c r="H122" s="26" t="inlineStr">
        <is>
          <t>Diversity</t>
        </is>
      </c>
      <c r="I122" s="20" t="inlineStr">
        <is>
          <t>&gt;85%</t>
        </is>
      </c>
      <c r="J122" s="29" t="n">
        <v>0.98</v>
      </c>
      <c r="K122" s="28" t="inlineStr">
        <is>
          <t>Met</t>
        </is>
      </c>
      <c r="L122" s="28" t="inlineStr">
        <is>
          <t>NA</t>
        </is>
      </c>
      <c r="M122" s="20" t="inlineStr">
        <is>
          <t>NA</t>
        </is>
      </c>
      <c r="N122" s="28" t="inlineStr">
        <is>
          <t>NA</t>
        </is>
      </c>
      <c r="O122" s="20" t="inlineStr">
        <is>
          <t>NA</t>
        </is>
      </c>
      <c r="P122" s="28" t="inlineStr">
        <is>
          <t>NA</t>
        </is>
      </c>
      <c r="Q122" s="20" t="inlineStr">
        <is>
          <t>NA</t>
        </is>
      </c>
      <c r="R122" s="17" t="inlineStr">
        <is>
          <t>NA</t>
        </is>
      </c>
      <c r="S122" s="20" t="inlineStr">
        <is>
          <t>NA</t>
        </is>
      </c>
      <c r="T122" s="20" t="n">
        <v>0.99</v>
      </c>
      <c r="U122" s="28" t="inlineStr">
        <is>
          <t>Met</t>
        </is>
      </c>
      <c r="V122" s="29" t="n">
        <v>0.99</v>
      </c>
      <c r="W122" s="28" t="inlineStr">
        <is>
          <t>Met</t>
        </is>
      </c>
      <c r="X122" s="29" t="n">
        <v>0.99</v>
      </c>
      <c r="Y122" s="28" t="inlineStr">
        <is>
          <t>Met</t>
        </is>
      </c>
      <c r="Z122" s="29" t="n">
        <v>0.99</v>
      </c>
      <c r="AA122" s="28" t="inlineStr">
        <is>
          <t>Met</t>
        </is>
      </c>
      <c r="AB122" s="96" t="n">
        <v>0.99</v>
      </c>
      <c r="AC122" s="28" t="inlineStr">
        <is>
          <t>Met</t>
        </is>
      </c>
      <c r="AD122" s="135" t="n">
        <v>0.99</v>
      </c>
      <c r="AE122" s="28" t="inlineStr">
        <is>
          <t>Met</t>
        </is>
      </c>
      <c r="AF122" s="102" t="n">
        <v>0.99</v>
      </c>
      <c r="AG122" s="202" t="inlineStr">
        <is>
          <t>Met</t>
        </is>
      </c>
      <c r="AH122" s="285" t="n">
        <v>0</v>
      </c>
      <c r="AI122" s="285" t="inlineStr">
        <is>
          <t>Not Reported</t>
        </is>
      </c>
      <c r="AJ122" s="102" t="n">
        <v>0.99</v>
      </c>
      <c r="AK122" s="202" t="inlineStr">
        <is>
          <t>Met</t>
        </is>
      </c>
    </row>
    <row r="123">
      <c r="A123" s="26" t="inlineStr">
        <is>
          <t>Honeywell</t>
        </is>
      </c>
      <c r="B123" s="5" t="inlineStr">
        <is>
          <t xml:space="preserve">South 1 </t>
        </is>
      </c>
      <c r="C123" s="76" t="inlineStr">
        <is>
          <t>Bapi Reddy</t>
        </is>
      </c>
      <c r="D123" s="26" t="inlineStr">
        <is>
          <t>Debashreeta</t>
        </is>
      </c>
      <c r="E123" s="26" t="inlineStr">
        <is>
          <t>Category (B)</t>
        </is>
      </c>
      <c r="F123" s="26" t="inlineStr">
        <is>
          <t>Contractual SLA</t>
        </is>
      </c>
      <c r="G123" s="26" t="inlineStr">
        <is>
          <t>Yes</t>
        </is>
      </c>
      <c r="H123" s="26" t="inlineStr">
        <is>
          <t>CSAT</t>
        </is>
      </c>
      <c r="I123" s="20" t="inlineStr">
        <is>
          <t>&gt;=4.5</t>
        </is>
      </c>
      <c r="J123" s="28" t="n">
        <v>4.6</v>
      </c>
      <c r="K123" s="28" t="inlineStr">
        <is>
          <t>Met</t>
        </is>
      </c>
      <c r="L123" s="28" t="inlineStr">
        <is>
          <t>NA</t>
        </is>
      </c>
      <c r="M123" s="20" t="inlineStr">
        <is>
          <t>NA</t>
        </is>
      </c>
      <c r="N123" s="28" t="inlineStr">
        <is>
          <t>NA</t>
        </is>
      </c>
      <c r="O123" s="20" t="inlineStr">
        <is>
          <t>NA</t>
        </is>
      </c>
      <c r="P123" s="28" t="inlineStr">
        <is>
          <t>NA</t>
        </is>
      </c>
      <c r="Q123" s="20" t="inlineStr">
        <is>
          <t>NA</t>
        </is>
      </c>
      <c r="R123" s="17" t="inlineStr">
        <is>
          <t>NA</t>
        </is>
      </c>
      <c r="S123" s="20" t="inlineStr">
        <is>
          <t>NA</t>
        </is>
      </c>
      <c r="T123" s="28" t="n">
        <v>4.7</v>
      </c>
      <c r="U123" s="28" t="inlineStr">
        <is>
          <t>Met</t>
        </is>
      </c>
      <c r="V123" s="28" t="n">
        <v>4.7</v>
      </c>
      <c r="W123" s="28" t="inlineStr">
        <is>
          <t>Met</t>
        </is>
      </c>
      <c r="X123" s="28" t="n">
        <v>4.8</v>
      </c>
      <c r="Y123" s="28" t="inlineStr">
        <is>
          <t>Met</t>
        </is>
      </c>
      <c r="Z123" s="28" t="n">
        <v>4.7</v>
      </c>
      <c r="AA123" s="28" t="inlineStr">
        <is>
          <t>Met</t>
        </is>
      </c>
      <c r="AB123" s="93" t="n">
        <v>4.7</v>
      </c>
      <c r="AC123" s="28" t="inlineStr">
        <is>
          <t>Met</t>
        </is>
      </c>
      <c r="AD123" s="95" t="n">
        <v>4.7</v>
      </c>
      <c r="AE123" s="28" t="inlineStr">
        <is>
          <t>Met</t>
        </is>
      </c>
      <c r="AF123" s="95" t="n">
        <v>4.7</v>
      </c>
      <c r="AG123" s="202" t="inlineStr">
        <is>
          <t>Met</t>
        </is>
      </c>
      <c r="AH123" s="285" t="n">
        <v>0</v>
      </c>
      <c r="AI123" s="285" t="inlineStr">
        <is>
          <t>Not Reported</t>
        </is>
      </c>
      <c r="AJ123" s="95" t="n">
        <v>4.7</v>
      </c>
      <c r="AK123" s="202" t="inlineStr">
        <is>
          <t>Met</t>
        </is>
      </c>
    </row>
    <row r="124">
      <c r="A124" s="26" t="inlineStr">
        <is>
          <t>Honeywell</t>
        </is>
      </c>
      <c r="B124" s="5" t="inlineStr">
        <is>
          <t xml:space="preserve">South 1 </t>
        </is>
      </c>
      <c r="C124" s="76" t="inlineStr">
        <is>
          <t>Bapi Reddy</t>
        </is>
      </c>
      <c r="D124" s="26" t="inlineStr">
        <is>
          <t>Debashreeta</t>
        </is>
      </c>
      <c r="E124" s="26" t="inlineStr">
        <is>
          <t>Category (B)</t>
        </is>
      </c>
      <c r="F124" s="26" t="inlineStr">
        <is>
          <t>Contractual SLA</t>
        </is>
      </c>
      <c r="G124" s="26" t="inlineStr">
        <is>
          <t>Yes</t>
        </is>
      </c>
      <c r="H124" s="21" t="inlineStr">
        <is>
          <t>HM SAT Average score of minimum 4.5</t>
        </is>
      </c>
      <c r="I124" s="20" t="inlineStr">
        <is>
          <t>&gt;=4.5</t>
        </is>
      </c>
      <c r="J124" s="28" t="n">
        <v>4.8</v>
      </c>
      <c r="K124" s="28" t="inlineStr">
        <is>
          <t>Met</t>
        </is>
      </c>
      <c r="L124" s="28" t="inlineStr">
        <is>
          <t>NA</t>
        </is>
      </c>
      <c r="M124" s="20" t="inlineStr">
        <is>
          <t>NA</t>
        </is>
      </c>
      <c r="N124" s="28" t="inlineStr">
        <is>
          <t>NA</t>
        </is>
      </c>
      <c r="O124" s="20" t="inlineStr">
        <is>
          <t>NA</t>
        </is>
      </c>
      <c r="P124" s="28" t="inlineStr">
        <is>
          <t>NA</t>
        </is>
      </c>
      <c r="Q124" s="20" t="inlineStr">
        <is>
          <t>NA</t>
        </is>
      </c>
      <c r="R124" s="17" t="inlineStr">
        <is>
          <t>NA</t>
        </is>
      </c>
      <c r="S124" s="20" t="inlineStr">
        <is>
          <t>NA</t>
        </is>
      </c>
      <c r="T124" s="28" t="n">
        <v>4.8</v>
      </c>
      <c r="U124" s="28" t="inlineStr">
        <is>
          <t>Met</t>
        </is>
      </c>
      <c r="V124" s="28" t="n">
        <v>4.8</v>
      </c>
      <c r="W124" s="28" t="inlineStr">
        <is>
          <t>Met</t>
        </is>
      </c>
      <c r="X124" s="28" t="n">
        <v>4.6</v>
      </c>
      <c r="Y124" s="28" t="inlineStr">
        <is>
          <t>Met</t>
        </is>
      </c>
      <c r="Z124" s="28" t="n">
        <v>4.8</v>
      </c>
      <c r="AA124" s="28" t="inlineStr">
        <is>
          <t>Met</t>
        </is>
      </c>
      <c r="AB124" s="93" t="n">
        <v>4.8</v>
      </c>
      <c r="AC124" s="28" t="inlineStr">
        <is>
          <t>Met</t>
        </is>
      </c>
      <c r="AD124" s="95" t="n">
        <v>4.8</v>
      </c>
      <c r="AE124" s="28" t="inlineStr">
        <is>
          <t>Met</t>
        </is>
      </c>
      <c r="AF124" s="95" t="n">
        <v>4.8</v>
      </c>
      <c r="AG124" s="202" t="inlineStr">
        <is>
          <t>Met</t>
        </is>
      </c>
      <c r="AH124" s="285" t="n">
        <v>0</v>
      </c>
      <c r="AI124" s="285" t="inlineStr">
        <is>
          <t>Not Reported</t>
        </is>
      </c>
      <c r="AJ124" s="95" t="n">
        <v>4.8</v>
      </c>
      <c r="AK124" s="202" t="inlineStr">
        <is>
          <t>Met</t>
        </is>
      </c>
    </row>
    <row r="125">
      <c r="A125" s="26" t="inlineStr">
        <is>
          <t>Honeywell</t>
        </is>
      </c>
      <c r="B125" s="5" t="inlineStr">
        <is>
          <t xml:space="preserve">South 1 </t>
        </is>
      </c>
      <c r="C125" s="76" t="inlineStr">
        <is>
          <t>Bapi Reddy</t>
        </is>
      </c>
      <c r="D125" s="26" t="inlineStr">
        <is>
          <t>Debashreeta</t>
        </is>
      </c>
      <c r="E125" s="26" t="inlineStr">
        <is>
          <t>Category (B)</t>
        </is>
      </c>
      <c r="F125" s="21" t="inlineStr">
        <is>
          <t>Internal KPI</t>
        </is>
      </c>
      <c r="G125" s="21" t="inlineStr">
        <is>
          <t>No</t>
        </is>
      </c>
      <c r="H125" s="27" t="inlineStr">
        <is>
          <t>Time to Hire</t>
        </is>
      </c>
      <c r="I125" s="20" t="inlineStr">
        <is>
          <t>50 Days</t>
        </is>
      </c>
      <c r="J125" s="28" t="inlineStr">
        <is>
          <t>42 days</t>
        </is>
      </c>
      <c r="K125" s="28" t="inlineStr">
        <is>
          <t>Met</t>
        </is>
      </c>
      <c r="L125" s="28" t="inlineStr">
        <is>
          <t>NA</t>
        </is>
      </c>
      <c r="M125" s="20" t="inlineStr">
        <is>
          <t>NA</t>
        </is>
      </c>
      <c r="N125" s="28" t="inlineStr">
        <is>
          <t>NA</t>
        </is>
      </c>
      <c r="O125" s="20" t="inlineStr">
        <is>
          <t>NA</t>
        </is>
      </c>
      <c r="P125" s="28" t="inlineStr">
        <is>
          <t>NA</t>
        </is>
      </c>
      <c r="Q125" s="20" t="inlineStr">
        <is>
          <t>NA</t>
        </is>
      </c>
      <c r="R125" s="17" t="inlineStr">
        <is>
          <t>NA</t>
        </is>
      </c>
      <c r="S125" s="20" t="inlineStr">
        <is>
          <t>NA</t>
        </is>
      </c>
      <c r="T125" s="20" t="inlineStr">
        <is>
          <t>39 days</t>
        </is>
      </c>
      <c r="U125" s="28" t="inlineStr">
        <is>
          <t>Met</t>
        </is>
      </c>
      <c r="V125" s="28" t="inlineStr">
        <is>
          <t>38 days</t>
        </is>
      </c>
      <c r="W125" s="28" t="inlineStr">
        <is>
          <t>Met</t>
        </is>
      </c>
      <c r="X125" s="28" t="inlineStr">
        <is>
          <t>41 days</t>
        </is>
      </c>
      <c r="Y125" s="28" t="inlineStr">
        <is>
          <t>Met</t>
        </is>
      </c>
      <c r="Z125" s="28" t="inlineStr">
        <is>
          <t>38 days</t>
        </is>
      </c>
      <c r="AA125" s="28" t="inlineStr">
        <is>
          <t>Met</t>
        </is>
      </c>
      <c r="AB125" s="93" t="inlineStr">
        <is>
          <t>NA</t>
        </is>
      </c>
      <c r="AC125" s="20" t="inlineStr">
        <is>
          <t>NA</t>
        </is>
      </c>
      <c r="AD125" s="93" t="inlineStr">
        <is>
          <t>NA</t>
        </is>
      </c>
      <c r="AE125" s="126" t="inlineStr">
        <is>
          <t>NA</t>
        </is>
      </c>
      <c r="AF125" s="95" t="n">
        <v>36</v>
      </c>
      <c r="AG125" s="202" t="inlineStr">
        <is>
          <t>Met</t>
        </is>
      </c>
      <c r="AH125" s="285" t="n">
        <v>0</v>
      </c>
      <c r="AI125" s="285" t="inlineStr">
        <is>
          <t>Not Reported</t>
        </is>
      </c>
      <c r="AJ125" s="95" t="n">
        <v>34</v>
      </c>
      <c r="AK125" s="202" t="inlineStr">
        <is>
          <t>Met</t>
        </is>
      </c>
    </row>
    <row r="126">
      <c r="A126" s="26" t="inlineStr">
        <is>
          <t>Honeywell</t>
        </is>
      </c>
      <c r="B126" s="5" t="inlineStr">
        <is>
          <t xml:space="preserve">South 1 </t>
        </is>
      </c>
      <c r="C126" s="76" t="inlineStr">
        <is>
          <t>Bapi Reddy</t>
        </is>
      </c>
      <c r="D126" s="26" t="inlineStr">
        <is>
          <t>Debashreeta</t>
        </is>
      </c>
      <c r="E126" s="26" t="inlineStr">
        <is>
          <t>Category (B)</t>
        </is>
      </c>
      <c r="F126" s="21" t="inlineStr">
        <is>
          <t>Internal KPI</t>
        </is>
      </c>
      <c r="G126" s="21" t="inlineStr">
        <is>
          <t>No</t>
        </is>
      </c>
      <c r="H126" s="27" t="inlineStr">
        <is>
          <t>First Time Right Ratio</t>
        </is>
      </c>
      <c r="I126" s="20" t="inlineStr">
        <is>
          <t>Not Shared</t>
        </is>
      </c>
      <c r="J126" s="20" t="inlineStr">
        <is>
          <t>NA</t>
        </is>
      </c>
      <c r="K126" s="20" t="inlineStr">
        <is>
          <t>NA</t>
        </is>
      </c>
      <c r="L126" s="28" t="inlineStr">
        <is>
          <t>NA</t>
        </is>
      </c>
      <c r="M126" s="20" t="inlineStr">
        <is>
          <t>NA</t>
        </is>
      </c>
      <c r="N126" s="28" t="inlineStr">
        <is>
          <t>NA</t>
        </is>
      </c>
      <c r="O126" s="20" t="inlineStr">
        <is>
          <t>NA</t>
        </is>
      </c>
      <c r="P126" s="28" t="inlineStr">
        <is>
          <t>NA</t>
        </is>
      </c>
      <c r="Q126" s="20" t="inlineStr">
        <is>
          <t>NA</t>
        </is>
      </c>
      <c r="R126" s="17" t="inlineStr">
        <is>
          <t>NA</t>
        </is>
      </c>
      <c r="S126" s="20" t="inlineStr">
        <is>
          <t>NA</t>
        </is>
      </c>
      <c r="T126" s="17" t="inlineStr">
        <is>
          <t>NA</t>
        </is>
      </c>
      <c r="U126" s="20" t="inlineStr">
        <is>
          <t>NA</t>
        </is>
      </c>
      <c r="V126" s="17" t="inlineStr">
        <is>
          <t>NA</t>
        </is>
      </c>
      <c r="W126" s="20" t="inlineStr">
        <is>
          <t>NA</t>
        </is>
      </c>
      <c r="X126" s="20" t="inlineStr">
        <is>
          <t>NA</t>
        </is>
      </c>
      <c r="Y126" s="20" t="inlineStr">
        <is>
          <t>NA</t>
        </is>
      </c>
      <c r="Z126" s="17" t="inlineStr">
        <is>
          <t>NA</t>
        </is>
      </c>
      <c r="AA126" s="20" t="inlineStr">
        <is>
          <t>NA</t>
        </is>
      </c>
      <c r="AB126" s="93" t="inlineStr">
        <is>
          <t>NA</t>
        </is>
      </c>
      <c r="AC126" s="20" t="inlineStr">
        <is>
          <t>NA</t>
        </is>
      </c>
      <c r="AD126" s="93" t="inlineStr">
        <is>
          <t>NA</t>
        </is>
      </c>
      <c r="AE126" s="126" t="inlineStr">
        <is>
          <t>NA</t>
        </is>
      </c>
      <c r="AF126" s="93" t="inlineStr">
        <is>
          <t>NA</t>
        </is>
      </c>
      <c r="AG126" s="97" t="inlineStr">
        <is>
          <t>NA</t>
        </is>
      </c>
      <c r="AH126" s="285" t="n">
        <v>0</v>
      </c>
      <c r="AI126" s="285" t="inlineStr">
        <is>
          <t>Not Reported</t>
        </is>
      </c>
      <c r="AJ126" s="93" t="inlineStr">
        <is>
          <t>NA</t>
        </is>
      </c>
      <c r="AK126" s="126" t="inlineStr">
        <is>
          <t>NA</t>
        </is>
      </c>
    </row>
    <row r="127">
      <c r="A127" s="26" t="inlineStr">
        <is>
          <t>Honeywell</t>
        </is>
      </c>
      <c r="B127" s="5" t="inlineStr">
        <is>
          <t xml:space="preserve">South 1 </t>
        </is>
      </c>
      <c r="C127" s="76" t="inlineStr">
        <is>
          <t>Bapi Reddy</t>
        </is>
      </c>
      <c r="D127" s="26" t="inlineStr">
        <is>
          <t>Debashreeta</t>
        </is>
      </c>
      <c r="E127" s="26" t="inlineStr">
        <is>
          <t>Category (B)</t>
        </is>
      </c>
      <c r="F127" s="21" t="inlineStr">
        <is>
          <t>Internal KPI</t>
        </is>
      </c>
      <c r="G127" s="21" t="inlineStr">
        <is>
          <t>No</t>
        </is>
      </c>
      <c r="H127" s="27" t="inlineStr">
        <is>
          <t>Hit Ratio</t>
        </is>
      </c>
      <c r="I127" s="20" t="inlineStr">
        <is>
          <t>Not Shared</t>
        </is>
      </c>
      <c r="J127" s="20" t="inlineStr">
        <is>
          <t>NA</t>
        </is>
      </c>
      <c r="K127" s="20" t="inlineStr">
        <is>
          <t>NA</t>
        </is>
      </c>
      <c r="L127" s="28" t="inlineStr">
        <is>
          <t>NA</t>
        </is>
      </c>
      <c r="M127" s="20" t="inlineStr">
        <is>
          <t>NA</t>
        </is>
      </c>
      <c r="N127" s="28" t="inlineStr">
        <is>
          <t>NA</t>
        </is>
      </c>
      <c r="O127" s="20" t="inlineStr">
        <is>
          <t>NA</t>
        </is>
      </c>
      <c r="P127" s="28" t="inlineStr">
        <is>
          <t>NA</t>
        </is>
      </c>
      <c r="Q127" s="20" t="inlineStr">
        <is>
          <t>NA</t>
        </is>
      </c>
      <c r="R127" s="17" t="inlineStr">
        <is>
          <t>NA</t>
        </is>
      </c>
      <c r="S127" s="20" t="inlineStr">
        <is>
          <t>NA</t>
        </is>
      </c>
      <c r="T127" s="17" t="inlineStr">
        <is>
          <t>NA</t>
        </is>
      </c>
      <c r="U127" s="20" t="inlineStr">
        <is>
          <t>NA</t>
        </is>
      </c>
      <c r="V127" s="17" t="inlineStr">
        <is>
          <t>NA</t>
        </is>
      </c>
      <c r="W127" s="20" t="inlineStr">
        <is>
          <t>NA</t>
        </is>
      </c>
      <c r="X127" s="20" t="inlineStr">
        <is>
          <t>NA</t>
        </is>
      </c>
      <c r="Y127" s="20" t="inlineStr">
        <is>
          <t>NA</t>
        </is>
      </c>
      <c r="Z127" s="17" t="inlineStr">
        <is>
          <t>NA</t>
        </is>
      </c>
      <c r="AA127" s="20" t="inlineStr">
        <is>
          <t>NA</t>
        </is>
      </c>
      <c r="AB127" s="93" t="inlineStr">
        <is>
          <t>NA</t>
        </is>
      </c>
      <c r="AC127" s="20" t="inlineStr">
        <is>
          <t>NA</t>
        </is>
      </c>
      <c r="AD127" s="93" t="inlineStr">
        <is>
          <t>NA</t>
        </is>
      </c>
      <c r="AE127" s="126" t="inlineStr">
        <is>
          <t>NA</t>
        </is>
      </c>
      <c r="AF127" s="93" t="inlineStr">
        <is>
          <t>NA</t>
        </is>
      </c>
      <c r="AG127" s="97" t="inlineStr">
        <is>
          <t>NA</t>
        </is>
      </c>
      <c r="AH127" s="285" t="n">
        <v>0</v>
      </c>
      <c r="AI127" s="285" t="inlineStr">
        <is>
          <t>Not Reported</t>
        </is>
      </c>
      <c r="AJ127" s="93" t="inlineStr">
        <is>
          <t>NA</t>
        </is>
      </c>
      <c r="AK127" s="126" t="inlineStr">
        <is>
          <t>NA</t>
        </is>
      </c>
    </row>
    <row r="128">
      <c r="A128" s="26" t="inlineStr">
        <is>
          <t>Honeywell</t>
        </is>
      </c>
      <c r="B128" s="5" t="inlineStr">
        <is>
          <t xml:space="preserve">South 1 </t>
        </is>
      </c>
      <c r="C128" s="76" t="inlineStr">
        <is>
          <t>Bapi Reddy</t>
        </is>
      </c>
      <c r="D128" s="26" t="inlineStr">
        <is>
          <t>Debashreeta</t>
        </is>
      </c>
      <c r="E128" s="26" t="inlineStr">
        <is>
          <t>Category (B)</t>
        </is>
      </c>
      <c r="F128" s="21" t="inlineStr">
        <is>
          <t>Internal KPI</t>
        </is>
      </c>
      <c r="G128" s="21" t="inlineStr">
        <is>
          <t>No</t>
        </is>
      </c>
      <c r="H128" s="21" t="inlineStr">
        <is>
          <t>Offer Drop</t>
        </is>
      </c>
      <c r="I128" s="20" t="inlineStr">
        <is>
          <t>Not Shared</t>
        </is>
      </c>
      <c r="J128" s="20" t="inlineStr">
        <is>
          <t>NA</t>
        </is>
      </c>
      <c r="K128" s="20" t="inlineStr">
        <is>
          <t>NA</t>
        </is>
      </c>
      <c r="L128" s="28" t="inlineStr">
        <is>
          <t>NA</t>
        </is>
      </c>
      <c r="M128" s="20" t="inlineStr">
        <is>
          <t>NA</t>
        </is>
      </c>
      <c r="N128" s="28" t="inlineStr">
        <is>
          <t>NA</t>
        </is>
      </c>
      <c r="O128" s="20" t="inlineStr">
        <is>
          <t>NA</t>
        </is>
      </c>
      <c r="P128" s="28" t="inlineStr">
        <is>
          <t>NA</t>
        </is>
      </c>
      <c r="Q128" s="20" t="inlineStr">
        <is>
          <t>NA</t>
        </is>
      </c>
      <c r="R128" s="17" t="inlineStr">
        <is>
          <t>NA</t>
        </is>
      </c>
      <c r="S128" s="20" t="inlineStr">
        <is>
          <t>NA</t>
        </is>
      </c>
      <c r="T128" s="17" t="inlineStr">
        <is>
          <t>NA</t>
        </is>
      </c>
      <c r="U128" s="20" t="inlineStr">
        <is>
          <t>NA</t>
        </is>
      </c>
      <c r="V128" s="17" t="inlineStr">
        <is>
          <t>NA</t>
        </is>
      </c>
      <c r="W128" s="20" t="inlineStr">
        <is>
          <t>NA</t>
        </is>
      </c>
      <c r="X128" s="20" t="inlineStr">
        <is>
          <t>NA</t>
        </is>
      </c>
      <c r="Y128" s="20" t="inlineStr">
        <is>
          <t>NA</t>
        </is>
      </c>
      <c r="Z128" s="17" t="inlineStr">
        <is>
          <t>NA</t>
        </is>
      </c>
      <c r="AA128" s="20" t="inlineStr">
        <is>
          <t>NA</t>
        </is>
      </c>
      <c r="AB128" s="93" t="inlineStr">
        <is>
          <t>NA</t>
        </is>
      </c>
      <c r="AC128" s="20" t="inlineStr">
        <is>
          <t>NA</t>
        </is>
      </c>
      <c r="AD128" s="93" t="inlineStr">
        <is>
          <t>NA</t>
        </is>
      </c>
      <c r="AE128" s="126" t="inlineStr">
        <is>
          <t>NA</t>
        </is>
      </c>
      <c r="AF128" s="93" t="inlineStr">
        <is>
          <t>NA</t>
        </is>
      </c>
      <c r="AG128" s="97" t="inlineStr">
        <is>
          <t>NA</t>
        </is>
      </c>
      <c r="AH128" s="285" t="n">
        <v>0</v>
      </c>
      <c r="AI128" s="285" t="inlineStr">
        <is>
          <t>Not Reported</t>
        </is>
      </c>
      <c r="AJ128" s="93" t="inlineStr">
        <is>
          <t>NA</t>
        </is>
      </c>
      <c r="AK128" s="126" t="inlineStr">
        <is>
          <t>NA</t>
        </is>
      </c>
    </row>
    <row r="129">
      <c r="A129" s="26" t="inlineStr">
        <is>
          <t>Honeywell</t>
        </is>
      </c>
      <c r="B129" s="5" t="inlineStr">
        <is>
          <t xml:space="preserve">South 1 </t>
        </is>
      </c>
      <c r="C129" s="76" t="inlineStr">
        <is>
          <t>Bapi Reddy</t>
        </is>
      </c>
      <c r="D129" s="26" t="inlineStr">
        <is>
          <t>Debashreeta</t>
        </is>
      </c>
      <c r="E129" s="26" t="inlineStr">
        <is>
          <t>Category (B)</t>
        </is>
      </c>
      <c r="F129" s="21" t="inlineStr">
        <is>
          <t>Internal KPI</t>
        </is>
      </c>
      <c r="G129" s="21" t="inlineStr">
        <is>
          <t>No</t>
        </is>
      </c>
      <c r="H129" s="27" t="inlineStr">
        <is>
          <t xml:space="preserve">Fulfilment </t>
        </is>
      </c>
      <c r="I129" s="20" t="inlineStr">
        <is>
          <t>Not Shared</t>
        </is>
      </c>
      <c r="J129" s="20" t="inlineStr">
        <is>
          <t>NA</t>
        </is>
      </c>
      <c r="K129" s="20" t="inlineStr">
        <is>
          <t>NA</t>
        </is>
      </c>
      <c r="L129" s="28" t="inlineStr">
        <is>
          <t>NA</t>
        </is>
      </c>
      <c r="M129" s="20" t="inlineStr">
        <is>
          <t>NA</t>
        </is>
      </c>
      <c r="N129" s="28" t="inlineStr">
        <is>
          <t>NA</t>
        </is>
      </c>
      <c r="O129" s="20" t="inlineStr">
        <is>
          <t>NA</t>
        </is>
      </c>
      <c r="P129" s="28" t="inlineStr">
        <is>
          <t>NA</t>
        </is>
      </c>
      <c r="Q129" s="20" t="inlineStr">
        <is>
          <t>NA</t>
        </is>
      </c>
      <c r="R129" s="17" t="inlineStr">
        <is>
          <t>NA</t>
        </is>
      </c>
      <c r="S129" s="20" t="inlineStr">
        <is>
          <t>NA</t>
        </is>
      </c>
      <c r="T129" s="17" t="inlineStr">
        <is>
          <t>NA</t>
        </is>
      </c>
      <c r="U129" s="20" t="inlineStr">
        <is>
          <t>NA</t>
        </is>
      </c>
      <c r="V129" s="17" t="inlineStr">
        <is>
          <t>NA</t>
        </is>
      </c>
      <c r="W129" s="20" t="inlineStr">
        <is>
          <t>NA</t>
        </is>
      </c>
      <c r="X129" s="20" t="inlineStr">
        <is>
          <t>NA</t>
        </is>
      </c>
      <c r="Y129" s="20" t="inlineStr">
        <is>
          <t>NA</t>
        </is>
      </c>
      <c r="Z129" s="17" t="inlineStr">
        <is>
          <t>NA</t>
        </is>
      </c>
      <c r="AA129" s="20" t="inlineStr">
        <is>
          <t>NA</t>
        </is>
      </c>
      <c r="AB129" s="93" t="inlineStr">
        <is>
          <t>NA</t>
        </is>
      </c>
      <c r="AC129" s="20" t="inlineStr">
        <is>
          <t>NA</t>
        </is>
      </c>
      <c r="AD129" s="93" t="inlineStr">
        <is>
          <t>NA</t>
        </is>
      </c>
      <c r="AE129" s="126" t="inlineStr">
        <is>
          <t>NA</t>
        </is>
      </c>
      <c r="AF129" s="93" t="inlineStr">
        <is>
          <t>NA</t>
        </is>
      </c>
      <c r="AG129" s="97" t="inlineStr">
        <is>
          <t>NA</t>
        </is>
      </c>
      <c r="AH129" s="285" t="n">
        <v>0</v>
      </c>
      <c r="AI129" s="285" t="inlineStr">
        <is>
          <t>Not Reported</t>
        </is>
      </c>
      <c r="AJ129" s="93" t="inlineStr">
        <is>
          <t>NA</t>
        </is>
      </c>
      <c r="AK129" s="126" t="inlineStr">
        <is>
          <t>NA</t>
        </is>
      </c>
    </row>
    <row r="130">
      <c r="A130" s="21" t="inlineStr">
        <is>
          <t>HPE</t>
        </is>
      </c>
      <c r="B130" s="5" t="inlineStr">
        <is>
          <t xml:space="preserve">South 1 </t>
        </is>
      </c>
      <c r="C130" s="76" t="inlineStr">
        <is>
          <t>Mahak</t>
        </is>
      </c>
      <c r="D130" s="26" t="inlineStr">
        <is>
          <t>Debashreeta</t>
        </is>
      </c>
      <c r="E130" s="26" t="inlineStr">
        <is>
          <t>Category (B)</t>
        </is>
      </c>
      <c r="F130" s="21" t="inlineStr">
        <is>
          <t>Contractual SLA</t>
        </is>
      </c>
      <c r="G130" s="21" t="inlineStr">
        <is>
          <t>Yes</t>
        </is>
      </c>
      <c r="H130" s="27" t="inlineStr">
        <is>
          <t>Time to Fill</t>
        </is>
      </c>
      <c r="I130" s="14" t="inlineStr">
        <is>
          <t>Technical - 55 Days</t>
        </is>
      </c>
      <c r="J130" s="28" t="inlineStr">
        <is>
          <t>Not Reported</t>
        </is>
      </c>
      <c r="K130" s="28" t="inlineStr">
        <is>
          <t>Not Reported</t>
        </is>
      </c>
      <c r="L130" s="28" t="n">
        <v>53</v>
      </c>
      <c r="M130" s="28" t="inlineStr">
        <is>
          <t>Met</t>
        </is>
      </c>
      <c r="N130" s="28" t="n">
        <v>68</v>
      </c>
      <c r="O130" s="28" t="inlineStr">
        <is>
          <t>Not Met</t>
        </is>
      </c>
      <c r="P130" s="28" t="n">
        <v>56</v>
      </c>
      <c r="Q130" s="28" t="inlineStr">
        <is>
          <t>Not Met</t>
        </is>
      </c>
      <c r="R130" s="28" t="n">
        <v>54</v>
      </c>
      <c r="S130" s="28" t="inlineStr">
        <is>
          <t>Met</t>
        </is>
      </c>
      <c r="T130" s="28" t="n">
        <v>35</v>
      </c>
      <c r="U130" s="28" t="inlineStr">
        <is>
          <t>Met</t>
        </is>
      </c>
      <c r="V130" s="28" t="n">
        <v>26</v>
      </c>
      <c r="W130" s="28" t="inlineStr">
        <is>
          <t>Met</t>
        </is>
      </c>
      <c r="X130" s="28" t="n">
        <v>33</v>
      </c>
      <c r="Y130" s="28" t="inlineStr">
        <is>
          <t>Met</t>
        </is>
      </c>
      <c r="Z130" s="28" t="n">
        <v>32</v>
      </c>
      <c r="AA130" s="28" t="inlineStr">
        <is>
          <t>Met</t>
        </is>
      </c>
      <c r="AB130" s="95" t="n">
        <v>52</v>
      </c>
      <c r="AC130" s="28" t="inlineStr">
        <is>
          <t>Met</t>
        </is>
      </c>
      <c r="AD130" s="97" t="n">
        <v>42</v>
      </c>
      <c r="AE130" s="28" t="inlineStr">
        <is>
          <t>Met</t>
        </is>
      </c>
      <c r="AF130" s="95" t="n">
        <v>45</v>
      </c>
      <c r="AG130" s="202" t="inlineStr">
        <is>
          <t>Met</t>
        </is>
      </c>
      <c r="AH130" s="285" t="n">
        <v>0</v>
      </c>
      <c r="AI130" s="285" t="inlineStr">
        <is>
          <t>Not Reported</t>
        </is>
      </c>
      <c r="AJ130" s="95" t="n">
        <v>45</v>
      </c>
      <c r="AK130" s="202" t="inlineStr">
        <is>
          <t>Met</t>
        </is>
      </c>
    </row>
    <row r="131">
      <c r="A131" s="21" t="inlineStr">
        <is>
          <t>HPE</t>
        </is>
      </c>
      <c r="B131" s="5" t="inlineStr">
        <is>
          <t xml:space="preserve">South 1 </t>
        </is>
      </c>
      <c r="C131" s="76" t="inlineStr">
        <is>
          <t>Mahak</t>
        </is>
      </c>
      <c r="D131" s="26" t="inlineStr">
        <is>
          <t>Debashreeta</t>
        </is>
      </c>
      <c r="E131" s="26" t="inlineStr">
        <is>
          <t>Category (B)</t>
        </is>
      </c>
      <c r="F131" s="21" t="inlineStr">
        <is>
          <t>Contractual SLA</t>
        </is>
      </c>
      <c r="G131" s="21" t="inlineStr">
        <is>
          <t>Yes</t>
        </is>
      </c>
      <c r="H131" s="27" t="inlineStr">
        <is>
          <t>Time to Fill</t>
        </is>
      </c>
      <c r="I131" s="14" t="inlineStr">
        <is>
          <t>Enterprise - 45 Days</t>
        </is>
      </c>
      <c r="J131" s="28" t="inlineStr">
        <is>
          <t>Not Reported</t>
        </is>
      </c>
      <c r="K131" s="28" t="inlineStr">
        <is>
          <t>Not Reported</t>
        </is>
      </c>
      <c r="L131" s="28" t="n">
        <v>98</v>
      </c>
      <c r="M131" s="28" t="inlineStr">
        <is>
          <t>Not Met</t>
        </is>
      </c>
      <c r="N131" s="28" t="n">
        <v>94</v>
      </c>
      <c r="O131" s="28" t="inlineStr">
        <is>
          <t>Not Met</t>
        </is>
      </c>
      <c r="P131" s="28" t="n">
        <v>80</v>
      </c>
      <c r="Q131" s="28" t="inlineStr">
        <is>
          <t>Not Met</t>
        </is>
      </c>
      <c r="R131" s="28" t="n">
        <v>50</v>
      </c>
      <c r="S131" s="28" t="inlineStr">
        <is>
          <t>Not Met</t>
        </is>
      </c>
      <c r="T131" s="28" t="n">
        <v>38</v>
      </c>
      <c r="U131" s="28" t="inlineStr">
        <is>
          <t>Met</t>
        </is>
      </c>
      <c r="V131" s="28" t="n">
        <v>37</v>
      </c>
      <c r="W131" s="28" t="inlineStr">
        <is>
          <t>Met</t>
        </is>
      </c>
      <c r="X131" s="28" t="n">
        <v>41</v>
      </c>
      <c r="Y131" s="28" t="inlineStr">
        <is>
          <t>Met</t>
        </is>
      </c>
      <c r="Z131" s="28" t="n">
        <v>36</v>
      </c>
      <c r="AA131" s="28" t="inlineStr">
        <is>
          <t>Met</t>
        </is>
      </c>
      <c r="AB131" s="95" t="n">
        <v>38</v>
      </c>
      <c r="AC131" s="28" t="inlineStr">
        <is>
          <t>Met</t>
        </is>
      </c>
      <c r="AD131" s="97" t="n">
        <v>30</v>
      </c>
      <c r="AE131" s="28" t="inlineStr">
        <is>
          <t>Met</t>
        </is>
      </c>
      <c r="AF131" s="95" t="n">
        <v>37</v>
      </c>
      <c r="AG131" s="202" t="inlineStr">
        <is>
          <t>Met</t>
        </is>
      </c>
      <c r="AH131" s="285" t="n">
        <v>0</v>
      </c>
      <c r="AI131" s="285" t="inlineStr">
        <is>
          <t>Not Reported</t>
        </is>
      </c>
      <c r="AJ131" s="95" t="n">
        <v>37</v>
      </c>
      <c r="AK131" s="202" t="inlineStr">
        <is>
          <t>Met</t>
        </is>
      </c>
    </row>
    <row r="132">
      <c r="A132" s="21" t="inlineStr">
        <is>
          <t>HPE</t>
        </is>
      </c>
      <c r="B132" s="5" t="inlineStr">
        <is>
          <t xml:space="preserve">South 1 </t>
        </is>
      </c>
      <c r="C132" s="76" t="inlineStr">
        <is>
          <t>Mahak</t>
        </is>
      </c>
      <c r="D132" s="26" t="inlineStr">
        <is>
          <t>Debashreeta</t>
        </is>
      </c>
      <c r="E132" s="26" t="inlineStr">
        <is>
          <t>Category (B)</t>
        </is>
      </c>
      <c r="F132" s="21" t="inlineStr">
        <is>
          <t>Contractual SLA</t>
        </is>
      </c>
      <c r="G132" s="21" t="inlineStr">
        <is>
          <t>Yes</t>
        </is>
      </c>
      <c r="H132" s="21" t="inlineStr">
        <is>
          <t>% Aged - Technical</t>
        </is>
      </c>
      <c r="I132" s="14" t="inlineStr">
        <is>
          <t>&lt;=25%</t>
        </is>
      </c>
      <c r="J132" s="28" t="inlineStr">
        <is>
          <t>Not Reported</t>
        </is>
      </c>
      <c r="K132" s="28" t="inlineStr">
        <is>
          <t>Not Reported</t>
        </is>
      </c>
      <c r="L132" s="29" t="n">
        <v>0.11</v>
      </c>
      <c r="M132" s="28" t="inlineStr">
        <is>
          <t>Met</t>
        </is>
      </c>
      <c r="N132" s="29" t="n">
        <v>0.16</v>
      </c>
      <c r="O132" s="28" t="inlineStr">
        <is>
          <t>Met</t>
        </is>
      </c>
      <c r="P132" s="29" t="n">
        <v>0.14</v>
      </c>
      <c r="Q132" s="28" t="inlineStr">
        <is>
          <t>Met</t>
        </is>
      </c>
      <c r="R132" s="29" t="n">
        <v>0.06</v>
      </c>
      <c r="S132" s="28" t="inlineStr">
        <is>
          <t>Met</t>
        </is>
      </c>
      <c r="T132" s="29" t="n">
        <v>0.05</v>
      </c>
      <c r="U132" s="28" t="inlineStr">
        <is>
          <t>Met</t>
        </is>
      </c>
      <c r="V132" s="29" t="n">
        <v>0.02</v>
      </c>
      <c r="W132" s="28" t="inlineStr">
        <is>
          <t>Met</t>
        </is>
      </c>
      <c r="X132" s="29" t="n">
        <v>0.05</v>
      </c>
      <c r="Y132" s="28" t="inlineStr">
        <is>
          <t>Met</t>
        </is>
      </c>
      <c r="Z132" s="29" t="n">
        <v>0.15</v>
      </c>
      <c r="AA132" s="28" t="inlineStr">
        <is>
          <t>Met</t>
        </is>
      </c>
      <c r="AB132" s="102" t="n">
        <v>0.15</v>
      </c>
      <c r="AC132" s="28" t="inlineStr">
        <is>
          <t>Met</t>
        </is>
      </c>
      <c r="AD132" s="102" t="n">
        <v>0.05</v>
      </c>
      <c r="AE132" s="28" t="inlineStr">
        <is>
          <t>Met</t>
        </is>
      </c>
      <c r="AF132" s="102" t="n">
        <v>0.06</v>
      </c>
      <c r="AG132" s="202" t="inlineStr">
        <is>
          <t>Met</t>
        </is>
      </c>
      <c r="AH132" s="285" t="n">
        <v>0</v>
      </c>
      <c r="AI132" s="285" t="inlineStr">
        <is>
          <t>Not Reported</t>
        </is>
      </c>
      <c r="AJ132" s="102" t="n">
        <v>0.06</v>
      </c>
      <c r="AK132" s="202" t="inlineStr">
        <is>
          <t>Met</t>
        </is>
      </c>
    </row>
    <row r="133">
      <c r="A133" s="21" t="inlineStr">
        <is>
          <t>HPE</t>
        </is>
      </c>
      <c r="B133" s="5" t="inlineStr">
        <is>
          <t xml:space="preserve">South 1 </t>
        </is>
      </c>
      <c r="C133" s="76" t="inlineStr">
        <is>
          <t>Mahak</t>
        </is>
      </c>
      <c r="D133" s="26" t="inlineStr">
        <is>
          <t>Debashreeta</t>
        </is>
      </c>
      <c r="E133" s="26" t="inlineStr">
        <is>
          <t>Category (B)</t>
        </is>
      </c>
      <c r="F133" s="21" t="inlineStr">
        <is>
          <t>Contractual SLA</t>
        </is>
      </c>
      <c r="G133" s="21" t="inlineStr">
        <is>
          <t>Yes</t>
        </is>
      </c>
      <c r="H133" s="21" t="inlineStr">
        <is>
          <t>% Aged - Enterprise</t>
        </is>
      </c>
      <c r="I133" s="14" t="inlineStr">
        <is>
          <t>&lt;=20%</t>
        </is>
      </c>
      <c r="J133" s="28" t="inlineStr">
        <is>
          <t>Not Reported</t>
        </is>
      </c>
      <c r="K133" s="28" t="inlineStr">
        <is>
          <t>Not Reported</t>
        </is>
      </c>
      <c r="L133" s="29" t="n">
        <v>0.08</v>
      </c>
      <c r="M133" s="28" t="inlineStr">
        <is>
          <t>Met</t>
        </is>
      </c>
      <c r="N133" s="29" t="n">
        <v>0.13</v>
      </c>
      <c r="O133" s="28" t="inlineStr">
        <is>
          <t>Met</t>
        </is>
      </c>
      <c r="P133" s="29" t="n">
        <v>0.06</v>
      </c>
      <c r="Q133" s="28" t="inlineStr">
        <is>
          <t>Met</t>
        </is>
      </c>
      <c r="R133" s="29" t="n">
        <v>0.23</v>
      </c>
      <c r="S133" s="28" t="inlineStr">
        <is>
          <t>Not Met</t>
        </is>
      </c>
      <c r="T133" s="29" t="n">
        <v>0.18</v>
      </c>
      <c r="U133" s="28" t="inlineStr">
        <is>
          <t>Met</t>
        </is>
      </c>
      <c r="V133" s="29" t="n">
        <v>0.15</v>
      </c>
      <c r="W133" s="28" t="inlineStr">
        <is>
          <t>Met</t>
        </is>
      </c>
      <c r="X133" s="29" t="n">
        <v>0.21</v>
      </c>
      <c r="Y133" s="28" t="inlineStr">
        <is>
          <t>Not Met</t>
        </is>
      </c>
      <c r="Z133" s="29" t="n">
        <v>0.09</v>
      </c>
      <c r="AA133" s="28" t="inlineStr">
        <is>
          <t>Met</t>
        </is>
      </c>
      <c r="AB133" s="102" t="n">
        <v>0.09</v>
      </c>
      <c r="AC133" s="28" t="inlineStr">
        <is>
          <t>Met</t>
        </is>
      </c>
      <c r="AD133" s="102" t="n">
        <v>0.11</v>
      </c>
      <c r="AE133" s="28" t="inlineStr">
        <is>
          <t>Met</t>
        </is>
      </c>
      <c r="AF133" s="102" t="n">
        <v>0.16</v>
      </c>
      <c r="AG133" s="202" t="inlineStr">
        <is>
          <t>Met</t>
        </is>
      </c>
      <c r="AH133" s="285" t="n">
        <v>0</v>
      </c>
      <c r="AI133" s="285" t="inlineStr">
        <is>
          <t>Not Reported</t>
        </is>
      </c>
      <c r="AJ133" s="102" t="n">
        <v>0.18</v>
      </c>
      <c r="AK133" s="202" t="inlineStr">
        <is>
          <t>Met</t>
        </is>
      </c>
    </row>
    <row r="134">
      <c r="A134" s="21" t="inlineStr">
        <is>
          <t>HPE</t>
        </is>
      </c>
      <c r="B134" s="5" t="inlineStr">
        <is>
          <t xml:space="preserve">South 1 </t>
        </is>
      </c>
      <c r="C134" s="76" t="inlineStr">
        <is>
          <t>Mahak</t>
        </is>
      </c>
      <c r="D134" s="26" t="inlineStr">
        <is>
          <t>Debashreeta</t>
        </is>
      </c>
      <c r="E134" s="26" t="inlineStr">
        <is>
          <t>Category (B)</t>
        </is>
      </c>
      <c r="F134" s="21" t="inlineStr">
        <is>
          <t>Contractual SLA</t>
        </is>
      </c>
      <c r="G134" s="21" t="inlineStr">
        <is>
          <t>No</t>
        </is>
      </c>
      <c r="H134" s="21" t="inlineStr">
        <is>
          <t>Average Reqs Volume per recruiter - Technical</t>
        </is>
      </c>
      <c r="I134" s="14" t="inlineStr">
        <is>
          <t>&lt;=20%</t>
        </is>
      </c>
      <c r="J134" s="28" t="inlineStr">
        <is>
          <t>Not Reported</t>
        </is>
      </c>
      <c r="K134" s="28" t="inlineStr">
        <is>
          <t>Not Reported</t>
        </is>
      </c>
      <c r="L134" s="29" t="n">
        <v>0.02</v>
      </c>
      <c r="M134" s="28" t="inlineStr">
        <is>
          <t>Met</t>
        </is>
      </c>
      <c r="N134" s="28" t="n">
        <v>6</v>
      </c>
      <c r="O134" s="28" t="inlineStr">
        <is>
          <t>Met</t>
        </is>
      </c>
      <c r="P134" s="28" t="n">
        <v>4</v>
      </c>
      <c r="Q134" s="28" t="inlineStr">
        <is>
          <t>Met</t>
        </is>
      </c>
      <c r="R134" s="28" t="n">
        <v>11</v>
      </c>
      <c r="S134" s="28" t="inlineStr">
        <is>
          <t>Met</t>
        </is>
      </c>
      <c r="T134" s="28" t="n">
        <v>12</v>
      </c>
      <c r="U134" s="28" t="inlineStr">
        <is>
          <t>Met</t>
        </is>
      </c>
      <c r="V134" s="28" t="n">
        <v>8</v>
      </c>
      <c r="W134" s="28" t="inlineStr">
        <is>
          <t>Met</t>
        </is>
      </c>
      <c r="X134" s="7" t="n">
        <v>14</v>
      </c>
      <c r="Y134" s="28" t="inlineStr">
        <is>
          <t>Met</t>
        </is>
      </c>
      <c r="Z134" s="7" t="n">
        <v>5</v>
      </c>
      <c r="AA134" s="28" t="inlineStr">
        <is>
          <t>Met</t>
        </is>
      </c>
      <c r="AB134" s="116" t="n">
        <v>0.05</v>
      </c>
      <c r="AC134" s="28" t="inlineStr">
        <is>
          <t>Met</t>
        </is>
      </c>
      <c r="AD134" s="98" t="n">
        <v>0.36</v>
      </c>
      <c r="AE134" s="28" t="inlineStr">
        <is>
          <t>Not Met</t>
        </is>
      </c>
      <c r="AF134" s="263" t="n">
        <v>9</v>
      </c>
      <c r="AG134" s="28" t="inlineStr">
        <is>
          <t>Not Met</t>
        </is>
      </c>
      <c r="AH134" s="285" t="n">
        <v>0</v>
      </c>
      <c r="AI134" s="285" t="inlineStr">
        <is>
          <t>Not Reported</t>
        </is>
      </c>
      <c r="AJ134" s="264" t="n">
        <v>39</v>
      </c>
      <c r="AK134" s="28" t="inlineStr">
        <is>
          <t>Not Met</t>
        </is>
      </c>
    </row>
    <row r="135">
      <c r="A135" s="21" t="inlineStr">
        <is>
          <t>HPE</t>
        </is>
      </c>
      <c r="B135" s="5" t="inlineStr">
        <is>
          <t xml:space="preserve">South 1 </t>
        </is>
      </c>
      <c r="C135" s="76" t="inlineStr">
        <is>
          <t>Mahak</t>
        </is>
      </c>
      <c r="D135" s="26" t="inlineStr">
        <is>
          <t>Debashreeta</t>
        </is>
      </c>
      <c r="E135" s="26" t="inlineStr">
        <is>
          <t>Category (B)</t>
        </is>
      </c>
      <c r="F135" s="21" t="inlineStr">
        <is>
          <t>Contractual SLA</t>
        </is>
      </c>
      <c r="G135" s="21" t="inlineStr">
        <is>
          <t>No</t>
        </is>
      </c>
      <c r="H135" s="21" t="inlineStr">
        <is>
          <t>Average Reqs Volume per recruiter - Enterprise</t>
        </is>
      </c>
      <c r="I135" s="14" t="inlineStr">
        <is>
          <t>&lt;=30%</t>
        </is>
      </c>
      <c r="J135" s="28" t="inlineStr">
        <is>
          <t>Not Reported</t>
        </is>
      </c>
      <c r="K135" s="28" t="inlineStr">
        <is>
          <t>Not Reported</t>
        </is>
      </c>
      <c r="L135" s="29" t="n">
        <v>0.02</v>
      </c>
      <c r="M135" s="28" t="inlineStr">
        <is>
          <t>Met</t>
        </is>
      </c>
      <c r="N135" s="28" t="n">
        <v>1</v>
      </c>
      <c r="O135" s="28" t="inlineStr">
        <is>
          <t>Met</t>
        </is>
      </c>
      <c r="P135" s="28" t="n">
        <v>2</v>
      </c>
      <c r="Q135" s="28" t="inlineStr">
        <is>
          <t>Met</t>
        </is>
      </c>
      <c r="R135" s="28" t="n">
        <v>2</v>
      </c>
      <c r="S135" s="28" t="inlineStr">
        <is>
          <t>Met</t>
        </is>
      </c>
      <c r="T135" s="28" t="n">
        <v>4</v>
      </c>
      <c r="U135" s="28" t="inlineStr">
        <is>
          <t>Met</t>
        </is>
      </c>
      <c r="V135" s="28" t="n">
        <v>3</v>
      </c>
      <c r="W135" s="28" t="inlineStr">
        <is>
          <t>Met</t>
        </is>
      </c>
      <c r="X135" s="7" t="n">
        <v>4</v>
      </c>
      <c r="Y135" s="28" t="inlineStr">
        <is>
          <t>Met</t>
        </is>
      </c>
      <c r="Z135" s="7" t="n">
        <v>2</v>
      </c>
      <c r="AA135" s="28" t="inlineStr">
        <is>
          <t>Met</t>
        </is>
      </c>
      <c r="AB135" s="102" t="n">
        <v>0.07000000000000001</v>
      </c>
      <c r="AC135" s="28" t="inlineStr">
        <is>
          <t>Met</t>
        </is>
      </c>
      <c r="AD135" s="98" t="n">
        <v>0.06</v>
      </c>
      <c r="AE135" s="28" t="inlineStr">
        <is>
          <t>Met</t>
        </is>
      </c>
      <c r="AF135" s="263" t="n">
        <v>5</v>
      </c>
      <c r="AG135" s="28" t="inlineStr">
        <is>
          <t>Not Met</t>
        </is>
      </c>
      <c r="AH135" s="285" t="n">
        <v>0</v>
      </c>
      <c r="AI135" s="285" t="inlineStr">
        <is>
          <t>Not Reported</t>
        </is>
      </c>
      <c r="AJ135" s="264" t="n">
        <v>10</v>
      </c>
      <c r="AK135" s="28" t="inlineStr">
        <is>
          <t>Not Met</t>
        </is>
      </c>
    </row>
    <row r="136">
      <c r="A136" s="21" t="inlineStr">
        <is>
          <t>HPE</t>
        </is>
      </c>
      <c r="B136" s="5" t="inlineStr">
        <is>
          <t xml:space="preserve">South 1 </t>
        </is>
      </c>
      <c r="C136" s="76" t="inlineStr">
        <is>
          <t>Mahak</t>
        </is>
      </c>
      <c r="D136" s="26" t="inlineStr">
        <is>
          <t>Debashreeta</t>
        </is>
      </c>
      <c r="E136" s="26" t="inlineStr">
        <is>
          <t>Category (B)</t>
        </is>
      </c>
      <c r="F136" s="21" t="inlineStr">
        <is>
          <t>Contractual SLA</t>
        </is>
      </c>
      <c r="G136" s="21" t="inlineStr">
        <is>
          <t>No</t>
        </is>
      </c>
      <c r="H136" s="21" t="inlineStr">
        <is>
          <t>Internal Hiring - Technical</t>
        </is>
      </c>
      <c r="I136" s="14" t="inlineStr">
        <is>
          <t>&gt;=30%</t>
        </is>
      </c>
      <c r="J136" s="28" t="inlineStr">
        <is>
          <t>Not Reported</t>
        </is>
      </c>
      <c r="K136" s="28" t="inlineStr">
        <is>
          <t>Not Reported</t>
        </is>
      </c>
      <c r="L136" s="29" t="n">
        <v>0.25</v>
      </c>
      <c r="M136" s="28" t="inlineStr">
        <is>
          <t>Not Met</t>
        </is>
      </c>
      <c r="N136" s="29" t="n">
        <v>0.3</v>
      </c>
      <c r="O136" s="28" t="inlineStr">
        <is>
          <t>Met</t>
        </is>
      </c>
      <c r="P136" s="29" t="n">
        <v>0.24</v>
      </c>
      <c r="Q136" s="28" t="inlineStr">
        <is>
          <t>Not Met</t>
        </is>
      </c>
      <c r="R136" s="29" t="n">
        <v>0.33</v>
      </c>
      <c r="S136" s="28" t="inlineStr">
        <is>
          <t>Met</t>
        </is>
      </c>
      <c r="T136" s="29" t="n">
        <v>0.31</v>
      </c>
      <c r="U136" s="28" t="inlineStr">
        <is>
          <t>Met</t>
        </is>
      </c>
      <c r="V136" s="29" t="n">
        <v>0.3</v>
      </c>
      <c r="W136" s="28" t="inlineStr">
        <is>
          <t>Met</t>
        </is>
      </c>
      <c r="X136" s="29" t="n">
        <v>0</v>
      </c>
      <c r="Y136" s="28" t="inlineStr">
        <is>
          <t>Not Met</t>
        </is>
      </c>
      <c r="Z136" s="29" t="n">
        <v>0.3</v>
      </c>
      <c r="AA136" s="28" t="inlineStr">
        <is>
          <t>Met</t>
        </is>
      </c>
      <c r="AB136" s="102" t="n">
        <v>0.35</v>
      </c>
      <c r="AC136" s="28" t="inlineStr">
        <is>
          <t>Met</t>
        </is>
      </c>
      <c r="AD136" s="98" t="n">
        <v>0.33</v>
      </c>
      <c r="AE136" s="28" t="inlineStr">
        <is>
          <t>Met</t>
        </is>
      </c>
      <c r="AF136" s="102" t="n">
        <v>0.3</v>
      </c>
      <c r="AG136" s="202" t="inlineStr">
        <is>
          <t>Met</t>
        </is>
      </c>
      <c r="AH136" s="285" t="n">
        <v>0</v>
      </c>
      <c r="AI136" s="285" t="inlineStr">
        <is>
          <t>Not Reported</t>
        </is>
      </c>
      <c r="AJ136" s="102" t="n">
        <v>0.34</v>
      </c>
      <c r="AK136" s="202" t="inlineStr">
        <is>
          <t>Met</t>
        </is>
      </c>
    </row>
    <row r="137">
      <c r="A137" s="21" t="inlineStr">
        <is>
          <t>HPE</t>
        </is>
      </c>
      <c r="B137" s="5" t="inlineStr">
        <is>
          <t xml:space="preserve">South 1 </t>
        </is>
      </c>
      <c r="C137" s="76" t="inlineStr">
        <is>
          <t>Mahak</t>
        </is>
      </c>
      <c r="D137" s="26" t="inlineStr">
        <is>
          <t>Debashreeta</t>
        </is>
      </c>
      <c r="E137" s="26" t="inlineStr">
        <is>
          <t>Category (B)</t>
        </is>
      </c>
      <c r="F137" s="21" t="inlineStr">
        <is>
          <t>Contractual SLA</t>
        </is>
      </c>
      <c r="G137" s="21" t="inlineStr">
        <is>
          <t>No</t>
        </is>
      </c>
      <c r="H137" s="21" t="inlineStr">
        <is>
          <t>Internal Hiring - Enterprise</t>
        </is>
      </c>
      <c r="I137" s="14" t="inlineStr">
        <is>
          <t>&gt;=30%</t>
        </is>
      </c>
      <c r="J137" s="28" t="inlineStr">
        <is>
          <t>Not Reported</t>
        </is>
      </c>
      <c r="K137" s="28" t="inlineStr">
        <is>
          <t>Not Reported</t>
        </is>
      </c>
      <c r="L137" s="29" t="n">
        <v>0.5600000000000001</v>
      </c>
      <c r="M137" s="28" t="inlineStr">
        <is>
          <t>Met</t>
        </is>
      </c>
      <c r="N137" s="29" t="n">
        <v>0.82</v>
      </c>
      <c r="O137" s="28" t="inlineStr">
        <is>
          <t>Met</t>
        </is>
      </c>
      <c r="P137" s="29" t="n">
        <v>0.64</v>
      </c>
      <c r="Q137" s="28" t="inlineStr">
        <is>
          <t>Met</t>
        </is>
      </c>
      <c r="R137" s="29" t="n">
        <v>0.46</v>
      </c>
      <c r="S137" s="28" t="inlineStr">
        <is>
          <t>Met</t>
        </is>
      </c>
      <c r="T137" s="29" t="n">
        <v>0.44</v>
      </c>
      <c r="U137" s="28" t="inlineStr">
        <is>
          <t>Met</t>
        </is>
      </c>
      <c r="V137" s="29" t="n">
        <v>0.38</v>
      </c>
      <c r="W137" s="28" t="inlineStr">
        <is>
          <t>Met</t>
        </is>
      </c>
      <c r="X137" s="29" t="n">
        <v>0.44</v>
      </c>
      <c r="Y137" s="28" t="inlineStr">
        <is>
          <t>Met</t>
        </is>
      </c>
      <c r="Z137" s="29" t="n">
        <v>0.45</v>
      </c>
      <c r="AA137" s="28" t="inlineStr">
        <is>
          <t>Met</t>
        </is>
      </c>
      <c r="AB137" s="102" t="n">
        <v>0.46</v>
      </c>
      <c r="AC137" s="28" t="inlineStr">
        <is>
          <t>Met</t>
        </is>
      </c>
      <c r="AD137" s="98" t="n">
        <v>0.3</v>
      </c>
      <c r="AE137" s="28" t="inlineStr">
        <is>
          <t>Met</t>
        </is>
      </c>
      <c r="AF137" s="102" t="n">
        <v>0.77</v>
      </c>
      <c r="AG137" s="202" t="inlineStr">
        <is>
          <t>Met</t>
        </is>
      </c>
      <c r="AH137" s="285" t="n">
        <v>0</v>
      </c>
      <c r="AI137" s="285" t="inlineStr">
        <is>
          <t>Not Reported</t>
        </is>
      </c>
      <c r="AJ137" s="102" t="n">
        <v>0.57</v>
      </c>
      <c r="AK137" s="202" t="inlineStr">
        <is>
          <t>Met</t>
        </is>
      </c>
    </row>
    <row r="138">
      <c r="A138" s="21" t="inlineStr">
        <is>
          <t>HPE</t>
        </is>
      </c>
      <c r="B138" s="5" t="inlineStr">
        <is>
          <t xml:space="preserve">South 1 </t>
        </is>
      </c>
      <c r="C138" s="76" t="inlineStr">
        <is>
          <t>Mahak</t>
        </is>
      </c>
      <c r="D138" s="26" t="inlineStr">
        <is>
          <t>Debashreeta</t>
        </is>
      </c>
      <c r="E138" s="26" t="inlineStr">
        <is>
          <t>Category (B)</t>
        </is>
      </c>
      <c r="F138" s="21" t="inlineStr">
        <is>
          <t>Contractual SLA</t>
        </is>
      </c>
      <c r="G138" s="21" t="inlineStr">
        <is>
          <t>No</t>
        </is>
      </c>
      <c r="H138" s="21" t="inlineStr">
        <is>
          <t>% Agency Utilization - Technical</t>
        </is>
      </c>
      <c r="I138" s="14" t="inlineStr">
        <is>
          <t>&lt;=10%</t>
        </is>
      </c>
      <c r="J138" s="28" t="inlineStr">
        <is>
          <t>Not Reported</t>
        </is>
      </c>
      <c r="K138" s="28" t="inlineStr">
        <is>
          <t>Not Reported</t>
        </is>
      </c>
      <c r="L138" s="29" t="n">
        <v>0</v>
      </c>
      <c r="M138" s="28" t="inlineStr">
        <is>
          <t>Met</t>
        </is>
      </c>
      <c r="N138" s="29" t="n">
        <v>0</v>
      </c>
      <c r="O138" s="28" t="inlineStr">
        <is>
          <t>Met</t>
        </is>
      </c>
      <c r="P138" s="29" t="n">
        <v>0</v>
      </c>
      <c r="Q138" s="28" t="inlineStr">
        <is>
          <t>Met</t>
        </is>
      </c>
      <c r="R138" s="29" t="n">
        <v>0</v>
      </c>
      <c r="S138" s="28" t="inlineStr">
        <is>
          <t>Met</t>
        </is>
      </c>
      <c r="T138" s="29" t="n">
        <v>0</v>
      </c>
      <c r="U138" s="28" t="inlineStr">
        <is>
          <t>Met</t>
        </is>
      </c>
      <c r="V138" s="29" t="n">
        <v>0</v>
      </c>
      <c r="W138" s="28" t="inlineStr">
        <is>
          <t>Met</t>
        </is>
      </c>
      <c r="X138" s="28" t="n">
        <v>0</v>
      </c>
      <c r="Y138" s="28" t="inlineStr">
        <is>
          <t>Met</t>
        </is>
      </c>
      <c r="Z138" s="28" t="n">
        <v>0</v>
      </c>
      <c r="AA138" s="28" t="inlineStr">
        <is>
          <t>Met</t>
        </is>
      </c>
      <c r="AB138" s="102" t="n">
        <v>0</v>
      </c>
      <c r="AC138" s="28" t="inlineStr">
        <is>
          <t>Met</t>
        </is>
      </c>
      <c r="AD138" s="98" t="n">
        <v>0.02</v>
      </c>
      <c r="AE138" s="28" t="inlineStr">
        <is>
          <t>Met</t>
        </is>
      </c>
      <c r="AF138" s="102" t="n">
        <v>0</v>
      </c>
      <c r="AG138" s="202" t="inlineStr">
        <is>
          <t>Met</t>
        </is>
      </c>
      <c r="AH138" s="285" t="n">
        <v>0</v>
      </c>
      <c r="AI138" s="285" t="inlineStr">
        <is>
          <t>Not Reported</t>
        </is>
      </c>
      <c r="AJ138" s="102" t="n">
        <v>0.01</v>
      </c>
      <c r="AK138" s="202" t="inlineStr">
        <is>
          <t>Met</t>
        </is>
      </c>
    </row>
    <row r="139">
      <c r="A139" s="21" t="inlineStr">
        <is>
          <t>HPE</t>
        </is>
      </c>
      <c r="B139" s="5" t="inlineStr">
        <is>
          <t xml:space="preserve">South 1 </t>
        </is>
      </c>
      <c r="C139" s="76" t="inlineStr">
        <is>
          <t>Mahak</t>
        </is>
      </c>
      <c r="D139" s="26" t="inlineStr">
        <is>
          <t>Debashreeta</t>
        </is>
      </c>
      <c r="E139" s="26" t="inlineStr">
        <is>
          <t>Category (B)</t>
        </is>
      </c>
      <c r="F139" s="21" t="inlineStr">
        <is>
          <t>Contractual SLA</t>
        </is>
      </c>
      <c r="G139" s="21" t="inlineStr">
        <is>
          <t>No</t>
        </is>
      </c>
      <c r="H139" s="21" t="inlineStr">
        <is>
          <t>% Agency Utilization - Enterprise</t>
        </is>
      </c>
      <c r="I139" s="14" t="inlineStr">
        <is>
          <t>&lt;=5%</t>
        </is>
      </c>
      <c r="J139" s="28" t="inlineStr">
        <is>
          <t>Not Reported</t>
        </is>
      </c>
      <c r="K139" s="28" t="inlineStr">
        <is>
          <t>Not Reported</t>
        </is>
      </c>
      <c r="L139" s="29" t="n">
        <v>0.04</v>
      </c>
      <c r="M139" s="28" t="inlineStr">
        <is>
          <t>Met</t>
        </is>
      </c>
      <c r="N139" s="29" t="n">
        <v>0</v>
      </c>
      <c r="O139" s="28" t="inlineStr">
        <is>
          <t>Met</t>
        </is>
      </c>
      <c r="P139" s="29" t="n">
        <v>0.02</v>
      </c>
      <c r="Q139" s="28" t="inlineStr">
        <is>
          <t>Met</t>
        </is>
      </c>
      <c r="R139" s="29" t="n">
        <v>0</v>
      </c>
      <c r="S139" s="28" t="inlineStr">
        <is>
          <t>Met</t>
        </is>
      </c>
      <c r="T139" s="29" t="n">
        <v>0</v>
      </c>
      <c r="U139" s="28" t="inlineStr">
        <is>
          <t>Met</t>
        </is>
      </c>
      <c r="V139" s="29" t="n">
        <v>0</v>
      </c>
      <c r="W139" s="28" t="inlineStr">
        <is>
          <t>Met</t>
        </is>
      </c>
      <c r="X139" s="29" t="n">
        <v>0.05</v>
      </c>
      <c r="Y139" s="28" t="inlineStr">
        <is>
          <t>Met</t>
        </is>
      </c>
      <c r="Z139" s="29" t="n">
        <v>0.05</v>
      </c>
      <c r="AA139" s="28" t="inlineStr">
        <is>
          <t>Met</t>
        </is>
      </c>
      <c r="AB139" s="102" t="n">
        <v>0</v>
      </c>
      <c r="AC139" s="28" t="inlineStr">
        <is>
          <t>Met</t>
        </is>
      </c>
      <c r="AD139" s="98" t="n">
        <v>0</v>
      </c>
      <c r="AE139" s="28" t="inlineStr">
        <is>
          <t>Met</t>
        </is>
      </c>
      <c r="AF139" s="102" t="n">
        <v>0</v>
      </c>
      <c r="AG139" s="202" t="inlineStr">
        <is>
          <t>Met</t>
        </is>
      </c>
      <c r="AH139" s="285" t="n">
        <v>0</v>
      </c>
      <c r="AI139" s="285" t="inlineStr">
        <is>
          <t>Not Reported</t>
        </is>
      </c>
      <c r="AJ139" s="102" t="n">
        <v>0</v>
      </c>
      <c r="AK139" s="202" t="inlineStr">
        <is>
          <t>Met</t>
        </is>
      </c>
    </row>
    <row r="140">
      <c r="A140" s="21" t="inlineStr">
        <is>
          <t>HPE</t>
        </is>
      </c>
      <c r="B140" s="5" t="inlineStr">
        <is>
          <t xml:space="preserve">South 1 </t>
        </is>
      </c>
      <c r="C140" s="76" t="inlineStr">
        <is>
          <t>Mahak</t>
        </is>
      </c>
      <c r="D140" s="26" t="inlineStr">
        <is>
          <t>Debashreeta</t>
        </is>
      </c>
      <c r="E140" s="26" t="inlineStr">
        <is>
          <t>Category (B)</t>
        </is>
      </c>
      <c r="F140" s="21" t="inlineStr">
        <is>
          <t>Contractual SLA</t>
        </is>
      </c>
      <c r="G140" s="21" t="inlineStr">
        <is>
          <t>No</t>
        </is>
      </c>
      <c r="H140" s="26" t="inlineStr">
        <is>
          <t>Diversity</t>
        </is>
      </c>
      <c r="I140" s="14" t="inlineStr">
        <is>
          <t>Technical - (&gt;80% of filled to include at least one or more diverse candidate)</t>
        </is>
      </c>
      <c r="J140" s="20" t="inlineStr">
        <is>
          <t>NA</t>
        </is>
      </c>
      <c r="K140" s="20" t="inlineStr">
        <is>
          <t>NA</t>
        </is>
      </c>
      <c r="L140" s="20" t="inlineStr">
        <is>
          <t>NA</t>
        </is>
      </c>
      <c r="M140" s="20" t="inlineStr">
        <is>
          <t>NA</t>
        </is>
      </c>
      <c r="N140" s="20" t="inlineStr">
        <is>
          <t>NA</t>
        </is>
      </c>
      <c r="O140" s="20" t="inlineStr">
        <is>
          <t>NA</t>
        </is>
      </c>
      <c r="P140" s="20" t="inlineStr">
        <is>
          <t>NA</t>
        </is>
      </c>
      <c r="Q140" s="20" t="inlineStr">
        <is>
          <t>NA</t>
        </is>
      </c>
      <c r="R140" s="17" t="inlineStr">
        <is>
          <t>NA</t>
        </is>
      </c>
      <c r="S140" s="20" t="inlineStr">
        <is>
          <t>NA</t>
        </is>
      </c>
      <c r="T140" s="20" t="inlineStr">
        <is>
          <t>NA</t>
        </is>
      </c>
      <c r="U140" s="20" t="inlineStr">
        <is>
          <t>NA</t>
        </is>
      </c>
      <c r="V140" s="28" t="inlineStr">
        <is>
          <t>NA</t>
        </is>
      </c>
      <c r="W140" s="20" t="inlineStr">
        <is>
          <t>NA</t>
        </is>
      </c>
      <c r="X140" s="28" t="inlineStr">
        <is>
          <t>NA</t>
        </is>
      </c>
      <c r="Y140" s="20" t="inlineStr">
        <is>
          <t>NA</t>
        </is>
      </c>
      <c r="Z140" s="28" t="inlineStr">
        <is>
          <t>NA</t>
        </is>
      </c>
      <c r="AA140" s="20" t="inlineStr">
        <is>
          <t>NA</t>
        </is>
      </c>
      <c r="AB140" s="93" t="inlineStr">
        <is>
          <t>NA</t>
        </is>
      </c>
      <c r="AC140" s="20" t="inlineStr">
        <is>
          <t>NA</t>
        </is>
      </c>
      <c r="AD140" s="93" t="inlineStr">
        <is>
          <t>NA</t>
        </is>
      </c>
      <c r="AE140" s="97" t="inlineStr">
        <is>
          <t>NA</t>
        </is>
      </c>
      <c r="AF140" s="149" t="inlineStr">
        <is>
          <t>NA</t>
        </is>
      </c>
      <c r="AG140" s="97" t="inlineStr">
        <is>
          <t>NA</t>
        </is>
      </c>
      <c r="AH140" s="285" t="n">
        <v>0</v>
      </c>
      <c r="AI140" s="285" t="inlineStr">
        <is>
          <t>Not Reported</t>
        </is>
      </c>
      <c r="AJ140" s="93" t="inlineStr">
        <is>
          <t>NA</t>
        </is>
      </c>
      <c r="AK140" s="97" t="inlineStr">
        <is>
          <t>NA</t>
        </is>
      </c>
    </row>
    <row r="141">
      <c r="A141" s="21" t="inlineStr">
        <is>
          <t>HPE</t>
        </is>
      </c>
      <c r="B141" s="5" t="inlineStr">
        <is>
          <t xml:space="preserve">South 1 </t>
        </is>
      </c>
      <c r="C141" s="76" t="inlineStr">
        <is>
          <t>Mahak</t>
        </is>
      </c>
      <c r="D141" s="26" t="inlineStr">
        <is>
          <t>Debashreeta</t>
        </is>
      </c>
      <c r="E141" s="26" t="inlineStr">
        <is>
          <t>Category (B)</t>
        </is>
      </c>
      <c r="F141" s="21" t="inlineStr">
        <is>
          <t>Contractual SLA</t>
        </is>
      </c>
      <c r="G141" s="21" t="inlineStr">
        <is>
          <t>No</t>
        </is>
      </c>
      <c r="H141" s="26" t="inlineStr">
        <is>
          <t>Diversity</t>
        </is>
      </c>
      <c r="I141" s="14" t="inlineStr">
        <is>
          <t>Enterprise - (&gt;80% of filled to include at least one or more diverse candidate)</t>
        </is>
      </c>
      <c r="J141" s="20" t="inlineStr">
        <is>
          <t>NA</t>
        </is>
      </c>
      <c r="K141" s="20" t="inlineStr">
        <is>
          <t>NA</t>
        </is>
      </c>
      <c r="L141" s="20" t="inlineStr">
        <is>
          <t>NA</t>
        </is>
      </c>
      <c r="M141" s="20" t="inlineStr">
        <is>
          <t>NA</t>
        </is>
      </c>
      <c r="N141" s="20" t="inlineStr">
        <is>
          <t>NA</t>
        </is>
      </c>
      <c r="O141" s="20" t="inlineStr">
        <is>
          <t>NA</t>
        </is>
      </c>
      <c r="P141" s="20" t="inlineStr">
        <is>
          <t>NA</t>
        </is>
      </c>
      <c r="Q141" s="20" t="inlineStr">
        <is>
          <t>NA</t>
        </is>
      </c>
      <c r="R141" s="17" t="inlineStr">
        <is>
          <t>NA</t>
        </is>
      </c>
      <c r="S141" s="20" t="inlineStr">
        <is>
          <t>NA</t>
        </is>
      </c>
      <c r="T141" s="20" t="inlineStr">
        <is>
          <t>NA</t>
        </is>
      </c>
      <c r="U141" s="20" t="inlineStr">
        <is>
          <t>NA</t>
        </is>
      </c>
      <c r="V141" s="28" t="inlineStr">
        <is>
          <t>NA</t>
        </is>
      </c>
      <c r="W141" s="20" t="inlineStr">
        <is>
          <t>NA</t>
        </is>
      </c>
      <c r="X141" s="28" t="inlineStr">
        <is>
          <t>NA</t>
        </is>
      </c>
      <c r="Y141" s="20" t="inlineStr">
        <is>
          <t>NA</t>
        </is>
      </c>
      <c r="Z141" s="28" t="inlineStr">
        <is>
          <t>NA</t>
        </is>
      </c>
      <c r="AA141" s="20" t="inlineStr">
        <is>
          <t>NA</t>
        </is>
      </c>
      <c r="AB141" s="93" t="inlineStr">
        <is>
          <t>NA</t>
        </is>
      </c>
      <c r="AC141" s="20" t="inlineStr">
        <is>
          <t>NA</t>
        </is>
      </c>
      <c r="AD141" s="93" t="inlineStr">
        <is>
          <t>NA</t>
        </is>
      </c>
      <c r="AE141" s="97" t="inlineStr">
        <is>
          <t>NA</t>
        </is>
      </c>
      <c r="AF141" s="149" t="inlineStr">
        <is>
          <t>NA</t>
        </is>
      </c>
      <c r="AG141" s="97" t="inlineStr">
        <is>
          <t>NA</t>
        </is>
      </c>
      <c r="AH141" s="285" t="n">
        <v>0</v>
      </c>
      <c r="AI141" s="285" t="inlineStr">
        <is>
          <t>Not Reported</t>
        </is>
      </c>
      <c r="AJ141" s="93" t="inlineStr">
        <is>
          <t>NA</t>
        </is>
      </c>
      <c r="AK141" s="97" t="inlineStr">
        <is>
          <t>NA</t>
        </is>
      </c>
    </row>
    <row r="142">
      <c r="A142" s="21" t="inlineStr">
        <is>
          <t>HPE</t>
        </is>
      </c>
      <c r="B142" s="5" t="inlineStr">
        <is>
          <t xml:space="preserve">South 1 </t>
        </is>
      </c>
      <c r="C142" s="76" t="inlineStr">
        <is>
          <t>Mahak</t>
        </is>
      </c>
      <c r="D142" s="26" t="inlineStr">
        <is>
          <t>Debashreeta</t>
        </is>
      </c>
      <c r="E142" s="26" t="inlineStr">
        <is>
          <t>Category (B)</t>
        </is>
      </c>
      <c r="F142" s="21" t="inlineStr">
        <is>
          <t>Contractual SLA</t>
        </is>
      </c>
      <c r="G142" s="21" t="inlineStr">
        <is>
          <t>No</t>
        </is>
      </c>
      <c r="H142" s="21" t="inlineStr">
        <is>
          <t>New Hire Satisfaction - Technical</t>
        </is>
      </c>
      <c r="I142" s="14" t="inlineStr">
        <is>
          <t>&gt;=90%</t>
        </is>
      </c>
      <c r="J142" s="20" t="inlineStr">
        <is>
          <t>NA</t>
        </is>
      </c>
      <c r="K142" s="20" t="inlineStr">
        <is>
          <t>NA</t>
        </is>
      </c>
      <c r="L142" s="20" t="inlineStr">
        <is>
          <t>NA</t>
        </is>
      </c>
      <c r="M142" s="20" t="inlineStr">
        <is>
          <t>NA</t>
        </is>
      </c>
      <c r="N142" s="20" t="inlineStr">
        <is>
          <t>NA</t>
        </is>
      </c>
      <c r="O142" s="20" t="inlineStr">
        <is>
          <t>NA</t>
        </is>
      </c>
      <c r="P142" s="20" t="inlineStr">
        <is>
          <t>NA</t>
        </is>
      </c>
      <c r="Q142" s="20" t="inlineStr">
        <is>
          <t>NA</t>
        </is>
      </c>
      <c r="R142" s="17" t="inlineStr">
        <is>
          <t>NA</t>
        </is>
      </c>
      <c r="S142" s="20" t="inlineStr">
        <is>
          <t>NA</t>
        </is>
      </c>
      <c r="T142" s="20" t="inlineStr">
        <is>
          <t>NA</t>
        </is>
      </c>
      <c r="U142" s="20" t="inlineStr">
        <is>
          <t>NA</t>
        </is>
      </c>
      <c r="V142" s="28" t="inlineStr">
        <is>
          <t>NA</t>
        </is>
      </c>
      <c r="W142" s="20" t="inlineStr">
        <is>
          <t>NA</t>
        </is>
      </c>
      <c r="X142" s="28" t="inlineStr">
        <is>
          <t>NA</t>
        </is>
      </c>
      <c r="Y142" s="20" t="inlineStr">
        <is>
          <t>NA</t>
        </is>
      </c>
      <c r="Z142" s="28" t="inlineStr">
        <is>
          <t>NA</t>
        </is>
      </c>
      <c r="AA142" s="20" t="inlineStr">
        <is>
          <t>NA</t>
        </is>
      </c>
      <c r="AB142" s="93" t="inlineStr">
        <is>
          <t>NA</t>
        </is>
      </c>
      <c r="AC142" s="20" t="inlineStr">
        <is>
          <t>NA</t>
        </is>
      </c>
      <c r="AD142" s="93" t="inlineStr">
        <is>
          <t>NA</t>
        </is>
      </c>
      <c r="AE142" s="126" t="inlineStr">
        <is>
          <t>NA</t>
        </is>
      </c>
      <c r="AF142" s="149" t="inlineStr">
        <is>
          <t>NA</t>
        </is>
      </c>
      <c r="AG142" s="97" t="inlineStr">
        <is>
          <t>NA</t>
        </is>
      </c>
      <c r="AH142" s="285" t="n">
        <v>0</v>
      </c>
      <c r="AI142" s="285" t="inlineStr">
        <is>
          <t>Not Reported</t>
        </is>
      </c>
      <c r="AJ142" s="93" t="inlineStr">
        <is>
          <t>NA</t>
        </is>
      </c>
      <c r="AK142" s="126" t="inlineStr">
        <is>
          <t>NA</t>
        </is>
      </c>
    </row>
    <row r="143">
      <c r="A143" s="21" t="inlineStr">
        <is>
          <t>HPE</t>
        </is>
      </c>
      <c r="B143" s="5" t="inlineStr">
        <is>
          <t xml:space="preserve">South 1 </t>
        </is>
      </c>
      <c r="C143" s="76" t="inlineStr">
        <is>
          <t>Mahak</t>
        </is>
      </c>
      <c r="D143" s="26" t="inlineStr">
        <is>
          <t>Debashreeta</t>
        </is>
      </c>
      <c r="E143" s="26" t="inlineStr">
        <is>
          <t>Category (B)</t>
        </is>
      </c>
      <c r="F143" s="21" t="inlineStr">
        <is>
          <t>Contractual SLA</t>
        </is>
      </c>
      <c r="G143" s="21" t="inlineStr">
        <is>
          <t>No</t>
        </is>
      </c>
      <c r="H143" s="21" t="inlineStr">
        <is>
          <t>New Hire Satisfaction - Enterprise</t>
        </is>
      </c>
      <c r="I143" s="14" t="inlineStr">
        <is>
          <t>&gt;=90%</t>
        </is>
      </c>
      <c r="J143" s="20" t="inlineStr">
        <is>
          <t>NA</t>
        </is>
      </c>
      <c r="K143" s="20" t="inlineStr">
        <is>
          <t>NA</t>
        </is>
      </c>
      <c r="L143" s="20" t="inlineStr">
        <is>
          <t>NA</t>
        </is>
      </c>
      <c r="M143" s="20" t="inlineStr">
        <is>
          <t>NA</t>
        </is>
      </c>
      <c r="N143" s="20" t="inlineStr">
        <is>
          <t>NA</t>
        </is>
      </c>
      <c r="O143" s="20" t="inlineStr">
        <is>
          <t>NA</t>
        </is>
      </c>
      <c r="P143" s="20" t="inlineStr">
        <is>
          <t>NA</t>
        </is>
      </c>
      <c r="Q143" s="20" t="inlineStr">
        <is>
          <t>NA</t>
        </is>
      </c>
      <c r="R143" s="17" t="inlineStr">
        <is>
          <t>NA</t>
        </is>
      </c>
      <c r="S143" s="20" t="inlineStr">
        <is>
          <t>NA</t>
        </is>
      </c>
      <c r="T143" s="20" t="inlineStr">
        <is>
          <t>NA</t>
        </is>
      </c>
      <c r="U143" s="20" t="inlineStr">
        <is>
          <t>NA</t>
        </is>
      </c>
      <c r="V143" s="28" t="inlineStr">
        <is>
          <t>NA</t>
        </is>
      </c>
      <c r="W143" s="20" t="inlineStr">
        <is>
          <t>NA</t>
        </is>
      </c>
      <c r="X143" s="28" t="inlineStr">
        <is>
          <t>NA</t>
        </is>
      </c>
      <c r="Y143" s="20" t="inlineStr">
        <is>
          <t>NA</t>
        </is>
      </c>
      <c r="Z143" s="28" t="inlineStr">
        <is>
          <t>NA</t>
        </is>
      </c>
      <c r="AA143" s="20" t="inlineStr">
        <is>
          <t>NA</t>
        </is>
      </c>
      <c r="AB143" s="93" t="inlineStr">
        <is>
          <t>NA</t>
        </is>
      </c>
      <c r="AC143" s="20" t="inlineStr">
        <is>
          <t>NA</t>
        </is>
      </c>
      <c r="AD143" s="93" t="inlineStr">
        <is>
          <t>NA</t>
        </is>
      </c>
      <c r="AE143" s="126" t="inlineStr">
        <is>
          <t>NA</t>
        </is>
      </c>
      <c r="AF143" s="149" t="inlineStr">
        <is>
          <t>NA</t>
        </is>
      </c>
      <c r="AG143" s="97" t="inlineStr">
        <is>
          <t>NA</t>
        </is>
      </c>
      <c r="AH143" s="285" t="n">
        <v>0</v>
      </c>
      <c r="AI143" s="285" t="inlineStr">
        <is>
          <t>Not Reported</t>
        </is>
      </c>
      <c r="AJ143" s="93" t="inlineStr">
        <is>
          <t>NA</t>
        </is>
      </c>
      <c r="AK143" s="126" t="inlineStr">
        <is>
          <t>NA</t>
        </is>
      </c>
    </row>
    <row r="144">
      <c r="A144" s="21" t="inlineStr">
        <is>
          <t>HPE</t>
        </is>
      </c>
      <c r="B144" s="5" t="inlineStr">
        <is>
          <t xml:space="preserve">South 1 </t>
        </is>
      </c>
      <c r="C144" s="76" t="inlineStr">
        <is>
          <t>Mahak</t>
        </is>
      </c>
      <c r="D144" s="26" t="inlineStr">
        <is>
          <t>Debashreeta</t>
        </is>
      </c>
      <c r="E144" s="26" t="inlineStr">
        <is>
          <t>Category (B)</t>
        </is>
      </c>
      <c r="F144" s="21" t="inlineStr">
        <is>
          <t>Contractual SLA</t>
        </is>
      </c>
      <c r="G144" s="21" t="inlineStr">
        <is>
          <t>No</t>
        </is>
      </c>
      <c r="H144" s="21" t="inlineStr">
        <is>
          <t>New Hire Satisfaction - Technical</t>
        </is>
      </c>
      <c r="I144" s="14" t="inlineStr">
        <is>
          <t>&gt;=90%</t>
        </is>
      </c>
      <c r="J144" s="20" t="inlineStr">
        <is>
          <t>NA</t>
        </is>
      </c>
      <c r="K144" s="20" t="inlineStr">
        <is>
          <t>NA</t>
        </is>
      </c>
      <c r="L144" s="20" t="inlineStr">
        <is>
          <t>NA</t>
        </is>
      </c>
      <c r="M144" s="20" t="inlineStr">
        <is>
          <t>NA</t>
        </is>
      </c>
      <c r="N144" s="20" t="inlineStr">
        <is>
          <t>NA</t>
        </is>
      </c>
      <c r="O144" s="20" t="inlineStr">
        <is>
          <t>NA</t>
        </is>
      </c>
      <c r="P144" s="20" t="inlineStr">
        <is>
          <t>NA</t>
        </is>
      </c>
      <c r="Q144" s="20" t="inlineStr">
        <is>
          <t>NA</t>
        </is>
      </c>
      <c r="R144" s="17" t="inlineStr">
        <is>
          <t>NA</t>
        </is>
      </c>
      <c r="S144" s="20" t="inlineStr">
        <is>
          <t>NA</t>
        </is>
      </c>
      <c r="T144" s="20" t="inlineStr">
        <is>
          <t>NA</t>
        </is>
      </c>
      <c r="U144" s="20" t="inlineStr">
        <is>
          <t>NA</t>
        </is>
      </c>
      <c r="V144" s="28" t="inlineStr">
        <is>
          <t>NA</t>
        </is>
      </c>
      <c r="W144" s="20" t="inlineStr">
        <is>
          <t>NA</t>
        </is>
      </c>
      <c r="X144" s="28" t="inlineStr">
        <is>
          <t>NA</t>
        </is>
      </c>
      <c r="Y144" s="20" t="inlineStr">
        <is>
          <t>NA</t>
        </is>
      </c>
      <c r="Z144" s="28" t="inlineStr">
        <is>
          <t>NA</t>
        </is>
      </c>
      <c r="AA144" s="20" t="inlineStr">
        <is>
          <t>NA</t>
        </is>
      </c>
      <c r="AB144" s="93" t="inlineStr">
        <is>
          <t>NA</t>
        </is>
      </c>
      <c r="AC144" s="20" t="inlineStr">
        <is>
          <t>NA</t>
        </is>
      </c>
      <c r="AD144" s="93" t="inlineStr">
        <is>
          <t>NA</t>
        </is>
      </c>
      <c r="AE144" s="126" t="inlineStr">
        <is>
          <t>NA</t>
        </is>
      </c>
      <c r="AF144" s="149" t="inlineStr">
        <is>
          <t>NA</t>
        </is>
      </c>
      <c r="AG144" s="97" t="inlineStr">
        <is>
          <t>NA</t>
        </is>
      </c>
      <c r="AH144" s="285" t="n">
        <v>0</v>
      </c>
      <c r="AI144" s="285" t="inlineStr">
        <is>
          <t>Not Reported</t>
        </is>
      </c>
      <c r="AJ144" s="93" t="inlineStr">
        <is>
          <t>NA</t>
        </is>
      </c>
      <c r="AK144" s="126" t="inlineStr">
        <is>
          <t>NA</t>
        </is>
      </c>
    </row>
    <row r="145">
      <c r="A145" s="21" t="inlineStr">
        <is>
          <t>HPE</t>
        </is>
      </c>
      <c r="B145" s="5" t="inlineStr">
        <is>
          <t xml:space="preserve">South 1 </t>
        </is>
      </c>
      <c r="C145" s="76" t="inlineStr">
        <is>
          <t>Mahak</t>
        </is>
      </c>
      <c r="D145" s="26" t="inlineStr">
        <is>
          <t>Debashreeta</t>
        </is>
      </c>
      <c r="E145" s="26" t="inlineStr">
        <is>
          <t>Category (B)</t>
        </is>
      </c>
      <c r="F145" s="21" t="inlineStr">
        <is>
          <t>Contractual SLA</t>
        </is>
      </c>
      <c r="G145" s="21" t="inlineStr">
        <is>
          <t>No</t>
        </is>
      </c>
      <c r="H145" s="21" t="inlineStr">
        <is>
          <t>New Hire Satisfaction - Enterprise</t>
        </is>
      </c>
      <c r="I145" s="14" t="inlineStr">
        <is>
          <t>&gt;=90%</t>
        </is>
      </c>
      <c r="J145" s="20" t="inlineStr">
        <is>
          <t>NA</t>
        </is>
      </c>
      <c r="K145" s="20" t="inlineStr">
        <is>
          <t>NA</t>
        </is>
      </c>
      <c r="L145" s="20" t="inlineStr">
        <is>
          <t>NA</t>
        </is>
      </c>
      <c r="M145" s="20" t="inlineStr">
        <is>
          <t>NA</t>
        </is>
      </c>
      <c r="N145" s="20" t="inlineStr">
        <is>
          <t>NA</t>
        </is>
      </c>
      <c r="O145" s="20" t="inlineStr">
        <is>
          <t>NA</t>
        </is>
      </c>
      <c r="P145" s="20" t="inlineStr">
        <is>
          <t>NA</t>
        </is>
      </c>
      <c r="Q145" s="20" t="inlineStr">
        <is>
          <t>NA</t>
        </is>
      </c>
      <c r="R145" s="17" t="inlineStr">
        <is>
          <t>NA</t>
        </is>
      </c>
      <c r="S145" s="20" t="inlineStr">
        <is>
          <t>NA</t>
        </is>
      </c>
      <c r="T145" s="20" t="inlineStr">
        <is>
          <t>NA</t>
        </is>
      </c>
      <c r="U145" s="20" t="inlineStr">
        <is>
          <t>NA</t>
        </is>
      </c>
      <c r="V145" s="28" t="inlineStr">
        <is>
          <t>NA</t>
        </is>
      </c>
      <c r="W145" s="20" t="inlineStr">
        <is>
          <t>NA</t>
        </is>
      </c>
      <c r="X145" s="28" t="inlineStr">
        <is>
          <t>NA</t>
        </is>
      </c>
      <c r="Y145" s="20" t="inlineStr">
        <is>
          <t>NA</t>
        </is>
      </c>
      <c r="Z145" s="28" t="inlineStr">
        <is>
          <t>NA</t>
        </is>
      </c>
      <c r="AA145" s="20" t="inlineStr">
        <is>
          <t>NA</t>
        </is>
      </c>
      <c r="AB145" s="93" t="inlineStr">
        <is>
          <t>NA</t>
        </is>
      </c>
      <c r="AC145" s="20" t="inlineStr">
        <is>
          <t>NA</t>
        </is>
      </c>
      <c r="AD145" s="93" t="inlineStr">
        <is>
          <t>NA</t>
        </is>
      </c>
      <c r="AE145" s="126" t="inlineStr">
        <is>
          <t>NA</t>
        </is>
      </c>
      <c r="AF145" s="149" t="inlineStr">
        <is>
          <t>NA</t>
        </is>
      </c>
      <c r="AG145" s="97" t="inlineStr">
        <is>
          <t>NA</t>
        </is>
      </c>
      <c r="AH145" s="285" t="n">
        <v>0</v>
      </c>
      <c r="AI145" s="285" t="inlineStr">
        <is>
          <t>Not Reported</t>
        </is>
      </c>
      <c r="AJ145" s="93" t="inlineStr">
        <is>
          <t>NA</t>
        </is>
      </c>
      <c r="AK145" s="126" t="inlineStr">
        <is>
          <t>NA</t>
        </is>
      </c>
    </row>
    <row r="146">
      <c r="A146" s="21" t="inlineStr">
        <is>
          <t>HPE</t>
        </is>
      </c>
      <c r="B146" s="5" t="inlineStr">
        <is>
          <t xml:space="preserve">South 1 </t>
        </is>
      </c>
      <c r="C146" s="76" t="inlineStr">
        <is>
          <t>Mahak</t>
        </is>
      </c>
      <c r="D146" s="26" t="inlineStr">
        <is>
          <t>Debashreeta</t>
        </is>
      </c>
      <c r="E146" s="26" t="inlineStr">
        <is>
          <t>Category (B)</t>
        </is>
      </c>
      <c r="F146" s="21" t="inlineStr">
        <is>
          <t>Contractual SLA</t>
        </is>
      </c>
      <c r="G146" s="21" t="inlineStr">
        <is>
          <t>No</t>
        </is>
      </c>
      <c r="H146" s="21" t="inlineStr">
        <is>
          <t>New Hire Satisfaction - Technical</t>
        </is>
      </c>
      <c r="I146" s="14" t="inlineStr">
        <is>
          <t>&gt;=90%</t>
        </is>
      </c>
      <c r="J146" s="20" t="inlineStr">
        <is>
          <t>NA</t>
        </is>
      </c>
      <c r="K146" s="20" t="inlineStr">
        <is>
          <t>NA</t>
        </is>
      </c>
      <c r="L146" s="20" t="inlineStr">
        <is>
          <t>NA</t>
        </is>
      </c>
      <c r="M146" s="20" t="inlineStr">
        <is>
          <t>NA</t>
        </is>
      </c>
      <c r="N146" s="20" t="inlineStr">
        <is>
          <t>NA</t>
        </is>
      </c>
      <c r="O146" s="20" t="inlineStr">
        <is>
          <t>NA</t>
        </is>
      </c>
      <c r="P146" s="20" t="inlineStr">
        <is>
          <t>NA</t>
        </is>
      </c>
      <c r="Q146" s="20" t="inlineStr">
        <is>
          <t>NA</t>
        </is>
      </c>
      <c r="R146" s="17" t="inlineStr">
        <is>
          <t>NA</t>
        </is>
      </c>
      <c r="S146" s="20" t="inlineStr">
        <is>
          <t>NA</t>
        </is>
      </c>
      <c r="T146" s="20" t="inlineStr">
        <is>
          <t>NA</t>
        </is>
      </c>
      <c r="U146" s="20" t="inlineStr">
        <is>
          <t>NA</t>
        </is>
      </c>
      <c r="V146" s="28" t="inlineStr">
        <is>
          <t>NA</t>
        </is>
      </c>
      <c r="W146" s="20" t="inlineStr">
        <is>
          <t>NA</t>
        </is>
      </c>
      <c r="X146" s="28" t="inlineStr">
        <is>
          <t>NA</t>
        </is>
      </c>
      <c r="Y146" s="20" t="inlineStr">
        <is>
          <t>NA</t>
        </is>
      </c>
      <c r="Z146" s="28" t="inlineStr">
        <is>
          <t>NA</t>
        </is>
      </c>
      <c r="AA146" s="20" t="inlineStr">
        <is>
          <t>NA</t>
        </is>
      </c>
      <c r="AB146" s="93" t="inlineStr">
        <is>
          <t>NA</t>
        </is>
      </c>
      <c r="AC146" s="20" t="inlineStr">
        <is>
          <t>NA</t>
        </is>
      </c>
      <c r="AD146" s="93" t="inlineStr">
        <is>
          <t>NA</t>
        </is>
      </c>
      <c r="AE146" s="126" t="inlineStr">
        <is>
          <t>NA</t>
        </is>
      </c>
      <c r="AF146" s="149" t="inlineStr">
        <is>
          <t>NA</t>
        </is>
      </c>
      <c r="AG146" s="97" t="inlineStr">
        <is>
          <t>NA</t>
        </is>
      </c>
      <c r="AH146" s="285" t="n">
        <v>0</v>
      </c>
      <c r="AI146" s="285" t="inlineStr">
        <is>
          <t>Not Reported</t>
        </is>
      </c>
      <c r="AJ146" s="93" t="inlineStr">
        <is>
          <t>NA</t>
        </is>
      </c>
      <c r="AK146" s="126" t="inlineStr">
        <is>
          <t>NA</t>
        </is>
      </c>
    </row>
    <row r="147">
      <c r="A147" s="21" t="inlineStr">
        <is>
          <t>HPE</t>
        </is>
      </c>
      <c r="B147" s="5" t="inlineStr">
        <is>
          <t xml:space="preserve">South 1 </t>
        </is>
      </c>
      <c r="C147" s="76" t="inlineStr">
        <is>
          <t>Mahak</t>
        </is>
      </c>
      <c r="D147" s="26" t="inlineStr">
        <is>
          <t>Debashreeta</t>
        </is>
      </c>
      <c r="E147" s="26" t="inlineStr">
        <is>
          <t>Category (B)</t>
        </is>
      </c>
      <c r="F147" s="21" t="inlineStr">
        <is>
          <t>Contractual SLA</t>
        </is>
      </c>
      <c r="G147" s="21" t="inlineStr">
        <is>
          <t>No</t>
        </is>
      </c>
      <c r="H147" s="21" t="inlineStr">
        <is>
          <t>New Hire Satisfaction - Enterprise</t>
        </is>
      </c>
      <c r="I147" s="14" t="inlineStr">
        <is>
          <t>&gt;=90%</t>
        </is>
      </c>
      <c r="J147" s="20" t="inlineStr">
        <is>
          <t>NA</t>
        </is>
      </c>
      <c r="K147" s="20" t="inlineStr">
        <is>
          <t>NA</t>
        </is>
      </c>
      <c r="L147" s="20" t="inlineStr">
        <is>
          <t>NA</t>
        </is>
      </c>
      <c r="M147" s="20" t="inlineStr">
        <is>
          <t>NA</t>
        </is>
      </c>
      <c r="N147" s="20" t="inlineStr">
        <is>
          <t>NA</t>
        </is>
      </c>
      <c r="O147" s="20" t="inlineStr">
        <is>
          <t>NA</t>
        </is>
      </c>
      <c r="P147" s="20" t="inlineStr">
        <is>
          <t>NA</t>
        </is>
      </c>
      <c r="Q147" s="20" t="inlineStr">
        <is>
          <t>NA</t>
        </is>
      </c>
      <c r="R147" s="17" t="inlineStr">
        <is>
          <t>NA</t>
        </is>
      </c>
      <c r="S147" s="20" t="inlineStr">
        <is>
          <t>NA</t>
        </is>
      </c>
      <c r="T147" s="20" t="inlineStr">
        <is>
          <t>NA</t>
        </is>
      </c>
      <c r="U147" s="20" t="inlineStr">
        <is>
          <t>NA</t>
        </is>
      </c>
      <c r="V147" s="28" t="inlineStr">
        <is>
          <t>NA</t>
        </is>
      </c>
      <c r="W147" s="20" t="inlineStr">
        <is>
          <t>NA</t>
        </is>
      </c>
      <c r="X147" s="28" t="inlineStr">
        <is>
          <t>NA</t>
        </is>
      </c>
      <c r="Y147" s="20" t="inlineStr">
        <is>
          <t>NA</t>
        </is>
      </c>
      <c r="Z147" s="28" t="inlineStr">
        <is>
          <t>NA</t>
        </is>
      </c>
      <c r="AA147" s="20" t="inlineStr">
        <is>
          <t>NA</t>
        </is>
      </c>
      <c r="AB147" s="93" t="inlineStr">
        <is>
          <t>NA</t>
        </is>
      </c>
      <c r="AC147" s="20" t="inlineStr">
        <is>
          <t>NA</t>
        </is>
      </c>
      <c r="AD147" s="93" t="inlineStr">
        <is>
          <t>NA</t>
        </is>
      </c>
      <c r="AE147" s="126" t="inlineStr">
        <is>
          <t>NA</t>
        </is>
      </c>
      <c r="AF147" s="149" t="inlineStr">
        <is>
          <t>NA</t>
        </is>
      </c>
      <c r="AG147" s="97" t="inlineStr">
        <is>
          <t>NA</t>
        </is>
      </c>
      <c r="AH147" s="285" t="n">
        <v>0</v>
      </c>
      <c r="AI147" s="285" t="inlineStr">
        <is>
          <t>Not Reported</t>
        </is>
      </c>
      <c r="AJ147" s="93" t="inlineStr">
        <is>
          <t>NA</t>
        </is>
      </c>
      <c r="AK147" s="126" t="inlineStr">
        <is>
          <t>NA</t>
        </is>
      </c>
    </row>
    <row r="148">
      <c r="A148" s="21" t="inlineStr">
        <is>
          <t>HPE</t>
        </is>
      </c>
      <c r="B148" s="5" t="inlineStr">
        <is>
          <t xml:space="preserve">South 1 </t>
        </is>
      </c>
      <c r="C148" s="76" t="inlineStr">
        <is>
          <t>Mahak</t>
        </is>
      </c>
      <c r="D148" s="26" t="inlineStr">
        <is>
          <t>Debashreeta</t>
        </is>
      </c>
      <c r="E148" s="26" t="inlineStr">
        <is>
          <t>Category (B)</t>
        </is>
      </c>
      <c r="F148" s="21" t="inlineStr">
        <is>
          <t>Contractual SLA</t>
        </is>
      </c>
      <c r="G148" s="21" t="inlineStr">
        <is>
          <t>No</t>
        </is>
      </c>
      <c r="H148" s="21" t="inlineStr">
        <is>
          <t xml:space="preserve">Source Mix </t>
        </is>
      </c>
      <c r="I148" s="20" t="inlineStr">
        <is>
          <t>Not Shared</t>
        </is>
      </c>
      <c r="J148" s="20" t="inlineStr">
        <is>
          <t>NA</t>
        </is>
      </c>
      <c r="K148" s="20" t="inlineStr">
        <is>
          <t>NA</t>
        </is>
      </c>
      <c r="L148" s="20" t="inlineStr">
        <is>
          <t>NA</t>
        </is>
      </c>
      <c r="M148" s="20" t="inlineStr">
        <is>
          <t>NA</t>
        </is>
      </c>
      <c r="N148" s="20" t="inlineStr">
        <is>
          <t>NA</t>
        </is>
      </c>
      <c r="O148" s="20" t="inlineStr">
        <is>
          <t>NA</t>
        </is>
      </c>
      <c r="P148" s="20" t="inlineStr">
        <is>
          <t>NA</t>
        </is>
      </c>
      <c r="Q148" s="20" t="inlineStr">
        <is>
          <t>NA</t>
        </is>
      </c>
      <c r="R148" s="17" t="inlineStr">
        <is>
          <t>NA</t>
        </is>
      </c>
      <c r="S148" s="20" t="inlineStr">
        <is>
          <t>NA</t>
        </is>
      </c>
      <c r="T148" s="20" t="inlineStr">
        <is>
          <t>NA</t>
        </is>
      </c>
      <c r="U148" s="20" t="inlineStr">
        <is>
          <t>NA</t>
        </is>
      </c>
      <c r="V148" s="28" t="inlineStr">
        <is>
          <t>NA</t>
        </is>
      </c>
      <c r="W148" s="20" t="inlineStr">
        <is>
          <t>NA</t>
        </is>
      </c>
      <c r="X148" s="28" t="inlineStr">
        <is>
          <t>NA</t>
        </is>
      </c>
      <c r="Y148" s="20" t="inlineStr">
        <is>
          <t>NA</t>
        </is>
      </c>
      <c r="Z148" s="28" t="inlineStr">
        <is>
          <t>NA</t>
        </is>
      </c>
      <c r="AA148" s="20" t="inlineStr">
        <is>
          <t>NA</t>
        </is>
      </c>
      <c r="AB148" s="93" t="inlineStr">
        <is>
          <t>NA</t>
        </is>
      </c>
      <c r="AC148" s="20" t="inlineStr">
        <is>
          <t>NA</t>
        </is>
      </c>
      <c r="AD148" s="93" t="inlineStr">
        <is>
          <t>NA</t>
        </is>
      </c>
      <c r="AE148" s="97" t="inlineStr">
        <is>
          <t>NA</t>
        </is>
      </c>
      <c r="AF148" s="149" t="inlineStr">
        <is>
          <t>NA</t>
        </is>
      </c>
      <c r="AG148" s="97" t="inlineStr">
        <is>
          <t>NA</t>
        </is>
      </c>
      <c r="AH148" s="285" t="n">
        <v>0</v>
      </c>
      <c r="AI148" s="285" t="inlineStr">
        <is>
          <t>Not Reported</t>
        </is>
      </c>
      <c r="AJ148" s="93" t="inlineStr">
        <is>
          <t>NA</t>
        </is>
      </c>
      <c r="AK148" s="97" t="inlineStr">
        <is>
          <t>NA</t>
        </is>
      </c>
    </row>
    <row r="149">
      <c r="A149" s="21" t="inlineStr">
        <is>
          <t>HPE</t>
        </is>
      </c>
      <c r="B149" s="5" t="inlineStr">
        <is>
          <t xml:space="preserve">South 1 </t>
        </is>
      </c>
      <c r="C149" s="76" t="inlineStr">
        <is>
          <t>Mahak</t>
        </is>
      </c>
      <c r="D149" s="26" t="inlineStr">
        <is>
          <t>Debashreeta</t>
        </is>
      </c>
      <c r="E149" s="26" t="inlineStr">
        <is>
          <t>Category (B)</t>
        </is>
      </c>
      <c r="F149" s="21" t="inlineStr">
        <is>
          <t>Contractual SLA</t>
        </is>
      </c>
      <c r="G149" s="21" t="inlineStr">
        <is>
          <t>No</t>
        </is>
      </c>
      <c r="H149" s="21" t="inlineStr">
        <is>
          <t xml:space="preserve">Source Mix </t>
        </is>
      </c>
      <c r="I149" s="20" t="inlineStr">
        <is>
          <t>Not Shared</t>
        </is>
      </c>
      <c r="J149" s="20" t="inlineStr">
        <is>
          <t>NA</t>
        </is>
      </c>
      <c r="K149" s="20" t="inlineStr">
        <is>
          <t>NA</t>
        </is>
      </c>
      <c r="L149" s="20" t="inlineStr">
        <is>
          <t>NA</t>
        </is>
      </c>
      <c r="M149" s="20" t="inlineStr">
        <is>
          <t>NA</t>
        </is>
      </c>
      <c r="N149" s="20" t="inlineStr">
        <is>
          <t>NA</t>
        </is>
      </c>
      <c r="O149" s="20" t="inlineStr">
        <is>
          <t>NA</t>
        </is>
      </c>
      <c r="P149" s="20" t="inlineStr">
        <is>
          <t>NA</t>
        </is>
      </c>
      <c r="Q149" s="20" t="inlineStr">
        <is>
          <t>NA</t>
        </is>
      </c>
      <c r="R149" s="17" t="inlineStr">
        <is>
          <t>NA</t>
        </is>
      </c>
      <c r="S149" s="20" t="inlineStr">
        <is>
          <t>NA</t>
        </is>
      </c>
      <c r="T149" s="20" t="inlineStr">
        <is>
          <t>NA</t>
        </is>
      </c>
      <c r="U149" s="20" t="inlineStr">
        <is>
          <t>NA</t>
        </is>
      </c>
      <c r="V149" s="28" t="inlineStr">
        <is>
          <t>NA</t>
        </is>
      </c>
      <c r="W149" s="20" t="inlineStr">
        <is>
          <t>NA</t>
        </is>
      </c>
      <c r="X149" s="28" t="inlineStr">
        <is>
          <t>NA</t>
        </is>
      </c>
      <c r="Y149" s="20" t="inlineStr">
        <is>
          <t>NA</t>
        </is>
      </c>
      <c r="Z149" s="28" t="inlineStr">
        <is>
          <t>NA</t>
        </is>
      </c>
      <c r="AA149" s="20" t="inlineStr">
        <is>
          <t>NA</t>
        </is>
      </c>
      <c r="AB149" s="93" t="inlineStr">
        <is>
          <t>NA</t>
        </is>
      </c>
      <c r="AC149" s="20" t="inlineStr">
        <is>
          <t>NA</t>
        </is>
      </c>
      <c r="AD149" s="93" t="inlineStr">
        <is>
          <t>NA</t>
        </is>
      </c>
      <c r="AE149" s="97" t="inlineStr">
        <is>
          <t>NA</t>
        </is>
      </c>
      <c r="AF149" s="149" t="inlineStr">
        <is>
          <t>NA</t>
        </is>
      </c>
      <c r="AG149" s="97" t="inlineStr">
        <is>
          <t>NA</t>
        </is>
      </c>
      <c r="AH149" s="285" t="n">
        <v>0</v>
      </c>
      <c r="AI149" s="285" t="inlineStr">
        <is>
          <t>Not Reported</t>
        </is>
      </c>
      <c r="AJ149" s="93" t="inlineStr">
        <is>
          <t>NA</t>
        </is>
      </c>
      <c r="AK149" s="97" t="inlineStr">
        <is>
          <t>NA</t>
        </is>
      </c>
    </row>
    <row r="150">
      <c r="A150" s="21" t="inlineStr">
        <is>
          <t>HPE</t>
        </is>
      </c>
      <c r="B150" s="5" t="inlineStr">
        <is>
          <t xml:space="preserve">South 1 </t>
        </is>
      </c>
      <c r="C150" s="76" t="inlineStr">
        <is>
          <t>Mahak</t>
        </is>
      </c>
      <c r="D150" s="26" t="inlineStr">
        <is>
          <t>Debashreeta</t>
        </is>
      </c>
      <c r="E150" s="26" t="inlineStr">
        <is>
          <t>Category (B)</t>
        </is>
      </c>
      <c r="F150" s="21" t="inlineStr">
        <is>
          <t>Internal KPI</t>
        </is>
      </c>
      <c r="G150" s="21" t="inlineStr">
        <is>
          <t>No</t>
        </is>
      </c>
      <c r="H150" s="27" t="inlineStr">
        <is>
          <t>Time to Hire</t>
        </is>
      </c>
      <c r="I150" s="20" t="inlineStr">
        <is>
          <t>Technical - Not Shared</t>
        </is>
      </c>
      <c r="J150" s="20" t="inlineStr">
        <is>
          <t>NA</t>
        </is>
      </c>
      <c r="K150" s="20" t="inlineStr">
        <is>
          <t>NA</t>
        </is>
      </c>
      <c r="L150" s="20" t="inlineStr">
        <is>
          <t>NA</t>
        </is>
      </c>
      <c r="M150" s="20" t="inlineStr">
        <is>
          <t>NA</t>
        </is>
      </c>
      <c r="N150" s="20" t="inlineStr">
        <is>
          <t>NA</t>
        </is>
      </c>
      <c r="O150" s="20" t="inlineStr">
        <is>
          <t>NA</t>
        </is>
      </c>
      <c r="P150" s="20" t="inlineStr">
        <is>
          <t>NA</t>
        </is>
      </c>
      <c r="Q150" s="20" t="inlineStr">
        <is>
          <t>NA</t>
        </is>
      </c>
      <c r="R150" s="17" t="inlineStr">
        <is>
          <t>NA</t>
        </is>
      </c>
      <c r="S150" s="20" t="inlineStr">
        <is>
          <t>NA</t>
        </is>
      </c>
      <c r="T150" s="20" t="inlineStr">
        <is>
          <t>NA</t>
        </is>
      </c>
      <c r="U150" s="20" t="inlineStr">
        <is>
          <t>NA</t>
        </is>
      </c>
      <c r="V150" s="28" t="inlineStr">
        <is>
          <t>NA</t>
        </is>
      </c>
      <c r="W150" s="20" t="inlineStr">
        <is>
          <t>NA</t>
        </is>
      </c>
      <c r="X150" s="28" t="inlineStr">
        <is>
          <t>NA</t>
        </is>
      </c>
      <c r="Y150" s="20" t="inlineStr">
        <is>
          <t>NA</t>
        </is>
      </c>
      <c r="Z150" s="28" t="inlineStr">
        <is>
          <t>NA</t>
        </is>
      </c>
      <c r="AA150" s="20" t="inlineStr">
        <is>
          <t>NA</t>
        </is>
      </c>
      <c r="AB150" s="93" t="inlineStr">
        <is>
          <t>NA</t>
        </is>
      </c>
      <c r="AC150" s="20" t="inlineStr">
        <is>
          <t>NA</t>
        </is>
      </c>
      <c r="AD150" s="93" t="inlineStr">
        <is>
          <t>NA</t>
        </is>
      </c>
      <c r="AE150" s="97" t="inlineStr">
        <is>
          <t>NA</t>
        </is>
      </c>
      <c r="AF150" s="149" t="inlineStr">
        <is>
          <t>NA</t>
        </is>
      </c>
      <c r="AG150" s="97" t="inlineStr">
        <is>
          <t>NA</t>
        </is>
      </c>
      <c r="AH150" s="285" t="n">
        <v>0</v>
      </c>
      <c r="AI150" s="285" t="inlineStr">
        <is>
          <t>Not Reported</t>
        </is>
      </c>
      <c r="AJ150" s="93" t="inlineStr">
        <is>
          <t>NA</t>
        </is>
      </c>
      <c r="AK150" s="97" t="inlineStr">
        <is>
          <t>NA</t>
        </is>
      </c>
    </row>
    <row r="151">
      <c r="A151" s="21" t="inlineStr">
        <is>
          <t>HPE</t>
        </is>
      </c>
      <c r="B151" s="5" t="inlineStr">
        <is>
          <t xml:space="preserve">South 1 </t>
        </is>
      </c>
      <c r="C151" s="76" t="inlineStr">
        <is>
          <t>Mahak</t>
        </is>
      </c>
      <c r="D151" s="26" t="inlineStr">
        <is>
          <t>Debashreeta</t>
        </is>
      </c>
      <c r="E151" s="26" t="inlineStr">
        <is>
          <t>Category (B)</t>
        </is>
      </c>
      <c r="F151" s="21" t="inlineStr">
        <is>
          <t>Internal KPI</t>
        </is>
      </c>
      <c r="G151" s="21" t="inlineStr">
        <is>
          <t>No</t>
        </is>
      </c>
      <c r="H151" s="27" t="inlineStr">
        <is>
          <t>Time to Hire</t>
        </is>
      </c>
      <c r="I151" s="20" t="inlineStr">
        <is>
          <t>Enterprise - Not Shared</t>
        </is>
      </c>
      <c r="J151" s="20" t="inlineStr">
        <is>
          <t>NA</t>
        </is>
      </c>
      <c r="K151" s="20" t="inlineStr">
        <is>
          <t>NA</t>
        </is>
      </c>
      <c r="L151" s="20" t="inlineStr">
        <is>
          <t>NA</t>
        </is>
      </c>
      <c r="M151" s="20" t="inlineStr">
        <is>
          <t>NA</t>
        </is>
      </c>
      <c r="N151" s="20" t="inlineStr">
        <is>
          <t>NA</t>
        </is>
      </c>
      <c r="O151" s="20" t="inlineStr">
        <is>
          <t>NA</t>
        </is>
      </c>
      <c r="P151" s="20" t="inlineStr">
        <is>
          <t>NA</t>
        </is>
      </c>
      <c r="Q151" s="20" t="inlineStr">
        <is>
          <t>NA</t>
        </is>
      </c>
      <c r="R151" s="17" t="inlineStr">
        <is>
          <t>NA</t>
        </is>
      </c>
      <c r="S151" s="20" t="inlineStr">
        <is>
          <t>NA</t>
        </is>
      </c>
      <c r="T151" s="20" t="inlineStr">
        <is>
          <t>NA</t>
        </is>
      </c>
      <c r="U151" s="20" t="inlineStr">
        <is>
          <t>NA</t>
        </is>
      </c>
      <c r="V151" s="28" t="inlineStr">
        <is>
          <t>NA</t>
        </is>
      </c>
      <c r="W151" s="20" t="inlineStr">
        <is>
          <t>NA</t>
        </is>
      </c>
      <c r="X151" s="28" t="inlineStr">
        <is>
          <t>NA</t>
        </is>
      </c>
      <c r="Y151" s="20" t="inlineStr">
        <is>
          <t>NA</t>
        </is>
      </c>
      <c r="Z151" s="28" t="inlineStr">
        <is>
          <t>NA</t>
        </is>
      </c>
      <c r="AA151" s="20" t="inlineStr">
        <is>
          <t>NA</t>
        </is>
      </c>
      <c r="AB151" s="93" t="inlineStr">
        <is>
          <t>NA</t>
        </is>
      </c>
      <c r="AC151" s="20" t="inlineStr">
        <is>
          <t>NA</t>
        </is>
      </c>
      <c r="AD151" s="93" t="inlineStr">
        <is>
          <t>NA</t>
        </is>
      </c>
      <c r="AE151" s="97" t="inlineStr">
        <is>
          <t>NA</t>
        </is>
      </c>
      <c r="AF151" s="149" t="inlineStr">
        <is>
          <t>NA</t>
        </is>
      </c>
      <c r="AG151" s="97" t="inlineStr">
        <is>
          <t>NA</t>
        </is>
      </c>
      <c r="AH151" s="285" t="n">
        <v>0</v>
      </c>
      <c r="AI151" s="285" t="inlineStr">
        <is>
          <t>Not Reported</t>
        </is>
      </c>
      <c r="AJ151" s="93" t="inlineStr">
        <is>
          <t>NA</t>
        </is>
      </c>
      <c r="AK151" s="97" t="inlineStr">
        <is>
          <t>NA</t>
        </is>
      </c>
    </row>
    <row r="152">
      <c r="A152" s="21" t="inlineStr">
        <is>
          <t>HPE</t>
        </is>
      </c>
      <c r="B152" s="5" t="inlineStr">
        <is>
          <t xml:space="preserve">South 1 </t>
        </is>
      </c>
      <c r="C152" s="76" t="inlineStr">
        <is>
          <t>Mahak</t>
        </is>
      </c>
      <c r="D152" s="26" t="inlineStr">
        <is>
          <t>Debashreeta</t>
        </is>
      </c>
      <c r="E152" s="26" t="inlineStr">
        <is>
          <t>Category (B)</t>
        </is>
      </c>
      <c r="F152" s="21" t="inlineStr">
        <is>
          <t>Internal KPI</t>
        </is>
      </c>
      <c r="G152" s="21" t="inlineStr">
        <is>
          <t>No</t>
        </is>
      </c>
      <c r="H152" s="27" t="inlineStr">
        <is>
          <t>Hit Ratio</t>
        </is>
      </c>
      <c r="I152" s="20" t="inlineStr">
        <is>
          <t>Not Shared</t>
        </is>
      </c>
      <c r="J152" s="20" t="inlineStr">
        <is>
          <t>NA</t>
        </is>
      </c>
      <c r="K152" s="20" t="inlineStr">
        <is>
          <t>NA</t>
        </is>
      </c>
      <c r="L152" s="20" t="inlineStr">
        <is>
          <t>NA</t>
        </is>
      </c>
      <c r="M152" s="20" t="inlineStr">
        <is>
          <t>NA</t>
        </is>
      </c>
      <c r="N152" s="20" t="inlineStr">
        <is>
          <t>NA</t>
        </is>
      </c>
      <c r="O152" s="20" t="inlineStr">
        <is>
          <t>NA</t>
        </is>
      </c>
      <c r="P152" s="20" t="inlineStr">
        <is>
          <t>NA</t>
        </is>
      </c>
      <c r="Q152" s="20" t="inlineStr">
        <is>
          <t>NA</t>
        </is>
      </c>
      <c r="R152" s="17" t="inlineStr">
        <is>
          <t>NA</t>
        </is>
      </c>
      <c r="S152" s="20" t="inlineStr">
        <is>
          <t>NA</t>
        </is>
      </c>
      <c r="T152" s="20" t="inlineStr">
        <is>
          <t>NA</t>
        </is>
      </c>
      <c r="U152" s="20" t="inlineStr">
        <is>
          <t>NA</t>
        </is>
      </c>
      <c r="V152" s="28" t="inlineStr">
        <is>
          <t>NA</t>
        </is>
      </c>
      <c r="W152" s="20" t="inlineStr">
        <is>
          <t>NA</t>
        </is>
      </c>
      <c r="X152" s="28" t="inlineStr">
        <is>
          <t>NA</t>
        </is>
      </c>
      <c r="Y152" s="20" t="inlineStr">
        <is>
          <t>NA</t>
        </is>
      </c>
      <c r="Z152" s="28" t="inlineStr">
        <is>
          <t>NA</t>
        </is>
      </c>
      <c r="AA152" s="20" t="inlineStr">
        <is>
          <t>NA</t>
        </is>
      </c>
      <c r="AB152" s="93" t="inlineStr">
        <is>
          <t>NA</t>
        </is>
      </c>
      <c r="AC152" s="20" t="inlineStr">
        <is>
          <t>NA</t>
        </is>
      </c>
      <c r="AD152" s="93" t="inlineStr">
        <is>
          <t>NA</t>
        </is>
      </c>
      <c r="AE152" s="126" t="inlineStr">
        <is>
          <t>NA</t>
        </is>
      </c>
      <c r="AF152" s="149" t="inlineStr">
        <is>
          <t>NA</t>
        </is>
      </c>
      <c r="AG152" s="97" t="inlineStr">
        <is>
          <t>NA</t>
        </is>
      </c>
      <c r="AH152" s="285" t="n">
        <v>0</v>
      </c>
      <c r="AI152" s="285" t="inlineStr">
        <is>
          <t>Not Reported</t>
        </is>
      </c>
      <c r="AJ152" s="93" t="inlineStr">
        <is>
          <t>NA</t>
        </is>
      </c>
      <c r="AK152" s="126" t="inlineStr">
        <is>
          <t>NA</t>
        </is>
      </c>
    </row>
    <row r="153">
      <c r="A153" s="21" t="inlineStr">
        <is>
          <t>HPE</t>
        </is>
      </c>
      <c r="B153" s="5" t="inlineStr">
        <is>
          <t xml:space="preserve">South 1 </t>
        </is>
      </c>
      <c r="C153" s="76" t="inlineStr">
        <is>
          <t>Mahak</t>
        </is>
      </c>
      <c r="D153" s="26" t="inlineStr">
        <is>
          <t>Debashreeta</t>
        </is>
      </c>
      <c r="E153" s="26" t="inlineStr">
        <is>
          <t>Category (B)</t>
        </is>
      </c>
      <c r="F153" s="21" t="inlineStr">
        <is>
          <t>Internal KPI</t>
        </is>
      </c>
      <c r="G153" s="21" t="inlineStr">
        <is>
          <t>No</t>
        </is>
      </c>
      <c r="H153" s="27" t="inlineStr">
        <is>
          <t>Hit Ratio</t>
        </is>
      </c>
      <c r="I153" s="20" t="inlineStr">
        <is>
          <t>Not Shared</t>
        </is>
      </c>
      <c r="J153" s="20" t="inlineStr">
        <is>
          <t>NA</t>
        </is>
      </c>
      <c r="K153" s="20" t="inlineStr">
        <is>
          <t>NA</t>
        </is>
      </c>
      <c r="L153" s="20" t="inlineStr">
        <is>
          <t>NA</t>
        </is>
      </c>
      <c r="M153" s="20" t="inlineStr">
        <is>
          <t>NA</t>
        </is>
      </c>
      <c r="N153" s="20" t="inlineStr">
        <is>
          <t>NA</t>
        </is>
      </c>
      <c r="O153" s="20" t="inlineStr">
        <is>
          <t>NA</t>
        </is>
      </c>
      <c r="P153" s="20" t="inlineStr">
        <is>
          <t>NA</t>
        </is>
      </c>
      <c r="Q153" s="20" t="inlineStr">
        <is>
          <t>NA</t>
        </is>
      </c>
      <c r="R153" s="17" t="inlineStr">
        <is>
          <t>NA</t>
        </is>
      </c>
      <c r="S153" s="20" t="inlineStr">
        <is>
          <t>NA</t>
        </is>
      </c>
      <c r="T153" s="20" t="inlineStr">
        <is>
          <t>NA</t>
        </is>
      </c>
      <c r="U153" s="20" t="inlineStr">
        <is>
          <t>NA</t>
        </is>
      </c>
      <c r="V153" s="28" t="inlineStr">
        <is>
          <t>NA</t>
        </is>
      </c>
      <c r="W153" s="20" t="inlineStr">
        <is>
          <t>NA</t>
        </is>
      </c>
      <c r="X153" s="28" t="inlineStr">
        <is>
          <t>NA</t>
        </is>
      </c>
      <c r="Y153" s="20" t="inlineStr">
        <is>
          <t>NA</t>
        </is>
      </c>
      <c r="Z153" s="28" t="inlineStr">
        <is>
          <t>NA</t>
        </is>
      </c>
      <c r="AA153" s="20" t="inlineStr">
        <is>
          <t>NA</t>
        </is>
      </c>
      <c r="AB153" s="93" t="inlineStr">
        <is>
          <t>NA</t>
        </is>
      </c>
      <c r="AC153" s="20" t="inlineStr">
        <is>
          <t>NA</t>
        </is>
      </c>
      <c r="AD153" s="93" t="inlineStr">
        <is>
          <t>NA</t>
        </is>
      </c>
      <c r="AE153" s="126" t="inlineStr">
        <is>
          <t>NA</t>
        </is>
      </c>
      <c r="AF153" s="149" t="inlineStr">
        <is>
          <t>NA</t>
        </is>
      </c>
      <c r="AG153" s="97" t="inlineStr">
        <is>
          <t>NA</t>
        </is>
      </c>
      <c r="AH153" s="285" t="n">
        <v>0</v>
      </c>
      <c r="AI153" s="285" t="inlineStr">
        <is>
          <t>Not Reported</t>
        </is>
      </c>
      <c r="AJ153" s="93" t="inlineStr">
        <is>
          <t>NA</t>
        </is>
      </c>
      <c r="AK153" s="126" t="inlineStr">
        <is>
          <t>NA</t>
        </is>
      </c>
    </row>
    <row r="154">
      <c r="A154" s="21" t="inlineStr">
        <is>
          <t>HPE</t>
        </is>
      </c>
      <c r="B154" s="5" t="inlineStr">
        <is>
          <t xml:space="preserve">South 1 </t>
        </is>
      </c>
      <c r="C154" s="76" t="inlineStr">
        <is>
          <t>Mahak</t>
        </is>
      </c>
      <c r="D154" s="26" t="inlineStr">
        <is>
          <t>Debashreeta</t>
        </is>
      </c>
      <c r="E154" s="26" t="inlineStr">
        <is>
          <t>Category (B)</t>
        </is>
      </c>
      <c r="F154" s="21" t="inlineStr">
        <is>
          <t>Internal KPI</t>
        </is>
      </c>
      <c r="G154" s="21" t="inlineStr">
        <is>
          <t>No</t>
        </is>
      </c>
      <c r="H154" s="21" t="inlineStr">
        <is>
          <t>Offer Drop</t>
        </is>
      </c>
      <c r="I154" s="20" t="inlineStr">
        <is>
          <t>Technical - Not Shared</t>
        </is>
      </c>
      <c r="J154" s="20" t="inlineStr">
        <is>
          <t>NA</t>
        </is>
      </c>
      <c r="K154" s="20" t="inlineStr">
        <is>
          <t>NA</t>
        </is>
      </c>
      <c r="L154" s="20" t="inlineStr">
        <is>
          <t>NA</t>
        </is>
      </c>
      <c r="M154" s="20" t="inlineStr">
        <is>
          <t>NA</t>
        </is>
      </c>
      <c r="N154" s="20" t="inlineStr">
        <is>
          <t>NA</t>
        </is>
      </c>
      <c r="O154" s="20" t="inlineStr">
        <is>
          <t>NA</t>
        </is>
      </c>
      <c r="P154" s="20" t="inlineStr">
        <is>
          <t>NA</t>
        </is>
      </c>
      <c r="Q154" s="20" t="inlineStr">
        <is>
          <t>NA</t>
        </is>
      </c>
      <c r="R154" s="17" t="inlineStr">
        <is>
          <t>NA</t>
        </is>
      </c>
      <c r="S154" s="20" t="inlineStr">
        <is>
          <t>NA</t>
        </is>
      </c>
      <c r="T154" s="20" t="inlineStr">
        <is>
          <t>NA</t>
        </is>
      </c>
      <c r="U154" s="20" t="inlineStr">
        <is>
          <t>NA</t>
        </is>
      </c>
      <c r="V154" s="28" t="inlineStr">
        <is>
          <t>NA</t>
        </is>
      </c>
      <c r="W154" s="20" t="inlineStr">
        <is>
          <t>NA</t>
        </is>
      </c>
      <c r="X154" s="28" t="inlineStr">
        <is>
          <t>NA</t>
        </is>
      </c>
      <c r="Y154" s="20" t="inlineStr">
        <is>
          <t>NA</t>
        </is>
      </c>
      <c r="Z154" s="28" t="inlineStr">
        <is>
          <t>NA</t>
        </is>
      </c>
      <c r="AA154" s="20" t="inlineStr">
        <is>
          <t>NA</t>
        </is>
      </c>
      <c r="AB154" s="93" t="inlineStr">
        <is>
          <t>NA</t>
        </is>
      </c>
      <c r="AC154" s="20" t="inlineStr">
        <is>
          <t>NA</t>
        </is>
      </c>
      <c r="AD154" s="93" t="inlineStr">
        <is>
          <t>NA</t>
        </is>
      </c>
      <c r="AE154" s="126" t="inlineStr">
        <is>
          <t>NA</t>
        </is>
      </c>
      <c r="AF154" s="149" t="inlineStr">
        <is>
          <t>NA</t>
        </is>
      </c>
      <c r="AG154" s="97" t="inlineStr">
        <is>
          <t>NA</t>
        </is>
      </c>
      <c r="AH154" s="285" t="n">
        <v>0</v>
      </c>
      <c r="AI154" s="285" t="inlineStr">
        <is>
          <t>Not Reported</t>
        </is>
      </c>
      <c r="AJ154" s="93" t="inlineStr">
        <is>
          <t>NA</t>
        </is>
      </c>
      <c r="AK154" s="126" t="inlineStr">
        <is>
          <t>NA</t>
        </is>
      </c>
    </row>
    <row r="155">
      <c r="A155" s="21" t="inlineStr">
        <is>
          <t>HPE</t>
        </is>
      </c>
      <c r="B155" s="5" t="inlineStr">
        <is>
          <t xml:space="preserve">South 1 </t>
        </is>
      </c>
      <c r="C155" s="76" t="inlineStr">
        <is>
          <t>Mahak</t>
        </is>
      </c>
      <c r="D155" s="26" t="inlineStr">
        <is>
          <t>Debashreeta</t>
        </is>
      </c>
      <c r="E155" s="26" t="inlineStr">
        <is>
          <t>Category (B)</t>
        </is>
      </c>
      <c r="F155" s="21" t="inlineStr">
        <is>
          <t>Internal KPI</t>
        </is>
      </c>
      <c r="G155" s="21" t="inlineStr">
        <is>
          <t>No</t>
        </is>
      </c>
      <c r="H155" s="21" t="inlineStr">
        <is>
          <t>Offer Drop</t>
        </is>
      </c>
      <c r="I155" s="20" t="inlineStr">
        <is>
          <t>Enterprise - Not Shared</t>
        </is>
      </c>
      <c r="J155" s="20" t="inlineStr">
        <is>
          <t>NA</t>
        </is>
      </c>
      <c r="K155" s="20" t="inlineStr">
        <is>
          <t>NA</t>
        </is>
      </c>
      <c r="L155" s="20" t="inlineStr">
        <is>
          <t>NA</t>
        </is>
      </c>
      <c r="M155" s="20" t="inlineStr">
        <is>
          <t>NA</t>
        </is>
      </c>
      <c r="N155" s="20" t="inlineStr">
        <is>
          <t>NA</t>
        </is>
      </c>
      <c r="O155" s="20" t="inlineStr">
        <is>
          <t>NA</t>
        </is>
      </c>
      <c r="P155" s="20" t="inlineStr">
        <is>
          <t>NA</t>
        </is>
      </c>
      <c r="Q155" s="20" t="inlineStr">
        <is>
          <t>NA</t>
        </is>
      </c>
      <c r="R155" s="17" t="inlineStr">
        <is>
          <t>NA</t>
        </is>
      </c>
      <c r="S155" s="20" t="inlineStr">
        <is>
          <t>NA</t>
        </is>
      </c>
      <c r="T155" s="20" t="inlineStr">
        <is>
          <t>NA</t>
        </is>
      </c>
      <c r="U155" s="20" t="inlineStr">
        <is>
          <t>NA</t>
        </is>
      </c>
      <c r="V155" s="28" t="inlineStr">
        <is>
          <t>NA</t>
        </is>
      </c>
      <c r="W155" s="20" t="inlineStr">
        <is>
          <t>NA</t>
        </is>
      </c>
      <c r="X155" s="28" t="inlineStr">
        <is>
          <t>NA</t>
        </is>
      </c>
      <c r="Y155" s="20" t="inlineStr">
        <is>
          <t>NA</t>
        </is>
      </c>
      <c r="Z155" s="28" t="inlineStr">
        <is>
          <t>NA</t>
        </is>
      </c>
      <c r="AA155" s="20" t="inlineStr">
        <is>
          <t>NA</t>
        </is>
      </c>
      <c r="AB155" s="93" t="inlineStr">
        <is>
          <t>NA</t>
        </is>
      </c>
      <c r="AC155" s="20" t="inlineStr">
        <is>
          <t>NA</t>
        </is>
      </c>
      <c r="AD155" s="93" t="inlineStr">
        <is>
          <t>NA</t>
        </is>
      </c>
      <c r="AE155" s="126" t="inlineStr">
        <is>
          <t>NA</t>
        </is>
      </c>
      <c r="AF155" s="149" t="inlineStr">
        <is>
          <t>NA</t>
        </is>
      </c>
      <c r="AG155" s="97" t="inlineStr">
        <is>
          <t>NA</t>
        </is>
      </c>
      <c r="AH155" s="285" t="n">
        <v>0</v>
      </c>
      <c r="AI155" s="285" t="inlineStr">
        <is>
          <t>Not Reported</t>
        </is>
      </c>
      <c r="AJ155" s="93" t="inlineStr">
        <is>
          <t>NA</t>
        </is>
      </c>
      <c r="AK155" s="126" t="inlineStr">
        <is>
          <t>NA</t>
        </is>
      </c>
    </row>
    <row r="156">
      <c r="A156" s="21" t="inlineStr">
        <is>
          <t>HPE</t>
        </is>
      </c>
      <c r="B156" s="5" t="inlineStr">
        <is>
          <t xml:space="preserve">South 1 </t>
        </is>
      </c>
      <c r="C156" s="76" t="inlineStr">
        <is>
          <t>Mahak</t>
        </is>
      </c>
      <c r="D156" s="26" t="inlineStr">
        <is>
          <t>Debashreeta</t>
        </is>
      </c>
      <c r="E156" s="26" t="inlineStr">
        <is>
          <t>Category (B)</t>
        </is>
      </c>
      <c r="F156" s="21" t="inlineStr">
        <is>
          <t>Internal KPI</t>
        </is>
      </c>
      <c r="G156" s="21" t="inlineStr">
        <is>
          <t>No</t>
        </is>
      </c>
      <c r="H156" s="27" t="inlineStr">
        <is>
          <t>First Time Right Ratio</t>
        </is>
      </c>
      <c r="I156" s="20" t="inlineStr">
        <is>
          <t>Technical - Not Shared</t>
        </is>
      </c>
      <c r="J156" s="20" t="inlineStr">
        <is>
          <t>NA</t>
        </is>
      </c>
      <c r="K156" s="20" t="inlineStr">
        <is>
          <t>NA</t>
        </is>
      </c>
      <c r="L156" s="20" t="inlineStr">
        <is>
          <t>NA</t>
        </is>
      </c>
      <c r="M156" s="20" t="inlineStr">
        <is>
          <t>NA</t>
        </is>
      </c>
      <c r="N156" s="20" t="inlineStr">
        <is>
          <t>NA</t>
        </is>
      </c>
      <c r="O156" s="20" t="inlineStr">
        <is>
          <t>NA</t>
        </is>
      </c>
      <c r="P156" s="20" t="inlineStr">
        <is>
          <t>NA</t>
        </is>
      </c>
      <c r="Q156" s="20" t="inlineStr">
        <is>
          <t>NA</t>
        </is>
      </c>
      <c r="R156" s="17" t="inlineStr">
        <is>
          <t>NA</t>
        </is>
      </c>
      <c r="S156" s="20" t="inlineStr">
        <is>
          <t>NA</t>
        </is>
      </c>
      <c r="T156" s="20" t="inlineStr">
        <is>
          <t>NA</t>
        </is>
      </c>
      <c r="U156" s="20" t="inlineStr">
        <is>
          <t>NA</t>
        </is>
      </c>
      <c r="V156" s="28" t="inlineStr">
        <is>
          <t>NA</t>
        </is>
      </c>
      <c r="W156" s="20" t="inlineStr">
        <is>
          <t>NA</t>
        </is>
      </c>
      <c r="X156" s="28" t="inlineStr">
        <is>
          <t>NA</t>
        </is>
      </c>
      <c r="Y156" s="20" t="inlineStr">
        <is>
          <t>NA</t>
        </is>
      </c>
      <c r="Z156" s="28" t="inlineStr">
        <is>
          <t>NA</t>
        </is>
      </c>
      <c r="AA156" s="20" t="inlineStr">
        <is>
          <t>NA</t>
        </is>
      </c>
      <c r="AB156" s="93" t="inlineStr">
        <is>
          <t>NA</t>
        </is>
      </c>
      <c r="AC156" s="20" t="inlineStr">
        <is>
          <t>NA</t>
        </is>
      </c>
      <c r="AD156" s="93" t="inlineStr">
        <is>
          <t>NA</t>
        </is>
      </c>
      <c r="AE156" s="126" t="inlineStr">
        <is>
          <t>NA</t>
        </is>
      </c>
      <c r="AF156" s="149" t="inlineStr">
        <is>
          <t>NA</t>
        </is>
      </c>
      <c r="AG156" s="97" t="inlineStr">
        <is>
          <t>NA</t>
        </is>
      </c>
      <c r="AH156" s="285" t="n">
        <v>0</v>
      </c>
      <c r="AI156" s="285" t="inlineStr">
        <is>
          <t>Not Reported</t>
        </is>
      </c>
      <c r="AJ156" s="93" t="inlineStr">
        <is>
          <t>NA</t>
        </is>
      </c>
      <c r="AK156" s="126" t="inlineStr">
        <is>
          <t>NA</t>
        </is>
      </c>
    </row>
    <row r="157">
      <c r="A157" s="21" t="inlineStr">
        <is>
          <t>HPE</t>
        </is>
      </c>
      <c r="B157" s="5" t="inlineStr">
        <is>
          <t xml:space="preserve">South 1 </t>
        </is>
      </c>
      <c r="C157" s="76" t="inlineStr">
        <is>
          <t>Mahak</t>
        </is>
      </c>
      <c r="D157" s="26" t="inlineStr">
        <is>
          <t>Debashreeta</t>
        </is>
      </c>
      <c r="E157" s="26" t="inlineStr">
        <is>
          <t>Category (B)</t>
        </is>
      </c>
      <c r="F157" s="21" t="inlineStr">
        <is>
          <t>Internal KPI</t>
        </is>
      </c>
      <c r="G157" s="21" t="inlineStr">
        <is>
          <t>No</t>
        </is>
      </c>
      <c r="H157" s="27" t="inlineStr">
        <is>
          <t>First Time Right Ratio</t>
        </is>
      </c>
      <c r="I157" s="20" t="inlineStr">
        <is>
          <t>Enterprise - Not Shared</t>
        </is>
      </c>
      <c r="J157" s="20" t="inlineStr">
        <is>
          <t>NA</t>
        </is>
      </c>
      <c r="K157" s="20" t="inlineStr">
        <is>
          <t>NA</t>
        </is>
      </c>
      <c r="L157" s="20" t="inlineStr">
        <is>
          <t>NA</t>
        </is>
      </c>
      <c r="M157" s="20" t="inlineStr">
        <is>
          <t>NA</t>
        </is>
      </c>
      <c r="N157" s="20" t="inlineStr">
        <is>
          <t>NA</t>
        </is>
      </c>
      <c r="O157" s="20" t="inlineStr">
        <is>
          <t>NA</t>
        </is>
      </c>
      <c r="P157" s="20" t="inlineStr">
        <is>
          <t>NA</t>
        </is>
      </c>
      <c r="Q157" s="20" t="inlineStr">
        <is>
          <t>NA</t>
        </is>
      </c>
      <c r="R157" s="17" t="inlineStr">
        <is>
          <t>NA</t>
        </is>
      </c>
      <c r="S157" s="20" t="inlineStr">
        <is>
          <t>NA</t>
        </is>
      </c>
      <c r="T157" s="20" t="inlineStr">
        <is>
          <t>NA</t>
        </is>
      </c>
      <c r="U157" s="20" t="inlineStr">
        <is>
          <t>NA</t>
        </is>
      </c>
      <c r="V157" s="28" t="inlineStr">
        <is>
          <t>NA</t>
        </is>
      </c>
      <c r="W157" s="20" t="inlineStr">
        <is>
          <t>NA</t>
        </is>
      </c>
      <c r="X157" s="28" t="inlineStr">
        <is>
          <t>NA</t>
        </is>
      </c>
      <c r="Y157" s="20" t="inlineStr">
        <is>
          <t>NA</t>
        </is>
      </c>
      <c r="Z157" s="28" t="inlineStr">
        <is>
          <t>NA</t>
        </is>
      </c>
      <c r="AA157" s="20" t="inlineStr">
        <is>
          <t>NA</t>
        </is>
      </c>
      <c r="AB157" s="93" t="inlineStr">
        <is>
          <t>NA</t>
        </is>
      </c>
      <c r="AC157" s="20" t="inlineStr">
        <is>
          <t>NA</t>
        </is>
      </c>
      <c r="AD157" s="93" t="inlineStr">
        <is>
          <t>NA</t>
        </is>
      </c>
      <c r="AE157" s="126" t="inlineStr">
        <is>
          <t>NA</t>
        </is>
      </c>
      <c r="AF157" s="149" t="inlineStr">
        <is>
          <t>NA</t>
        </is>
      </c>
      <c r="AG157" s="97" t="inlineStr">
        <is>
          <t>NA</t>
        </is>
      </c>
      <c r="AH157" s="285" t="n">
        <v>0</v>
      </c>
      <c r="AI157" s="285" t="inlineStr">
        <is>
          <t>Not Reported</t>
        </is>
      </c>
      <c r="AJ157" s="93" t="inlineStr">
        <is>
          <t>NA</t>
        </is>
      </c>
      <c r="AK157" s="126" t="inlineStr">
        <is>
          <t>NA</t>
        </is>
      </c>
    </row>
    <row r="158">
      <c r="A158" s="21" t="inlineStr">
        <is>
          <t>HPE</t>
        </is>
      </c>
      <c r="B158" s="5" t="inlineStr">
        <is>
          <t xml:space="preserve">South 1 </t>
        </is>
      </c>
      <c r="C158" s="76" t="inlineStr">
        <is>
          <t>Mahak</t>
        </is>
      </c>
      <c r="D158" s="26" t="inlineStr">
        <is>
          <t>Debashreeta</t>
        </is>
      </c>
      <c r="E158" s="26" t="inlineStr">
        <is>
          <t>Category (B)</t>
        </is>
      </c>
      <c r="F158" s="21" t="inlineStr">
        <is>
          <t>Internal KPI</t>
        </is>
      </c>
      <c r="G158" s="21" t="inlineStr">
        <is>
          <t>No</t>
        </is>
      </c>
      <c r="H158" s="27" t="inlineStr">
        <is>
          <t xml:space="preserve">Fulfilment </t>
        </is>
      </c>
      <c r="I158" s="20" t="inlineStr">
        <is>
          <t>Technical - Not Shared</t>
        </is>
      </c>
      <c r="J158" s="20" t="inlineStr">
        <is>
          <t>NA</t>
        </is>
      </c>
      <c r="K158" s="20" t="inlineStr">
        <is>
          <t>NA</t>
        </is>
      </c>
      <c r="L158" s="20" t="inlineStr">
        <is>
          <t>NA</t>
        </is>
      </c>
      <c r="M158" s="20" t="inlineStr">
        <is>
          <t>NA</t>
        </is>
      </c>
      <c r="N158" s="20" t="inlineStr">
        <is>
          <t>NA</t>
        </is>
      </c>
      <c r="O158" s="20" t="inlineStr">
        <is>
          <t>NA</t>
        </is>
      </c>
      <c r="P158" s="20" t="inlineStr">
        <is>
          <t>NA</t>
        </is>
      </c>
      <c r="Q158" s="20" t="inlineStr">
        <is>
          <t>NA</t>
        </is>
      </c>
      <c r="R158" s="17" t="inlineStr">
        <is>
          <t>NA</t>
        </is>
      </c>
      <c r="S158" s="20" t="inlineStr">
        <is>
          <t>NA</t>
        </is>
      </c>
      <c r="T158" s="20" t="inlineStr">
        <is>
          <t>NA</t>
        </is>
      </c>
      <c r="U158" s="20" t="inlineStr">
        <is>
          <t>NA</t>
        </is>
      </c>
      <c r="V158" s="28" t="inlineStr">
        <is>
          <t>NA</t>
        </is>
      </c>
      <c r="W158" s="20" t="inlineStr">
        <is>
          <t>NA</t>
        </is>
      </c>
      <c r="X158" s="28" t="inlineStr">
        <is>
          <t>NA</t>
        </is>
      </c>
      <c r="Y158" s="20" t="inlineStr">
        <is>
          <t>NA</t>
        </is>
      </c>
      <c r="Z158" s="28" t="inlineStr">
        <is>
          <t>NA</t>
        </is>
      </c>
      <c r="AA158" s="20" t="inlineStr">
        <is>
          <t>NA</t>
        </is>
      </c>
      <c r="AB158" s="93" t="inlineStr">
        <is>
          <t>NA</t>
        </is>
      </c>
      <c r="AC158" s="20" t="inlineStr">
        <is>
          <t>NA</t>
        </is>
      </c>
      <c r="AD158" s="93" t="inlineStr">
        <is>
          <t>NA</t>
        </is>
      </c>
      <c r="AE158" s="126" t="inlineStr">
        <is>
          <t>NA</t>
        </is>
      </c>
      <c r="AF158" s="149" t="inlineStr">
        <is>
          <t>NA</t>
        </is>
      </c>
      <c r="AG158" s="97" t="inlineStr">
        <is>
          <t>NA</t>
        </is>
      </c>
      <c r="AH158" s="285" t="n">
        <v>0</v>
      </c>
      <c r="AI158" s="285" t="inlineStr">
        <is>
          <t>Not Reported</t>
        </is>
      </c>
      <c r="AJ158" s="93" t="inlineStr">
        <is>
          <t>NA</t>
        </is>
      </c>
      <c r="AK158" s="126" t="inlineStr">
        <is>
          <t>NA</t>
        </is>
      </c>
    </row>
    <row r="159">
      <c r="A159" s="21" t="inlineStr">
        <is>
          <t>HPE</t>
        </is>
      </c>
      <c r="B159" s="5" t="inlineStr">
        <is>
          <t xml:space="preserve">South 1 </t>
        </is>
      </c>
      <c r="C159" s="76" t="inlineStr">
        <is>
          <t>Mahak</t>
        </is>
      </c>
      <c r="D159" s="26" t="inlineStr">
        <is>
          <t>Debashreeta</t>
        </is>
      </c>
      <c r="E159" s="26" t="inlineStr">
        <is>
          <t>Category (B)</t>
        </is>
      </c>
      <c r="F159" s="21" t="inlineStr">
        <is>
          <t>Internal KPI</t>
        </is>
      </c>
      <c r="G159" s="21" t="inlineStr">
        <is>
          <t>No</t>
        </is>
      </c>
      <c r="H159" s="27" t="inlineStr">
        <is>
          <t xml:space="preserve">Fulfilment </t>
        </is>
      </c>
      <c r="I159" s="20" t="inlineStr">
        <is>
          <t>Enterprise - Not Shared</t>
        </is>
      </c>
      <c r="J159" s="20" t="inlineStr">
        <is>
          <t>NA</t>
        </is>
      </c>
      <c r="K159" s="20" t="inlineStr">
        <is>
          <t>NA</t>
        </is>
      </c>
      <c r="L159" s="20" t="inlineStr">
        <is>
          <t>NA</t>
        </is>
      </c>
      <c r="M159" s="20" t="inlineStr">
        <is>
          <t>NA</t>
        </is>
      </c>
      <c r="N159" s="20" t="inlineStr">
        <is>
          <t>NA</t>
        </is>
      </c>
      <c r="O159" s="20" t="inlineStr">
        <is>
          <t>NA</t>
        </is>
      </c>
      <c r="P159" s="20" t="inlineStr">
        <is>
          <t>NA</t>
        </is>
      </c>
      <c r="Q159" s="20" t="inlineStr">
        <is>
          <t>NA</t>
        </is>
      </c>
      <c r="R159" s="17" t="inlineStr">
        <is>
          <t>NA</t>
        </is>
      </c>
      <c r="S159" s="20" t="inlineStr">
        <is>
          <t>NA</t>
        </is>
      </c>
      <c r="T159" s="20" t="inlineStr">
        <is>
          <t>NA</t>
        </is>
      </c>
      <c r="U159" s="20" t="inlineStr">
        <is>
          <t>NA</t>
        </is>
      </c>
      <c r="V159" s="28" t="inlineStr">
        <is>
          <t>NA</t>
        </is>
      </c>
      <c r="W159" s="20" t="inlineStr">
        <is>
          <t>NA</t>
        </is>
      </c>
      <c r="X159" s="28" t="inlineStr">
        <is>
          <t>NA</t>
        </is>
      </c>
      <c r="Y159" s="20" t="inlineStr">
        <is>
          <t>NA</t>
        </is>
      </c>
      <c r="Z159" s="28" t="inlineStr">
        <is>
          <t>NA</t>
        </is>
      </c>
      <c r="AA159" s="20" t="inlineStr">
        <is>
          <t>NA</t>
        </is>
      </c>
      <c r="AB159" s="93" t="inlineStr">
        <is>
          <t>NA</t>
        </is>
      </c>
      <c r="AC159" s="20" t="inlineStr">
        <is>
          <t>NA</t>
        </is>
      </c>
      <c r="AD159" s="93" t="inlineStr">
        <is>
          <t>NA</t>
        </is>
      </c>
      <c r="AE159" s="126" t="inlineStr">
        <is>
          <t>NA</t>
        </is>
      </c>
      <c r="AF159" s="149" t="inlineStr">
        <is>
          <t>NA</t>
        </is>
      </c>
      <c r="AG159" s="97" t="inlineStr">
        <is>
          <t>NA</t>
        </is>
      </c>
      <c r="AH159" s="285" t="n">
        <v>0</v>
      </c>
      <c r="AI159" s="285" t="inlineStr">
        <is>
          <t>Not Reported</t>
        </is>
      </c>
      <c r="AJ159" s="93" t="inlineStr">
        <is>
          <t>NA</t>
        </is>
      </c>
      <c r="AK159" s="126" t="inlineStr">
        <is>
          <t>NA</t>
        </is>
      </c>
    </row>
    <row r="160">
      <c r="A160" s="21" t="inlineStr">
        <is>
          <t>Hyundai</t>
        </is>
      </c>
      <c r="B160" s="5" t="inlineStr">
        <is>
          <t>West 2</t>
        </is>
      </c>
      <c r="C160" s="76" t="inlineStr">
        <is>
          <t>Shweta</t>
        </is>
      </c>
      <c r="D160" s="26" t="inlineStr">
        <is>
          <t>Debashreeta</t>
        </is>
      </c>
      <c r="E160" s="26" t="inlineStr">
        <is>
          <t>Category (B)</t>
        </is>
      </c>
      <c r="F160" s="21" t="inlineStr">
        <is>
          <t>Internal KPI</t>
        </is>
      </c>
      <c r="G160" s="21" t="inlineStr">
        <is>
          <t>No</t>
        </is>
      </c>
      <c r="H160" s="26" t="inlineStr">
        <is>
          <t>Time to Hire</t>
        </is>
      </c>
      <c r="I160" s="14" t="inlineStr">
        <is>
          <t>90 Days</t>
        </is>
      </c>
      <c r="J160" s="57" t="n">
        <v>166</v>
      </c>
      <c r="K160" s="28" t="inlineStr">
        <is>
          <t>Not Met</t>
        </is>
      </c>
      <c r="L160" s="14" t="n">
        <v>139</v>
      </c>
      <c r="M160" s="28" t="inlineStr">
        <is>
          <t>Not Met</t>
        </is>
      </c>
      <c r="N160" s="28" t="n">
        <v>151</v>
      </c>
      <c r="O160" s="28" t="inlineStr">
        <is>
          <t>Not Met</t>
        </is>
      </c>
      <c r="P160" s="28" t="n">
        <v>136</v>
      </c>
      <c r="Q160" s="28" t="inlineStr">
        <is>
          <t>Not Met</t>
        </is>
      </c>
      <c r="R160" s="28" t="n">
        <v>89</v>
      </c>
      <c r="S160" s="28" t="inlineStr">
        <is>
          <t>Met</t>
        </is>
      </c>
      <c r="T160" s="28" t="inlineStr">
        <is>
          <t>73 Days</t>
        </is>
      </c>
      <c r="U160" s="28" t="inlineStr">
        <is>
          <t>Met</t>
        </is>
      </c>
      <c r="V160" s="28" t="n">
        <v>61</v>
      </c>
      <c r="W160" s="28" t="inlineStr">
        <is>
          <t>Met</t>
        </is>
      </c>
      <c r="X160" s="28" t="inlineStr">
        <is>
          <t>Not Reported</t>
        </is>
      </c>
      <c r="Y160" s="28" t="inlineStr">
        <is>
          <t>Not Reported</t>
        </is>
      </c>
      <c r="Z160" s="17" t="n">
        <v>149</v>
      </c>
      <c r="AA160" s="28" t="inlineStr">
        <is>
          <t>Not Met</t>
        </is>
      </c>
      <c r="AB160" s="97" t="inlineStr">
        <is>
          <t>Not Reported</t>
        </is>
      </c>
      <c r="AC160" s="90" t="inlineStr">
        <is>
          <t>Not Reported</t>
        </is>
      </c>
      <c r="AD160" s="93" t="n">
        <v>155</v>
      </c>
      <c r="AE160" s="28" t="inlineStr">
        <is>
          <t>Not Met</t>
        </is>
      </c>
      <c r="AF160" s="95" t="inlineStr">
        <is>
          <t>Not Reported</t>
        </is>
      </c>
      <c r="AG160" s="149" t="inlineStr">
        <is>
          <t>Not Reported</t>
        </is>
      </c>
      <c r="AH160" s="285" t="n">
        <v>0</v>
      </c>
      <c r="AI160" s="285" t="inlineStr">
        <is>
          <t>Not Reported</t>
        </is>
      </c>
      <c r="AJ160" s="95" t="inlineStr">
        <is>
          <t>Not Reported</t>
        </is>
      </c>
      <c r="AK160" s="97" t="inlineStr">
        <is>
          <t>Not Reported</t>
        </is>
      </c>
    </row>
    <row r="161">
      <c r="A161" s="164" t="inlineStr">
        <is>
          <t>Hyundai</t>
        </is>
      </c>
      <c r="B161" s="165" t="inlineStr">
        <is>
          <t>West 2</t>
        </is>
      </c>
      <c r="C161" s="278" t="inlineStr">
        <is>
          <t>Shweta</t>
        </is>
      </c>
      <c r="D161" s="166" t="inlineStr">
        <is>
          <t>Debashreeta</t>
        </is>
      </c>
      <c r="E161" s="166" t="inlineStr">
        <is>
          <t>Category (B)</t>
        </is>
      </c>
      <c r="F161" s="164" t="inlineStr">
        <is>
          <t>Internal KPI</t>
        </is>
      </c>
      <c r="G161" s="164" t="inlineStr">
        <is>
          <t>No</t>
        </is>
      </c>
      <c r="H161" s="166" t="inlineStr">
        <is>
          <t>Time to Fill</t>
        </is>
      </c>
      <c r="I161" s="174" t="inlineStr">
        <is>
          <t>35 Days</t>
        </is>
      </c>
      <c r="J161" s="170" t="n">
        <v>36</v>
      </c>
      <c r="K161" s="170" t="inlineStr">
        <is>
          <t>Not Met</t>
        </is>
      </c>
      <c r="L161" s="174" t="n">
        <v>22</v>
      </c>
      <c r="M161" s="170" t="inlineStr">
        <is>
          <t>Met</t>
        </is>
      </c>
      <c r="N161" s="170" t="n">
        <v>35</v>
      </c>
      <c r="O161" s="170" t="inlineStr">
        <is>
          <t>Met</t>
        </is>
      </c>
      <c r="P161" s="170" t="n">
        <v>27</v>
      </c>
      <c r="Q161" s="170" t="inlineStr">
        <is>
          <t>Met</t>
        </is>
      </c>
      <c r="R161" s="170" t="n">
        <v>32</v>
      </c>
      <c r="S161" s="170" t="inlineStr">
        <is>
          <t>Met</t>
        </is>
      </c>
      <c r="T161" s="170" t="inlineStr">
        <is>
          <t>32 Days</t>
        </is>
      </c>
      <c r="U161" s="170" t="inlineStr">
        <is>
          <t>Met</t>
        </is>
      </c>
      <c r="V161" s="170" t="n">
        <v>35</v>
      </c>
      <c r="W161" s="170" t="inlineStr">
        <is>
          <t>Met</t>
        </is>
      </c>
      <c r="X161" s="170" t="inlineStr">
        <is>
          <t>Not Reported</t>
        </is>
      </c>
      <c r="Y161" s="170" t="inlineStr">
        <is>
          <t>Not Reported</t>
        </is>
      </c>
      <c r="Z161" s="171" t="n">
        <v>40</v>
      </c>
      <c r="AA161" s="170" t="inlineStr">
        <is>
          <t>Not Met</t>
        </is>
      </c>
      <c r="AB161" s="156" t="inlineStr">
        <is>
          <t>Not Reported</t>
        </is>
      </c>
      <c r="AC161" s="178" t="inlineStr">
        <is>
          <t>Not Reported</t>
        </is>
      </c>
      <c r="AD161" s="162" t="n">
        <v>94</v>
      </c>
      <c r="AE161" s="170" t="inlineStr">
        <is>
          <t>Not Met</t>
        </is>
      </c>
      <c r="AF161" s="95" t="inlineStr">
        <is>
          <t>Not Reported</t>
        </is>
      </c>
      <c r="AG161" s="149" t="inlineStr">
        <is>
          <t>Not Reported</t>
        </is>
      </c>
      <c r="AH161" s="285" t="n">
        <v>0</v>
      </c>
      <c r="AI161" s="285" t="inlineStr">
        <is>
          <t>Not Reported</t>
        </is>
      </c>
      <c r="AJ161" s="95" t="inlineStr">
        <is>
          <t>Not Reported</t>
        </is>
      </c>
      <c r="AK161" s="97" t="inlineStr">
        <is>
          <t>Not Reported</t>
        </is>
      </c>
    </row>
    <row r="162">
      <c r="A162" s="21" t="inlineStr">
        <is>
          <t>Hyundai</t>
        </is>
      </c>
      <c r="B162" s="5" t="inlineStr">
        <is>
          <t>West 2</t>
        </is>
      </c>
      <c r="C162" s="76" t="inlineStr">
        <is>
          <t>Shweta</t>
        </is>
      </c>
      <c r="D162" s="26" t="inlineStr">
        <is>
          <t>Debashreeta</t>
        </is>
      </c>
      <c r="E162" s="26" t="inlineStr">
        <is>
          <t>Category (B)</t>
        </is>
      </c>
      <c r="F162" s="21" t="inlineStr">
        <is>
          <t>Internal KPI</t>
        </is>
      </c>
      <c r="G162" s="21" t="inlineStr">
        <is>
          <t>No</t>
        </is>
      </c>
      <c r="H162" s="26" t="inlineStr">
        <is>
          <t>Ageing</t>
        </is>
      </c>
      <c r="I162" s="14" t="inlineStr">
        <is>
          <t>&lt;=20%</t>
        </is>
      </c>
      <c r="J162" s="17" t="inlineStr">
        <is>
          <t>NA</t>
        </is>
      </c>
      <c r="K162" s="17" t="inlineStr">
        <is>
          <t>NA</t>
        </is>
      </c>
      <c r="L162" s="14" t="inlineStr">
        <is>
          <t>Not reported</t>
        </is>
      </c>
      <c r="M162" s="28" t="inlineStr">
        <is>
          <t>Not Reported</t>
        </is>
      </c>
      <c r="N162" s="28" t="inlineStr">
        <is>
          <t>Not Reported</t>
        </is>
      </c>
      <c r="O162" s="28" t="inlineStr">
        <is>
          <t>Not Reported</t>
        </is>
      </c>
      <c r="P162" s="28" t="inlineStr">
        <is>
          <t>Not reported</t>
        </is>
      </c>
      <c r="Q162" s="28" t="inlineStr">
        <is>
          <t>Not Reported</t>
        </is>
      </c>
      <c r="R162" s="28" t="inlineStr">
        <is>
          <t>Not Reported</t>
        </is>
      </c>
      <c r="S162" s="28" t="inlineStr">
        <is>
          <t xml:space="preserve">Not Reported </t>
        </is>
      </c>
      <c r="T162" s="28" t="inlineStr">
        <is>
          <t>Not Reported</t>
        </is>
      </c>
      <c r="U162" s="28" t="inlineStr">
        <is>
          <t>Not Reported</t>
        </is>
      </c>
      <c r="V162" s="28" t="inlineStr">
        <is>
          <t>Not Reported</t>
        </is>
      </c>
      <c r="W162" s="28" t="inlineStr">
        <is>
          <t>Not Reported</t>
        </is>
      </c>
      <c r="X162" s="28" t="inlineStr">
        <is>
          <t>Not Reported</t>
        </is>
      </c>
      <c r="Y162" s="28" t="inlineStr">
        <is>
          <t>Not Reported</t>
        </is>
      </c>
      <c r="Z162" s="28" t="inlineStr">
        <is>
          <t>Not Reported</t>
        </is>
      </c>
      <c r="AA162" s="28" t="inlineStr">
        <is>
          <t>Not Reported</t>
        </is>
      </c>
      <c r="AB162" s="97" t="inlineStr">
        <is>
          <t>Not Reported</t>
        </is>
      </c>
      <c r="AC162" s="90" t="inlineStr">
        <is>
          <t>Not Reported</t>
        </is>
      </c>
      <c r="AD162" s="136" t="inlineStr">
        <is>
          <t>Not Reported</t>
        </is>
      </c>
      <c r="AE162" s="97" t="inlineStr">
        <is>
          <t>Not Reported</t>
        </is>
      </c>
      <c r="AF162" s="95" t="inlineStr">
        <is>
          <t>Not Reported</t>
        </is>
      </c>
      <c r="AG162" s="149" t="inlineStr">
        <is>
          <t>Not Reported</t>
        </is>
      </c>
      <c r="AH162" s="285" t="n">
        <v>0</v>
      </c>
      <c r="AI162" s="285" t="inlineStr">
        <is>
          <t>Not Reported</t>
        </is>
      </c>
      <c r="AJ162" s="95" t="inlineStr">
        <is>
          <t>Not Reported</t>
        </is>
      </c>
      <c r="AK162" s="97" t="inlineStr">
        <is>
          <t>Not Reported</t>
        </is>
      </c>
    </row>
    <row r="163">
      <c r="A163" s="204" t="inlineStr">
        <is>
          <t>Hyundai</t>
        </is>
      </c>
      <c r="B163" s="205" t="inlineStr">
        <is>
          <t>West 2</t>
        </is>
      </c>
      <c r="C163" s="279" t="inlineStr">
        <is>
          <t>Shweta</t>
        </is>
      </c>
      <c r="D163" s="206" t="inlineStr">
        <is>
          <t>Debashreeta</t>
        </is>
      </c>
      <c r="E163" s="206" t="inlineStr">
        <is>
          <t>Category (B)</t>
        </is>
      </c>
      <c r="F163" s="204" t="inlineStr">
        <is>
          <t>Internal KPI</t>
        </is>
      </c>
      <c r="G163" s="204" t="inlineStr">
        <is>
          <t>No</t>
        </is>
      </c>
      <c r="H163" s="206" t="inlineStr">
        <is>
          <t>First Time Right Ratio</t>
        </is>
      </c>
      <c r="I163" s="207" t="n">
        <v>0.7</v>
      </c>
      <c r="J163" s="214" t="n">
        <v>0.6641414141414141</v>
      </c>
      <c r="K163" s="202" t="inlineStr">
        <is>
          <t>Not Met</t>
        </is>
      </c>
      <c r="L163" s="200" t="n">
        <v>0.5796178343949044</v>
      </c>
      <c r="M163" s="202" t="inlineStr">
        <is>
          <t>Not Met</t>
        </is>
      </c>
      <c r="N163" s="215" t="n">
        <v>0.5860655737704918</v>
      </c>
      <c r="O163" s="202" t="inlineStr">
        <is>
          <t>Not Met</t>
        </is>
      </c>
      <c r="P163" s="215" t="n">
        <v>0.6471794871794871</v>
      </c>
      <c r="Q163" s="202" t="inlineStr">
        <is>
          <t>Not Met</t>
        </is>
      </c>
      <c r="R163" s="215" t="n">
        <v>0.5771604938271605</v>
      </c>
      <c r="S163" s="202" t="inlineStr">
        <is>
          <t>Not Met</t>
        </is>
      </c>
      <c r="T163" s="216" t="n">
        <v>0.7148014440433214</v>
      </c>
      <c r="U163" s="202" t="inlineStr">
        <is>
          <t>Met</t>
        </is>
      </c>
      <c r="V163" s="217" t="n">
        <v>0.73</v>
      </c>
      <c r="W163" s="202" t="inlineStr">
        <is>
          <t>Met</t>
        </is>
      </c>
      <c r="X163" s="202" t="inlineStr">
        <is>
          <t>Not Reported</t>
        </is>
      </c>
      <c r="Y163" s="202" t="inlineStr">
        <is>
          <t>Not Reported</t>
        </is>
      </c>
      <c r="Z163" s="216" t="n">
        <v>0.78</v>
      </c>
      <c r="AA163" s="202" t="inlineStr">
        <is>
          <t>Met</t>
        </is>
      </c>
      <c r="AB163" s="163" t="inlineStr">
        <is>
          <t>Not Reported</t>
        </is>
      </c>
      <c r="AC163" s="199" t="inlineStr">
        <is>
          <t>Not Reported</t>
        </is>
      </c>
      <c r="AD163" s="218" t="n">
        <v>0.77</v>
      </c>
      <c r="AE163" s="202" t="inlineStr">
        <is>
          <t>Met</t>
        </is>
      </c>
      <c r="AF163" s="265" t="inlineStr">
        <is>
          <t>Not Reported</t>
        </is>
      </c>
      <c r="AG163" s="149" t="inlineStr">
        <is>
          <t>Not Reported</t>
        </is>
      </c>
      <c r="AH163" s="285" t="n">
        <v>0</v>
      </c>
      <c r="AI163" s="285" t="inlineStr">
        <is>
          <t>Not Reported</t>
        </is>
      </c>
      <c r="AJ163" s="265" t="inlineStr">
        <is>
          <t>Not Reported</t>
        </is>
      </c>
      <c r="AK163" s="97" t="inlineStr">
        <is>
          <t>Not Reported</t>
        </is>
      </c>
    </row>
    <row r="164">
      <c r="A164" s="21" t="inlineStr">
        <is>
          <t>Hyundai</t>
        </is>
      </c>
      <c r="B164" s="5" t="inlineStr">
        <is>
          <t>West 2</t>
        </is>
      </c>
      <c r="C164" s="76" t="inlineStr">
        <is>
          <t>Shweta</t>
        </is>
      </c>
      <c r="D164" s="26" t="inlineStr">
        <is>
          <t>Debashreeta</t>
        </is>
      </c>
      <c r="E164" s="26" t="inlineStr">
        <is>
          <t>Category (B)</t>
        </is>
      </c>
      <c r="F164" s="21" t="inlineStr">
        <is>
          <t>Internal KPI</t>
        </is>
      </c>
      <c r="G164" s="21" t="inlineStr">
        <is>
          <t>No</t>
        </is>
      </c>
      <c r="H164" s="26" t="inlineStr">
        <is>
          <t>Hit Ratio</t>
        </is>
      </c>
      <c r="I164" s="11" t="n">
        <v>0.2</v>
      </c>
      <c r="J164" s="64" t="n">
        <v>0.06338694418164617</v>
      </c>
      <c r="K164" s="28" t="inlineStr">
        <is>
          <t>Not Met</t>
        </is>
      </c>
      <c r="L164" s="20" t="n">
        <v>0.05095541401273886</v>
      </c>
      <c r="M164" s="28" t="inlineStr">
        <is>
          <t>Not Met</t>
        </is>
      </c>
      <c r="N164" s="52" t="n">
        <v>0.1844262295081967</v>
      </c>
      <c r="O164" s="28" t="inlineStr">
        <is>
          <t>Not Met</t>
        </is>
      </c>
      <c r="P164" s="52" t="n">
        <v>0.1586489252814739</v>
      </c>
      <c r="Q164" s="28" t="inlineStr">
        <is>
          <t>Not Met</t>
        </is>
      </c>
      <c r="R164" s="52" t="n">
        <v>0.1018518518518518</v>
      </c>
      <c r="S164" s="28" t="inlineStr">
        <is>
          <t>Not Met</t>
        </is>
      </c>
      <c r="T164" s="45" t="n">
        <v>0.07220216606498195</v>
      </c>
      <c r="U164" s="28" t="inlineStr">
        <is>
          <t>Not Met</t>
        </is>
      </c>
      <c r="V164" s="29" t="n">
        <v>0.15</v>
      </c>
      <c r="W164" s="28" t="inlineStr">
        <is>
          <t>Not Met</t>
        </is>
      </c>
      <c r="X164" s="28" t="inlineStr">
        <is>
          <t>Not Reported</t>
        </is>
      </c>
      <c r="Y164" s="28" t="inlineStr">
        <is>
          <t>Not Reported</t>
        </is>
      </c>
      <c r="Z164" s="65" t="n">
        <v>0.1136363636363636</v>
      </c>
      <c r="AA164" s="28" t="inlineStr">
        <is>
          <t>Not Met</t>
        </is>
      </c>
      <c r="AB164" s="97" t="inlineStr">
        <is>
          <t>Not Reported</t>
        </is>
      </c>
      <c r="AC164" s="90" t="inlineStr">
        <is>
          <t>Not Reported</t>
        </is>
      </c>
      <c r="AD164" s="137" t="n">
        <v>0.15</v>
      </c>
      <c r="AE164" s="28" t="inlineStr">
        <is>
          <t>Not Met</t>
        </is>
      </c>
      <c r="AF164" s="265" t="inlineStr">
        <is>
          <t>Not Reported</t>
        </is>
      </c>
      <c r="AG164" s="149" t="inlineStr">
        <is>
          <t>Not Reported</t>
        </is>
      </c>
      <c r="AH164" s="285" t="n">
        <v>0</v>
      </c>
      <c r="AI164" s="285" t="inlineStr">
        <is>
          <t>Not Reported</t>
        </is>
      </c>
      <c r="AJ164" s="265" t="inlineStr">
        <is>
          <t>Not Reported</t>
        </is>
      </c>
      <c r="AK164" s="97" t="inlineStr">
        <is>
          <t>Not Reported</t>
        </is>
      </c>
    </row>
    <row r="165">
      <c r="A165" s="164" t="inlineStr">
        <is>
          <t>Hyundai</t>
        </is>
      </c>
      <c r="B165" s="165" t="inlineStr">
        <is>
          <t>West 2</t>
        </is>
      </c>
      <c r="C165" s="278" t="inlineStr">
        <is>
          <t>Shweta</t>
        </is>
      </c>
      <c r="D165" s="166" t="inlineStr">
        <is>
          <t>Debashreeta</t>
        </is>
      </c>
      <c r="E165" s="166" t="inlineStr">
        <is>
          <t>Category (B)</t>
        </is>
      </c>
      <c r="F165" s="164" t="inlineStr">
        <is>
          <t>Internal KPI</t>
        </is>
      </c>
      <c r="G165" s="164" t="inlineStr">
        <is>
          <t>No</t>
        </is>
      </c>
      <c r="H165" s="166" t="inlineStr">
        <is>
          <t>Offer Drop</t>
        </is>
      </c>
      <c r="I165" s="174" t="inlineStr">
        <is>
          <t>&lt;10%</t>
        </is>
      </c>
      <c r="J165" s="179" t="n">
        <v>0.1829268292682927</v>
      </c>
      <c r="K165" s="170" t="inlineStr">
        <is>
          <t>Not Met</t>
        </is>
      </c>
      <c r="L165" s="191" t="n">
        <v>0.4651162790697674</v>
      </c>
      <c r="M165" s="170" t="inlineStr">
        <is>
          <t>Not Met</t>
        </is>
      </c>
      <c r="N165" s="176" t="n">
        <v>0.6071428571428571</v>
      </c>
      <c r="O165" s="170" t="inlineStr">
        <is>
          <t>Not Met</t>
        </is>
      </c>
      <c r="P165" s="176" t="n">
        <v>0.3561643835616438</v>
      </c>
      <c r="Q165" s="170" t="inlineStr">
        <is>
          <t>Not Met</t>
        </is>
      </c>
      <c r="R165" s="175" t="n">
        <v>0.1568627450980392</v>
      </c>
      <c r="S165" s="170" t="inlineStr">
        <is>
          <t>Not Met</t>
        </is>
      </c>
      <c r="T165" s="175" t="n">
        <v>0.2272727272727273</v>
      </c>
      <c r="U165" s="170" t="inlineStr">
        <is>
          <t>Not Met</t>
        </is>
      </c>
      <c r="V165" s="169" t="n">
        <v>0.14</v>
      </c>
      <c r="W165" s="170" t="inlineStr">
        <is>
          <t>Not Met</t>
        </is>
      </c>
      <c r="X165" s="170" t="inlineStr">
        <is>
          <t>Not Reported</t>
        </is>
      </c>
      <c r="Y165" s="170" t="inlineStr">
        <is>
          <t>Not Reported</t>
        </is>
      </c>
      <c r="Z165" s="175" t="n">
        <v>0.3333333333333333</v>
      </c>
      <c r="AA165" s="170" t="inlineStr">
        <is>
          <t>Not Met</t>
        </is>
      </c>
      <c r="AB165" s="156" t="inlineStr">
        <is>
          <t>Not Reported</t>
        </is>
      </c>
      <c r="AC165" s="178" t="inlineStr">
        <is>
          <t>Not Reported</t>
        </is>
      </c>
      <c r="AD165" s="180" t="n">
        <v>0.38</v>
      </c>
      <c r="AE165" s="170" t="inlineStr">
        <is>
          <t>Not Met</t>
        </is>
      </c>
      <c r="AF165" s="265" t="inlineStr">
        <is>
          <t>Not Reported</t>
        </is>
      </c>
      <c r="AG165" s="149" t="inlineStr">
        <is>
          <t>Not Reported</t>
        </is>
      </c>
      <c r="AH165" s="285" t="n">
        <v>0</v>
      </c>
      <c r="AI165" s="285" t="inlineStr">
        <is>
          <t>Not Reported</t>
        </is>
      </c>
      <c r="AJ165" s="265" t="inlineStr">
        <is>
          <t>Not Reported</t>
        </is>
      </c>
      <c r="AK165" s="97" t="inlineStr">
        <is>
          <t>Not Reported</t>
        </is>
      </c>
    </row>
    <row r="166">
      <c r="A166" s="21" t="inlineStr">
        <is>
          <t>Hyundai</t>
        </is>
      </c>
      <c r="B166" s="5" t="inlineStr">
        <is>
          <t>West 2</t>
        </is>
      </c>
      <c r="C166" s="76" t="inlineStr">
        <is>
          <t>Shweta</t>
        </is>
      </c>
      <c r="D166" s="26" t="inlineStr">
        <is>
          <t>Debashreeta</t>
        </is>
      </c>
      <c r="E166" s="26" t="inlineStr">
        <is>
          <t>Category (B)</t>
        </is>
      </c>
      <c r="F166" s="21" t="inlineStr">
        <is>
          <t>Internal KPI</t>
        </is>
      </c>
      <c r="G166" s="21" t="inlineStr">
        <is>
          <t>No</t>
        </is>
      </c>
      <c r="H166" s="26" t="inlineStr">
        <is>
          <t xml:space="preserve">Fulfilment </t>
        </is>
      </c>
      <c r="I166" s="11" t="inlineStr">
        <is>
          <t>20 per month</t>
        </is>
      </c>
      <c r="J166" s="17" t="inlineStr">
        <is>
          <t>NA</t>
        </is>
      </c>
      <c r="K166" s="17" t="inlineStr">
        <is>
          <t>NA</t>
        </is>
      </c>
      <c r="L166" s="14" t="inlineStr">
        <is>
          <t>Not reported</t>
        </is>
      </c>
      <c r="M166" s="28" t="inlineStr">
        <is>
          <t>Not Reported</t>
        </is>
      </c>
      <c r="N166" s="28" t="inlineStr">
        <is>
          <t>Not Reported</t>
        </is>
      </c>
      <c r="O166" s="28" t="inlineStr">
        <is>
          <t>Not Reported</t>
        </is>
      </c>
      <c r="P166" s="28" t="inlineStr">
        <is>
          <t>Not reported</t>
        </is>
      </c>
      <c r="Q166" s="28" t="inlineStr">
        <is>
          <t>Not Reported</t>
        </is>
      </c>
      <c r="R166" s="28" t="inlineStr">
        <is>
          <t>Not Reported</t>
        </is>
      </c>
      <c r="S166" s="28" t="inlineStr">
        <is>
          <t xml:space="preserve">Not Reported </t>
        </is>
      </c>
      <c r="T166" s="28" t="inlineStr">
        <is>
          <t>Not Reported</t>
        </is>
      </c>
      <c r="U166" s="28" t="inlineStr">
        <is>
          <t>Not Reported</t>
        </is>
      </c>
      <c r="V166" s="28" t="inlineStr">
        <is>
          <t>Not Reported</t>
        </is>
      </c>
      <c r="W166" s="28" t="inlineStr">
        <is>
          <t>Not Reported</t>
        </is>
      </c>
      <c r="X166" s="28" t="inlineStr">
        <is>
          <t>Not Reported</t>
        </is>
      </c>
      <c r="Y166" s="28" t="inlineStr">
        <is>
          <t>Not Reported</t>
        </is>
      </c>
      <c r="Z166" s="28" t="inlineStr">
        <is>
          <t>Not Reported</t>
        </is>
      </c>
      <c r="AA166" s="28" t="inlineStr">
        <is>
          <t>Not Reported</t>
        </is>
      </c>
      <c r="AB166" s="97" t="inlineStr">
        <is>
          <t>Not Reported</t>
        </is>
      </c>
      <c r="AC166" s="90" t="inlineStr">
        <is>
          <t>Not Reported</t>
        </is>
      </c>
      <c r="AD166" s="97" t="inlineStr">
        <is>
          <t>Not Reported</t>
        </is>
      </c>
      <c r="AE166" s="97" t="inlineStr">
        <is>
          <t>Not Reported</t>
        </is>
      </c>
      <c r="AF166" s="265" t="inlineStr">
        <is>
          <t>Not Reported</t>
        </is>
      </c>
      <c r="AG166" s="149" t="inlineStr">
        <is>
          <t>Not Reported</t>
        </is>
      </c>
      <c r="AH166" s="285" t="n">
        <v>0</v>
      </c>
      <c r="AI166" s="285" t="inlineStr">
        <is>
          <t>Not Reported</t>
        </is>
      </c>
      <c r="AJ166" s="265" t="inlineStr">
        <is>
          <t>Not Reported</t>
        </is>
      </c>
      <c r="AK166" s="97" t="inlineStr">
        <is>
          <t>Not Reported</t>
        </is>
      </c>
    </row>
    <row r="167">
      <c r="A167" s="84" t="inlineStr">
        <is>
          <t>Hyundai</t>
        </is>
      </c>
      <c r="B167" s="219" t="inlineStr">
        <is>
          <t>West 2</t>
        </is>
      </c>
      <c r="C167" s="280" t="inlineStr">
        <is>
          <t>Shweta</t>
        </is>
      </c>
      <c r="D167" s="220" t="inlineStr">
        <is>
          <t>Debashreeta</t>
        </is>
      </c>
      <c r="E167" s="220" t="inlineStr">
        <is>
          <t>Category (B)</t>
        </is>
      </c>
      <c r="F167" s="84" t="inlineStr">
        <is>
          <t>Internal KPI</t>
        </is>
      </c>
      <c r="G167" s="84" t="inlineStr">
        <is>
          <t>No</t>
        </is>
      </c>
      <c r="H167" s="220" t="inlineStr">
        <is>
          <t>Diversity</t>
        </is>
      </c>
      <c r="I167" s="221" t="n">
        <v>0.2</v>
      </c>
      <c r="J167" s="222" t="n">
        <v>0.0851063829787234</v>
      </c>
      <c r="K167" s="223" t="inlineStr">
        <is>
          <t>Not Met</t>
        </is>
      </c>
      <c r="L167" s="224" t="n">
        <v>0.1666666666666667</v>
      </c>
      <c r="M167" s="223" t="inlineStr">
        <is>
          <t>Not Met</t>
        </is>
      </c>
      <c r="N167" s="225" t="n">
        <v>0.08</v>
      </c>
      <c r="O167" s="223" t="inlineStr">
        <is>
          <t>Not Met</t>
        </is>
      </c>
      <c r="P167" s="225" t="n">
        <v>0.1125827814569536</v>
      </c>
      <c r="Q167" s="223" t="inlineStr">
        <is>
          <t>Not Met</t>
        </is>
      </c>
      <c r="R167" s="226" t="n">
        <v>0.02</v>
      </c>
      <c r="S167" s="223" t="inlineStr">
        <is>
          <t>Not Met</t>
        </is>
      </c>
      <c r="T167" s="227" t="n">
        <v>0.0625</v>
      </c>
      <c r="U167" s="223" t="inlineStr">
        <is>
          <t>Not Met</t>
        </is>
      </c>
      <c r="V167" s="226" t="n">
        <v>0.06</v>
      </c>
      <c r="W167" s="223" t="inlineStr">
        <is>
          <t>Not Met</t>
        </is>
      </c>
      <c r="X167" s="223" t="inlineStr">
        <is>
          <t>Not Reported</t>
        </is>
      </c>
      <c r="Y167" s="223" t="inlineStr">
        <is>
          <t>Not Reported</t>
        </is>
      </c>
      <c r="Z167" s="226" t="n">
        <v>0</v>
      </c>
      <c r="AA167" s="223" t="inlineStr">
        <is>
          <t>Not Met</t>
        </is>
      </c>
      <c r="AB167" s="228" t="inlineStr">
        <is>
          <t>Not Reported</t>
        </is>
      </c>
      <c r="AC167" s="229" t="inlineStr">
        <is>
          <t>Not Reported</t>
        </is>
      </c>
      <c r="AD167" s="230" t="n">
        <v>0</v>
      </c>
      <c r="AE167" s="223" t="inlineStr">
        <is>
          <t>Not Met</t>
        </is>
      </c>
      <c r="AF167" s="265" t="inlineStr">
        <is>
          <t>Not Reported</t>
        </is>
      </c>
      <c r="AG167" s="149" t="inlineStr">
        <is>
          <t>Not Reported</t>
        </is>
      </c>
      <c r="AH167" s="285" t="n">
        <v>0</v>
      </c>
      <c r="AI167" s="285" t="inlineStr">
        <is>
          <t>Not Reported</t>
        </is>
      </c>
      <c r="AJ167" s="265" t="inlineStr">
        <is>
          <t>Not Reported</t>
        </is>
      </c>
      <c r="AK167" s="97" t="inlineStr">
        <is>
          <t>Not Reported</t>
        </is>
      </c>
    </row>
    <row r="168">
      <c r="A168" s="21" t="inlineStr">
        <is>
          <t>Ingram Micro</t>
        </is>
      </c>
      <c r="B168" s="5" t="inlineStr">
        <is>
          <t>West 1</t>
        </is>
      </c>
      <c r="C168" s="76" t="inlineStr">
        <is>
          <t>Usha</t>
        </is>
      </c>
      <c r="D168" s="26" t="inlineStr">
        <is>
          <t>Himanshu Srivastava</t>
        </is>
      </c>
      <c r="E168" s="26" t="inlineStr">
        <is>
          <t>Category (B)</t>
        </is>
      </c>
      <c r="F168" s="26" t="inlineStr">
        <is>
          <t>Contractual SLA</t>
        </is>
      </c>
      <c r="G168" s="21" t="inlineStr">
        <is>
          <t>No</t>
        </is>
      </c>
      <c r="H168" s="21" t="inlineStr">
        <is>
          <t xml:space="preserve">Requisition to Joining  </t>
        </is>
      </c>
      <c r="I168" s="11" t="inlineStr">
        <is>
          <t>60 Days from offer acceptance</t>
        </is>
      </c>
      <c r="J168" s="28" t="n">
        <v>5</v>
      </c>
      <c r="K168" s="28" t="inlineStr">
        <is>
          <t>Met</t>
        </is>
      </c>
      <c r="L168" s="17" t="inlineStr">
        <is>
          <t>33 Days</t>
        </is>
      </c>
      <c r="M168" s="28" t="inlineStr">
        <is>
          <t>Met</t>
        </is>
      </c>
      <c r="N168" s="28" t="n">
        <v>16</v>
      </c>
      <c r="O168" s="28" t="inlineStr">
        <is>
          <t>Met</t>
        </is>
      </c>
      <c r="P168" s="14" t="n">
        <v>17</v>
      </c>
      <c r="Q168" s="28" t="inlineStr">
        <is>
          <t>Met</t>
        </is>
      </c>
      <c r="R168" s="17" t="n">
        <v>24</v>
      </c>
      <c r="S168" s="28" t="inlineStr">
        <is>
          <t>Met</t>
        </is>
      </c>
      <c r="T168" s="17" t="n">
        <v>58</v>
      </c>
      <c r="U168" s="28" t="inlineStr">
        <is>
          <t>Met</t>
        </is>
      </c>
      <c r="V168" s="17" t="n">
        <v>47</v>
      </c>
      <c r="W168" s="28" t="inlineStr">
        <is>
          <t>Met</t>
        </is>
      </c>
      <c r="X168" s="17" t="n">
        <v>41</v>
      </c>
      <c r="Y168" s="28" t="inlineStr">
        <is>
          <t>Met</t>
        </is>
      </c>
      <c r="Z168" s="28" t="inlineStr">
        <is>
          <t>Not Reported</t>
        </is>
      </c>
      <c r="AA168" s="28" t="inlineStr">
        <is>
          <t>Not Reported</t>
        </is>
      </c>
      <c r="AB168" s="95" t="inlineStr">
        <is>
          <t>NA</t>
        </is>
      </c>
      <c r="AC168" s="20" t="inlineStr">
        <is>
          <t>NA</t>
        </is>
      </c>
      <c r="AD168" s="126" t="inlineStr">
        <is>
          <t>Not Reported</t>
        </is>
      </c>
      <c r="AE168" s="126" t="inlineStr">
        <is>
          <t>Not Reported</t>
        </is>
      </c>
      <c r="AF168" s="265" t="inlineStr">
        <is>
          <t>Not Reported</t>
        </is>
      </c>
      <c r="AG168" s="149" t="inlineStr">
        <is>
          <t>Not Reported</t>
        </is>
      </c>
      <c r="AH168" s="285" t="n">
        <v>0</v>
      </c>
      <c r="AI168" s="285" t="inlineStr">
        <is>
          <t>Not Reported</t>
        </is>
      </c>
      <c r="AJ168" s="266" t="n">
        <v>33</v>
      </c>
      <c r="AK168" s="202" t="inlineStr">
        <is>
          <t>Met</t>
        </is>
      </c>
    </row>
    <row r="169">
      <c r="A169" s="21" t="inlineStr">
        <is>
          <t>Ingram Micro</t>
        </is>
      </c>
      <c r="B169" s="5" t="inlineStr">
        <is>
          <t>West 1</t>
        </is>
      </c>
      <c r="C169" s="76" t="inlineStr">
        <is>
          <t>Usha</t>
        </is>
      </c>
      <c r="D169" s="26" t="inlineStr">
        <is>
          <t>Himanshu Srivastava</t>
        </is>
      </c>
      <c r="E169" s="26" t="inlineStr">
        <is>
          <t>Category (B)</t>
        </is>
      </c>
      <c r="F169" s="26" t="inlineStr">
        <is>
          <t>Contractual SLA</t>
        </is>
      </c>
      <c r="G169" s="21" t="inlineStr">
        <is>
          <t>No</t>
        </is>
      </c>
      <c r="H169" s="21" t="inlineStr">
        <is>
          <t>Fulfilment ratio (Requisition to Joining)</t>
        </is>
      </c>
      <c r="I169" s="11" t="n">
        <v>0.85</v>
      </c>
      <c r="J169" s="29" t="n">
        <v>1</v>
      </c>
      <c r="K169" s="28" t="inlineStr">
        <is>
          <t>Met</t>
        </is>
      </c>
      <c r="L169" s="29" t="n">
        <v>1</v>
      </c>
      <c r="M169" s="28" t="inlineStr">
        <is>
          <t>Met</t>
        </is>
      </c>
      <c r="N169" s="18" t="n">
        <v>1</v>
      </c>
      <c r="O169" s="28" t="inlineStr">
        <is>
          <t>Met</t>
        </is>
      </c>
      <c r="P169" s="18" t="n">
        <v>1</v>
      </c>
      <c r="Q169" s="28" t="inlineStr">
        <is>
          <t>Met</t>
        </is>
      </c>
      <c r="R169" s="18" t="n">
        <v>1</v>
      </c>
      <c r="S169" s="28" t="inlineStr">
        <is>
          <t>Met</t>
        </is>
      </c>
      <c r="T169" s="18" t="n">
        <v>1</v>
      </c>
      <c r="U169" s="28" t="inlineStr">
        <is>
          <t>Met</t>
        </is>
      </c>
      <c r="V169" s="18" t="n">
        <v>1</v>
      </c>
      <c r="W169" s="28" t="inlineStr">
        <is>
          <t>Met</t>
        </is>
      </c>
      <c r="X169" s="18" t="n">
        <v>1</v>
      </c>
      <c r="Y169" s="28" t="inlineStr">
        <is>
          <t>Met</t>
        </is>
      </c>
      <c r="Z169" s="28" t="inlineStr">
        <is>
          <t>Not Reported</t>
        </is>
      </c>
      <c r="AA169" s="28" t="inlineStr">
        <is>
          <t>Not Reported</t>
        </is>
      </c>
      <c r="AB169" s="95" t="inlineStr">
        <is>
          <t>NA</t>
        </is>
      </c>
      <c r="AC169" s="20" t="inlineStr">
        <is>
          <t>NA</t>
        </is>
      </c>
      <c r="AD169" s="126" t="inlineStr">
        <is>
          <t>Not Reported</t>
        </is>
      </c>
      <c r="AE169" s="126" t="inlineStr">
        <is>
          <t>Not Reported</t>
        </is>
      </c>
      <c r="AF169" s="265" t="inlineStr">
        <is>
          <t>Not Reported</t>
        </is>
      </c>
      <c r="AG169" s="149" t="inlineStr">
        <is>
          <t>Not Reported</t>
        </is>
      </c>
      <c r="AH169" s="285" t="n">
        <v>0</v>
      </c>
      <c r="AI169" s="285" t="inlineStr">
        <is>
          <t>Not Reported</t>
        </is>
      </c>
      <c r="AJ169" s="267" t="n">
        <v>1</v>
      </c>
      <c r="AK169" s="202" t="inlineStr">
        <is>
          <t>Met</t>
        </is>
      </c>
    </row>
    <row r="170">
      <c r="A170" s="21" t="inlineStr">
        <is>
          <t>Ingram Micro</t>
        </is>
      </c>
      <c r="B170" s="5" t="inlineStr">
        <is>
          <t>West 1</t>
        </is>
      </c>
      <c r="C170" s="76" t="inlineStr">
        <is>
          <t>Usha</t>
        </is>
      </c>
      <c r="D170" s="26" t="inlineStr">
        <is>
          <t>Himanshu Srivastava</t>
        </is>
      </c>
      <c r="E170" s="26" t="inlineStr">
        <is>
          <t>Category (B)</t>
        </is>
      </c>
      <c r="F170" s="26" t="inlineStr">
        <is>
          <t>Contractual SLA</t>
        </is>
      </c>
      <c r="G170" s="21" t="inlineStr">
        <is>
          <t>No</t>
        </is>
      </c>
      <c r="H170" s="21" t="inlineStr">
        <is>
          <t xml:space="preserve">Compensation framework adherence </t>
        </is>
      </c>
      <c r="I170" s="11" t="n">
        <v>0.9</v>
      </c>
      <c r="J170" s="29" t="n">
        <v>1</v>
      </c>
      <c r="K170" s="28" t="inlineStr">
        <is>
          <t>Met</t>
        </is>
      </c>
      <c r="L170" s="29" t="n">
        <v>1</v>
      </c>
      <c r="M170" s="28" t="inlineStr">
        <is>
          <t>Met</t>
        </is>
      </c>
      <c r="N170" s="18" t="n">
        <v>1</v>
      </c>
      <c r="O170" s="28" t="inlineStr">
        <is>
          <t>Met</t>
        </is>
      </c>
      <c r="P170" s="18" t="n">
        <v>1</v>
      </c>
      <c r="Q170" s="28" t="inlineStr">
        <is>
          <t>Met</t>
        </is>
      </c>
      <c r="R170" s="18" t="n">
        <v>1</v>
      </c>
      <c r="S170" s="28" t="inlineStr">
        <is>
          <t>Met</t>
        </is>
      </c>
      <c r="T170" s="18" t="n">
        <v>1</v>
      </c>
      <c r="U170" s="28" t="inlineStr">
        <is>
          <t>Met</t>
        </is>
      </c>
      <c r="V170" s="18" t="n">
        <v>1</v>
      </c>
      <c r="W170" s="28" t="inlineStr">
        <is>
          <t>Met</t>
        </is>
      </c>
      <c r="X170" s="18" t="n">
        <v>1</v>
      </c>
      <c r="Y170" s="28" t="inlineStr">
        <is>
          <t>Met</t>
        </is>
      </c>
      <c r="Z170" s="28" t="inlineStr">
        <is>
          <t>Not Reported</t>
        </is>
      </c>
      <c r="AA170" s="28" t="inlineStr">
        <is>
          <t>Not Reported</t>
        </is>
      </c>
      <c r="AB170" s="95" t="inlineStr">
        <is>
          <t>NA</t>
        </is>
      </c>
      <c r="AC170" s="20" t="inlineStr">
        <is>
          <t>NA</t>
        </is>
      </c>
      <c r="AD170" s="126" t="inlineStr">
        <is>
          <t>Not Reported</t>
        </is>
      </c>
      <c r="AE170" s="126" t="inlineStr">
        <is>
          <t>Not Reported</t>
        </is>
      </c>
      <c r="AF170" s="265" t="inlineStr">
        <is>
          <t>Not Reported</t>
        </is>
      </c>
      <c r="AG170" s="149" t="inlineStr">
        <is>
          <t>Not Reported</t>
        </is>
      </c>
      <c r="AH170" s="285" t="n">
        <v>0</v>
      </c>
      <c r="AI170" s="285" t="inlineStr">
        <is>
          <t>Not Reported</t>
        </is>
      </c>
      <c r="AJ170" s="267" t="n">
        <v>1</v>
      </c>
      <c r="AK170" s="202" t="inlineStr">
        <is>
          <t>Met</t>
        </is>
      </c>
    </row>
    <row r="171">
      <c r="A171" s="21" t="inlineStr">
        <is>
          <t>Ingram Micro</t>
        </is>
      </c>
      <c r="B171" s="5" t="inlineStr">
        <is>
          <t>West 1</t>
        </is>
      </c>
      <c r="C171" s="76" t="inlineStr">
        <is>
          <t>Usha</t>
        </is>
      </c>
      <c r="D171" s="26" t="inlineStr">
        <is>
          <t>Himanshu Srivastava</t>
        </is>
      </c>
      <c r="E171" s="26" t="inlineStr">
        <is>
          <t>Category (B)</t>
        </is>
      </c>
      <c r="F171" s="26" t="inlineStr">
        <is>
          <t>Contractual SLA</t>
        </is>
      </c>
      <c r="G171" s="21" t="inlineStr">
        <is>
          <t>No</t>
        </is>
      </c>
      <c r="H171" s="21" t="inlineStr">
        <is>
          <t>First time right ratio ( FTR )</t>
        </is>
      </c>
      <c r="I171" s="11" t="n">
        <v>0.8</v>
      </c>
      <c r="J171" s="29" t="n">
        <v>0.66</v>
      </c>
      <c r="K171" s="28" t="inlineStr">
        <is>
          <t>Not Met</t>
        </is>
      </c>
      <c r="L171" s="29" t="n">
        <v>0.75</v>
      </c>
      <c r="M171" s="28" t="inlineStr">
        <is>
          <t>Not Met</t>
        </is>
      </c>
      <c r="N171" s="20" t="n">
        <v>0.7441860465116279</v>
      </c>
      <c r="O171" s="28" t="inlineStr">
        <is>
          <t>Not Met</t>
        </is>
      </c>
      <c r="P171" s="20" t="n">
        <v>0.7178423236514523</v>
      </c>
      <c r="Q171" s="28" t="inlineStr">
        <is>
          <t>Not Met</t>
        </is>
      </c>
      <c r="R171" s="45" t="n">
        <v>0.75</v>
      </c>
      <c r="S171" s="28" t="inlineStr">
        <is>
          <t>Not Met</t>
        </is>
      </c>
      <c r="T171" s="45" t="n">
        <v>0.8275862068965517</v>
      </c>
      <c r="U171" s="28" t="inlineStr">
        <is>
          <t>Met</t>
        </is>
      </c>
      <c r="V171" s="45" t="n">
        <v>0.875</v>
      </c>
      <c r="W171" s="28" t="inlineStr">
        <is>
          <t>Met</t>
        </is>
      </c>
      <c r="X171" s="45" t="n">
        <v>0.821917808219178</v>
      </c>
      <c r="Y171" s="28" t="inlineStr">
        <is>
          <t>Met</t>
        </is>
      </c>
      <c r="Z171" s="28" t="inlineStr">
        <is>
          <t>Not Reported</t>
        </is>
      </c>
      <c r="AA171" s="28" t="inlineStr">
        <is>
          <t>Not Reported</t>
        </is>
      </c>
      <c r="AB171" s="95" t="inlineStr">
        <is>
          <t>NA</t>
        </is>
      </c>
      <c r="AC171" s="20" t="inlineStr">
        <is>
          <t>NA</t>
        </is>
      </c>
      <c r="AD171" s="126" t="inlineStr">
        <is>
          <t>Not Reported</t>
        </is>
      </c>
      <c r="AE171" s="126" t="inlineStr">
        <is>
          <t>Not Reported</t>
        </is>
      </c>
      <c r="AF171" s="95" t="inlineStr">
        <is>
          <t>Not Reported</t>
        </is>
      </c>
      <c r="AG171" s="149" t="inlineStr">
        <is>
          <t>Not Reported</t>
        </is>
      </c>
      <c r="AH171" s="285" t="n">
        <v>0</v>
      </c>
      <c r="AI171" s="285" t="inlineStr">
        <is>
          <t>Not Reported</t>
        </is>
      </c>
      <c r="AJ171" s="268">
        <f>233/314</f>
        <v/>
      </c>
      <c r="AK171" s="28" t="inlineStr">
        <is>
          <t>Not Met</t>
        </is>
      </c>
    </row>
    <row r="172">
      <c r="A172" s="21" t="inlineStr">
        <is>
          <t>Ingram Micro</t>
        </is>
      </c>
      <c r="B172" s="5" t="inlineStr">
        <is>
          <t>West 1</t>
        </is>
      </c>
      <c r="C172" s="76" t="inlineStr">
        <is>
          <t>Usha</t>
        </is>
      </c>
      <c r="D172" s="26" t="inlineStr">
        <is>
          <t>Himanshu Srivastava</t>
        </is>
      </c>
      <c r="E172" s="26" t="inlineStr">
        <is>
          <t>Category (B)</t>
        </is>
      </c>
      <c r="F172" s="21" t="inlineStr">
        <is>
          <t>Internal KPI</t>
        </is>
      </c>
      <c r="G172" s="21" t="inlineStr">
        <is>
          <t>No</t>
        </is>
      </c>
      <c r="H172" s="27" t="inlineStr">
        <is>
          <t>Time to Hire</t>
        </is>
      </c>
      <c r="I172" s="11" t="inlineStr">
        <is>
          <t>120 Days</t>
        </is>
      </c>
      <c r="J172" s="28" t="n">
        <v>28</v>
      </c>
      <c r="K172" s="28" t="inlineStr">
        <is>
          <t>Met</t>
        </is>
      </c>
      <c r="L172" s="28" t="n">
        <v>49</v>
      </c>
      <c r="M172" s="28" t="inlineStr">
        <is>
          <t>Met</t>
        </is>
      </c>
      <c r="N172" s="17" t="n">
        <v>57</v>
      </c>
      <c r="O172" s="28" t="inlineStr">
        <is>
          <t>Met</t>
        </is>
      </c>
      <c r="P172" s="17" t="n">
        <v>49</v>
      </c>
      <c r="Q172" s="28" t="inlineStr">
        <is>
          <t>Met</t>
        </is>
      </c>
      <c r="R172" s="17" t="n">
        <v>42</v>
      </c>
      <c r="S172" s="28" t="inlineStr">
        <is>
          <t>Met</t>
        </is>
      </c>
      <c r="T172" s="17" t="n">
        <v>67</v>
      </c>
      <c r="U172" s="28" t="inlineStr">
        <is>
          <t>Met</t>
        </is>
      </c>
      <c r="V172" s="17" t="n">
        <v>68</v>
      </c>
      <c r="W172" s="28" t="inlineStr">
        <is>
          <t>Met</t>
        </is>
      </c>
      <c r="X172" s="17" t="n">
        <v>58</v>
      </c>
      <c r="Y172" s="28" t="inlineStr">
        <is>
          <t>Met</t>
        </is>
      </c>
      <c r="Z172" s="28" t="inlineStr">
        <is>
          <t>Not Reported</t>
        </is>
      </c>
      <c r="AA172" s="28" t="inlineStr">
        <is>
          <t>Not Reported</t>
        </is>
      </c>
      <c r="AB172" s="95" t="inlineStr">
        <is>
          <t>NA</t>
        </is>
      </c>
      <c r="AC172" s="20" t="inlineStr">
        <is>
          <t>NA</t>
        </is>
      </c>
      <c r="AD172" s="126" t="inlineStr">
        <is>
          <t>Not Reported</t>
        </is>
      </c>
      <c r="AE172" s="97" t="inlineStr">
        <is>
          <t>Not Reported</t>
        </is>
      </c>
      <c r="AF172" s="95" t="inlineStr">
        <is>
          <t>Not Reported</t>
        </is>
      </c>
      <c r="AG172" s="149" t="inlineStr">
        <is>
          <t>Not Reported</t>
        </is>
      </c>
      <c r="AH172" s="285" t="n">
        <v>0</v>
      </c>
      <c r="AI172" s="285" t="inlineStr">
        <is>
          <t>Not Reported</t>
        </is>
      </c>
      <c r="AJ172" s="80" t="n">
        <v>55</v>
      </c>
      <c r="AK172" s="202" t="inlineStr">
        <is>
          <t>Met</t>
        </is>
      </c>
    </row>
    <row r="173">
      <c r="A173" s="21" t="inlineStr">
        <is>
          <t>Ingram Micro</t>
        </is>
      </c>
      <c r="B173" s="5" t="inlineStr">
        <is>
          <t>West 1</t>
        </is>
      </c>
      <c r="C173" s="76" t="inlineStr">
        <is>
          <t>Usha</t>
        </is>
      </c>
      <c r="D173" s="26" t="inlineStr">
        <is>
          <t>Himanshu Srivastava</t>
        </is>
      </c>
      <c r="E173" s="26" t="inlineStr">
        <is>
          <t>Category (B)</t>
        </is>
      </c>
      <c r="F173" s="21" t="inlineStr">
        <is>
          <t>Internal KPI</t>
        </is>
      </c>
      <c r="G173" s="21" t="inlineStr">
        <is>
          <t>No</t>
        </is>
      </c>
      <c r="H173" s="27" t="inlineStr">
        <is>
          <t>Hit Ratio</t>
        </is>
      </c>
      <c r="I173" s="11" t="n">
        <v>0.8</v>
      </c>
      <c r="J173" s="20" t="inlineStr">
        <is>
          <t>Not Reported</t>
        </is>
      </c>
      <c r="K173" s="20" t="inlineStr">
        <is>
          <t>Not Reported</t>
        </is>
      </c>
      <c r="L173" s="20" t="n">
        <v>0.08</v>
      </c>
      <c r="M173" s="28" t="inlineStr">
        <is>
          <t>Not Met</t>
        </is>
      </c>
      <c r="N173" s="18" t="n">
        <v>0.2558139534883721</v>
      </c>
      <c r="O173" s="28" t="inlineStr">
        <is>
          <t>Not Met</t>
        </is>
      </c>
      <c r="P173" s="18" t="n">
        <v>0.1161825726141079</v>
      </c>
      <c r="Q173" s="28" t="inlineStr">
        <is>
          <t>Not Met</t>
        </is>
      </c>
      <c r="R173" s="18" t="n">
        <v>0.1</v>
      </c>
      <c r="S173" s="28" t="inlineStr">
        <is>
          <t>Not Met</t>
        </is>
      </c>
      <c r="T173" s="18" t="n">
        <v>0.06896551724137931</v>
      </c>
      <c r="U173" s="28" t="inlineStr">
        <is>
          <t>Not Met</t>
        </is>
      </c>
      <c r="V173" s="18" t="n">
        <v>0.08333333333333333</v>
      </c>
      <c r="W173" s="28" t="inlineStr">
        <is>
          <t>Not Met</t>
        </is>
      </c>
      <c r="X173" s="18" t="n">
        <v>0.0958904109589041</v>
      </c>
      <c r="Y173" s="28" t="inlineStr">
        <is>
          <t>Not Met</t>
        </is>
      </c>
      <c r="Z173" s="28" t="inlineStr">
        <is>
          <t>Not Reported</t>
        </is>
      </c>
      <c r="AA173" s="28" t="inlineStr">
        <is>
          <t>Not Reported</t>
        </is>
      </c>
      <c r="AB173" s="95" t="inlineStr">
        <is>
          <t>NA</t>
        </is>
      </c>
      <c r="AC173" s="20" t="inlineStr">
        <is>
          <t>NA</t>
        </is>
      </c>
      <c r="AD173" s="126" t="inlineStr">
        <is>
          <t>Not Reported</t>
        </is>
      </c>
      <c r="AE173" s="126" t="inlineStr">
        <is>
          <t>Not Reported</t>
        </is>
      </c>
      <c r="AF173" s="95" t="inlineStr">
        <is>
          <t>Not Reported</t>
        </is>
      </c>
      <c r="AG173" s="149" t="inlineStr">
        <is>
          <t>Not Reported</t>
        </is>
      </c>
      <c r="AH173" s="285" t="n">
        <v>0</v>
      </c>
      <c r="AI173" s="285" t="inlineStr">
        <is>
          <t>Not Reported</t>
        </is>
      </c>
      <c r="AJ173" s="81">
        <f>34/314</f>
        <v/>
      </c>
      <c r="AK173" s="28" t="inlineStr">
        <is>
          <t>Not Met</t>
        </is>
      </c>
    </row>
    <row r="174">
      <c r="A174" s="21" t="inlineStr">
        <is>
          <t>Ingram Micro</t>
        </is>
      </c>
      <c r="B174" s="5" t="inlineStr">
        <is>
          <t>West 1</t>
        </is>
      </c>
      <c r="C174" s="76" t="inlineStr">
        <is>
          <t>Usha</t>
        </is>
      </c>
      <c r="D174" s="26" t="inlineStr">
        <is>
          <t>Himanshu Srivastava</t>
        </is>
      </c>
      <c r="E174" s="26" t="inlineStr">
        <is>
          <t>Category (B)</t>
        </is>
      </c>
      <c r="F174" s="21" t="inlineStr">
        <is>
          <t>Internal KPI</t>
        </is>
      </c>
      <c r="G174" s="21" t="inlineStr">
        <is>
          <t>No</t>
        </is>
      </c>
      <c r="H174" s="21" t="inlineStr">
        <is>
          <t>Offer Drop</t>
        </is>
      </c>
      <c r="I174" s="11" t="n">
        <v>0.5</v>
      </c>
      <c r="J174" s="29" t="n">
        <v>0</v>
      </c>
      <c r="K174" s="28" t="inlineStr">
        <is>
          <t>Met</t>
        </is>
      </c>
      <c r="L174" s="29" t="n">
        <v>0</v>
      </c>
      <c r="M174" s="28" t="inlineStr">
        <is>
          <t>Met</t>
        </is>
      </c>
      <c r="N174" s="18" t="n">
        <v>0</v>
      </c>
      <c r="O174" s="28" t="inlineStr">
        <is>
          <t>Met</t>
        </is>
      </c>
      <c r="P174" s="18" t="n">
        <v>0.0625</v>
      </c>
      <c r="Q174" s="28" t="inlineStr">
        <is>
          <t>Met</t>
        </is>
      </c>
      <c r="R174" s="18" t="n">
        <v>0</v>
      </c>
      <c r="S174" s="28" t="inlineStr">
        <is>
          <t>Met</t>
        </is>
      </c>
      <c r="T174" s="18" t="n">
        <v>0</v>
      </c>
      <c r="U174" s="28" t="inlineStr">
        <is>
          <t>Met</t>
        </is>
      </c>
      <c r="V174" s="18" t="n">
        <v>0</v>
      </c>
      <c r="W174" s="28" t="inlineStr">
        <is>
          <t>Met</t>
        </is>
      </c>
      <c r="X174" s="18" t="n">
        <v>0.1666666666666667</v>
      </c>
      <c r="Y174" s="28" t="inlineStr">
        <is>
          <t>Met</t>
        </is>
      </c>
      <c r="Z174" s="28" t="inlineStr">
        <is>
          <t>Not Reported</t>
        </is>
      </c>
      <c r="AA174" s="28" t="inlineStr">
        <is>
          <t>Not Reported</t>
        </is>
      </c>
      <c r="AB174" s="95" t="inlineStr">
        <is>
          <t>NA</t>
        </is>
      </c>
      <c r="AC174" s="20" t="inlineStr">
        <is>
          <t>NA</t>
        </is>
      </c>
      <c r="AD174" s="126" t="inlineStr">
        <is>
          <t>Not Reported</t>
        </is>
      </c>
      <c r="AE174" s="126" t="inlineStr">
        <is>
          <t>Not Reported</t>
        </is>
      </c>
      <c r="AF174" s="95" t="inlineStr">
        <is>
          <t>Not Reported</t>
        </is>
      </c>
      <c r="AG174" s="149" t="inlineStr">
        <is>
          <t>Not Reported</t>
        </is>
      </c>
      <c r="AH174" s="285" t="n">
        <v>0</v>
      </c>
      <c r="AI174" s="285" t="inlineStr">
        <is>
          <t>Not Reported</t>
        </is>
      </c>
      <c r="AJ174" s="81">
        <f>6/23</f>
        <v/>
      </c>
      <c r="AK174" s="202" t="inlineStr">
        <is>
          <t>Met</t>
        </is>
      </c>
    </row>
    <row r="175">
      <c r="A175" s="21" t="inlineStr">
        <is>
          <t>Ingram Micro</t>
        </is>
      </c>
      <c r="B175" s="5" t="inlineStr">
        <is>
          <t>West 1</t>
        </is>
      </c>
      <c r="C175" s="76" t="inlineStr">
        <is>
          <t>Usha</t>
        </is>
      </c>
      <c r="D175" s="26" t="inlineStr">
        <is>
          <t>Himanshu Srivastava</t>
        </is>
      </c>
      <c r="E175" s="26" t="inlineStr">
        <is>
          <t>Category (B)</t>
        </is>
      </c>
      <c r="F175" s="21" t="inlineStr">
        <is>
          <t>Internal KPI</t>
        </is>
      </c>
      <c r="G175" s="21" t="inlineStr">
        <is>
          <t>No</t>
        </is>
      </c>
      <c r="H175" s="21" t="inlineStr">
        <is>
          <t>Ageing</t>
        </is>
      </c>
      <c r="I175" s="20" t="inlineStr">
        <is>
          <t>&lt;=20%</t>
        </is>
      </c>
      <c r="J175" s="29" t="n">
        <v>0.08</v>
      </c>
      <c r="K175" s="28" t="inlineStr">
        <is>
          <t>Met</t>
        </is>
      </c>
      <c r="L175" s="29" t="n">
        <v>0.13</v>
      </c>
      <c r="M175" s="28" t="inlineStr">
        <is>
          <t>Met</t>
        </is>
      </c>
      <c r="N175" s="20" t="n">
        <v>0</v>
      </c>
      <c r="O175" s="28" t="inlineStr">
        <is>
          <t>Met</t>
        </is>
      </c>
      <c r="P175" s="20" t="n">
        <v>0</v>
      </c>
      <c r="Q175" s="28" t="inlineStr">
        <is>
          <t>Met</t>
        </is>
      </c>
      <c r="R175" s="20" t="n">
        <v>0.25</v>
      </c>
      <c r="S175" s="28" t="inlineStr">
        <is>
          <t>Not Met</t>
        </is>
      </c>
      <c r="T175" s="20" t="n">
        <v>0.25</v>
      </c>
      <c r="U175" s="28" t="inlineStr">
        <is>
          <t>Not Met</t>
        </is>
      </c>
      <c r="V175" s="20" t="n">
        <v>0</v>
      </c>
      <c r="W175" s="28" t="inlineStr">
        <is>
          <t>Met</t>
        </is>
      </c>
      <c r="X175" s="20" t="n">
        <v>0</v>
      </c>
      <c r="Y175" s="28" t="inlineStr">
        <is>
          <t>Met</t>
        </is>
      </c>
      <c r="Z175" s="28" t="inlineStr">
        <is>
          <t>Not Reported</t>
        </is>
      </c>
      <c r="AA175" s="28" t="inlineStr">
        <is>
          <t>Not Reported</t>
        </is>
      </c>
      <c r="AB175" s="95" t="inlineStr">
        <is>
          <t>NA</t>
        </is>
      </c>
      <c r="AC175" s="20" t="inlineStr">
        <is>
          <t>NA</t>
        </is>
      </c>
      <c r="AD175" s="126" t="inlineStr">
        <is>
          <t>Not Reported</t>
        </is>
      </c>
      <c r="AE175" s="127" t="inlineStr">
        <is>
          <t>Not Reported</t>
        </is>
      </c>
      <c r="AF175" s="95" t="inlineStr">
        <is>
          <t>Not Reported</t>
        </is>
      </c>
      <c r="AG175" s="149" t="inlineStr">
        <is>
          <t>Not Reported</t>
        </is>
      </c>
      <c r="AH175" s="285" t="n">
        <v>0</v>
      </c>
      <c r="AI175" s="285" t="inlineStr">
        <is>
          <t>Not Reported</t>
        </is>
      </c>
      <c r="AJ175" s="20">
        <f>0/2</f>
        <v/>
      </c>
      <c r="AK175" s="202" t="inlineStr">
        <is>
          <t>Met</t>
        </is>
      </c>
    </row>
    <row r="176">
      <c r="A176" s="21" t="inlineStr">
        <is>
          <t>ISUZU (UD Trucks)</t>
        </is>
      </c>
      <c r="B176" s="5" t="inlineStr">
        <is>
          <t xml:space="preserve">South 1 </t>
        </is>
      </c>
      <c r="C176" s="5" t="inlineStr">
        <is>
          <t>TBH</t>
        </is>
      </c>
      <c r="D176" s="26" t="inlineStr">
        <is>
          <t>Debashreeta</t>
        </is>
      </c>
      <c r="E176" s="26" t="inlineStr">
        <is>
          <t>Category (B)</t>
        </is>
      </c>
      <c r="F176" s="26" t="inlineStr">
        <is>
          <t>Contractual SLA</t>
        </is>
      </c>
      <c r="G176" s="21" t="inlineStr">
        <is>
          <t>Yes</t>
        </is>
      </c>
      <c r="H176" s="21" t="inlineStr">
        <is>
          <t>Fulfilment Ratio</t>
        </is>
      </c>
      <c r="I176" s="11" t="n">
        <v>0.9</v>
      </c>
      <c r="J176" s="28" t="inlineStr">
        <is>
          <t>Not Reported</t>
        </is>
      </c>
      <c r="K176" s="28" t="inlineStr">
        <is>
          <t>Not Reported</t>
        </is>
      </c>
      <c r="L176" s="28" t="inlineStr">
        <is>
          <t>Not Reported</t>
        </is>
      </c>
      <c r="M176" s="28" t="inlineStr">
        <is>
          <t>Not Reported</t>
        </is>
      </c>
      <c r="N176" s="28" t="inlineStr">
        <is>
          <t>Not Reported</t>
        </is>
      </c>
      <c r="O176" s="28" t="inlineStr">
        <is>
          <t>Not Reported</t>
        </is>
      </c>
      <c r="P176" s="28" t="inlineStr">
        <is>
          <t>Not Reported</t>
        </is>
      </c>
      <c r="Q176" s="28" t="inlineStr">
        <is>
          <t>Not Reported</t>
        </is>
      </c>
      <c r="R176" s="28" t="inlineStr">
        <is>
          <t>Not Reported</t>
        </is>
      </c>
      <c r="S176" s="28" t="inlineStr">
        <is>
          <t xml:space="preserve">Not Reported </t>
        </is>
      </c>
      <c r="T176" s="28" t="inlineStr">
        <is>
          <t>Not Reported</t>
        </is>
      </c>
      <c r="U176" s="28" t="inlineStr">
        <is>
          <t>Not Reported</t>
        </is>
      </c>
      <c r="V176" s="28" t="inlineStr">
        <is>
          <t>Not Reported</t>
        </is>
      </c>
      <c r="W176" s="28" t="inlineStr">
        <is>
          <t>Not Reported</t>
        </is>
      </c>
      <c r="X176" s="28" t="inlineStr">
        <is>
          <t>Not Reported</t>
        </is>
      </c>
      <c r="Y176" s="28" t="inlineStr">
        <is>
          <t>Not Reported</t>
        </is>
      </c>
      <c r="Z176" s="28" t="inlineStr">
        <is>
          <t>Not Reported</t>
        </is>
      </c>
      <c r="AA176" s="28" t="inlineStr">
        <is>
          <t>Not Reported</t>
        </is>
      </c>
      <c r="AB176" s="94" t="inlineStr">
        <is>
          <t>Not Reported</t>
        </is>
      </c>
      <c r="AC176" s="90" t="inlineStr">
        <is>
          <t>Not Reported</t>
        </is>
      </c>
      <c r="AD176" s="126" t="inlineStr">
        <is>
          <t>Not Reported</t>
        </is>
      </c>
      <c r="AE176" s="126" t="inlineStr">
        <is>
          <t>Not Reported</t>
        </is>
      </c>
      <c r="AF176" s="102" t="n">
        <v>0.63</v>
      </c>
      <c r="AG176" s="28" t="inlineStr">
        <is>
          <t>Not Met</t>
        </is>
      </c>
      <c r="AH176" s="285" t="n">
        <v>0</v>
      </c>
      <c r="AI176" s="285" t="inlineStr">
        <is>
          <t>Not Reported</t>
        </is>
      </c>
      <c r="AJ176" s="102" t="n">
        <v>0.99</v>
      </c>
      <c r="AK176" s="202" t="inlineStr">
        <is>
          <t>Met</t>
        </is>
      </c>
    </row>
    <row r="177">
      <c r="A177" s="21" t="inlineStr">
        <is>
          <t>ISUZU (UD Trucks)</t>
        </is>
      </c>
      <c r="B177" s="5" t="inlineStr">
        <is>
          <t xml:space="preserve">South 1 </t>
        </is>
      </c>
      <c r="C177" s="5" t="inlineStr">
        <is>
          <t>TBH</t>
        </is>
      </c>
      <c r="D177" s="26" t="inlineStr">
        <is>
          <t>Debashreeta</t>
        </is>
      </c>
      <c r="E177" s="26" t="inlineStr">
        <is>
          <t>Category (B)</t>
        </is>
      </c>
      <c r="F177" s="26" t="inlineStr">
        <is>
          <t>Contractual SLA</t>
        </is>
      </c>
      <c r="G177" s="21" t="inlineStr">
        <is>
          <t>Yes</t>
        </is>
      </c>
      <c r="H177" s="21" t="inlineStr">
        <is>
          <t>Time to Fill(%)</t>
        </is>
      </c>
      <c r="I177" s="11" t="n">
        <v>0.9</v>
      </c>
      <c r="J177" s="28" t="inlineStr">
        <is>
          <t>Not Reported</t>
        </is>
      </c>
      <c r="K177" s="28" t="inlineStr">
        <is>
          <t>Not Reported</t>
        </is>
      </c>
      <c r="L177" s="28" t="inlineStr">
        <is>
          <t>Not Reported</t>
        </is>
      </c>
      <c r="M177" s="28" t="inlineStr">
        <is>
          <t>Not Reported</t>
        </is>
      </c>
      <c r="N177" s="28" t="inlineStr">
        <is>
          <t>Not Reported</t>
        </is>
      </c>
      <c r="O177" s="28" t="inlineStr">
        <is>
          <t>Not Reported</t>
        </is>
      </c>
      <c r="P177" s="28" t="inlineStr">
        <is>
          <t>Not Reported</t>
        </is>
      </c>
      <c r="Q177" s="28" t="inlineStr">
        <is>
          <t>Not Reported</t>
        </is>
      </c>
      <c r="R177" s="28" t="inlineStr">
        <is>
          <t>Not Reported</t>
        </is>
      </c>
      <c r="S177" s="28" t="inlineStr">
        <is>
          <t xml:space="preserve">Not Reported </t>
        </is>
      </c>
      <c r="T177" s="28" t="inlineStr">
        <is>
          <t>Not Reported</t>
        </is>
      </c>
      <c r="U177" s="28" t="inlineStr">
        <is>
          <t>Not Reported</t>
        </is>
      </c>
      <c r="V177" s="28" t="inlineStr">
        <is>
          <t>Not Reported</t>
        </is>
      </c>
      <c r="W177" s="28" t="inlineStr">
        <is>
          <t>Not Reported</t>
        </is>
      </c>
      <c r="X177" s="28" t="inlineStr">
        <is>
          <t>Not Reported</t>
        </is>
      </c>
      <c r="Y177" s="28" t="inlineStr">
        <is>
          <t>Not Reported</t>
        </is>
      </c>
      <c r="Z177" s="28" t="inlineStr">
        <is>
          <t>Not Reported</t>
        </is>
      </c>
      <c r="AA177" s="28" t="inlineStr">
        <is>
          <t>Not Reported</t>
        </is>
      </c>
      <c r="AB177" s="94" t="inlineStr">
        <is>
          <t>Not Reported</t>
        </is>
      </c>
      <c r="AC177" s="90" t="inlineStr">
        <is>
          <t>Not Reported</t>
        </is>
      </c>
      <c r="AD177" s="126" t="inlineStr">
        <is>
          <t>Not Reported</t>
        </is>
      </c>
      <c r="AE177" s="126" t="inlineStr">
        <is>
          <t>Not Reported</t>
        </is>
      </c>
      <c r="AF177" s="102" t="n">
        <v>0.6</v>
      </c>
      <c r="AG177" s="28" t="inlineStr">
        <is>
          <t>Not Met</t>
        </is>
      </c>
      <c r="AH177" s="285" t="n">
        <v>0</v>
      </c>
      <c r="AI177" s="285" t="inlineStr">
        <is>
          <t>Not Reported</t>
        </is>
      </c>
      <c r="AJ177" s="102" t="n">
        <v>0.66</v>
      </c>
      <c r="AK177" s="28" t="inlineStr">
        <is>
          <t>Not Met</t>
        </is>
      </c>
    </row>
    <row r="178">
      <c r="A178" s="21" t="inlineStr">
        <is>
          <t>ISUZU (UD Trucks)</t>
        </is>
      </c>
      <c r="B178" s="5" t="inlineStr">
        <is>
          <t xml:space="preserve">South 1 </t>
        </is>
      </c>
      <c r="C178" s="5" t="inlineStr">
        <is>
          <t>TBH</t>
        </is>
      </c>
      <c r="D178" s="26" t="inlineStr">
        <is>
          <t>Debashreeta</t>
        </is>
      </c>
      <c r="E178" s="26" t="inlineStr">
        <is>
          <t>Category (B)</t>
        </is>
      </c>
      <c r="F178" s="21" t="inlineStr">
        <is>
          <t>Internal KPI</t>
        </is>
      </c>
      <c r="G178" s="21" t="inlineStr">
        <is>
          <t>No</t>
        </is>
      </c>
      <c r="H178" s="27" t="inlineStr">
        <is>
          <t>Time to Hire</t>
        </is>
      </c>
      <c r="I178" s="11" t="inlineStr">
        <is>
          <t xml:space="preserve">135 Days </t>
        </is>
      </c>
      <c r="J178" s="28" t="inlineStr">
        <is>
          <t>Not Reported</t>
        </is>
      </c>
      <c r="K178" s="28" t="inlineStr">
        <is>
          <t>Not Reported</t>
        </is>
      </c>
      <c r="L178" s="28" t="inlineStr">
        <is>
          <t>Not Reported</t>
        </is>
      </c>
      <c r="M178" s="28" t="inlineStr">
        <is>
          <t>Not Reported</t>
        </is>
      </c>
      <c r="N178" s="28" t="inlineStr">
        <is>
          <t>Not Reported</t>
        </is>
      </c>
      <c r="O178" s="28" t="inlineStr">
        <is>
          <t>Not Reported</t>
        </is>
      </c>
      <c r="P178" s="28" t="inlineStr">
        <is>
          <t>Not Reported</t>
        </is>
      </c>
      <c r="Q178" s="28" t="inlineStr">
        <is>
          <t>Not Reported</t>
        </is>
      </c>
      <c r="R178" s="28" t="inlineStr">
        <is>
          <t>Not Reported</t>
        </is>
      </c>
      <c r="S178" s="28" t="inlineStr">
        <is>
          <t xml:space="preserve">Not Reported </t>
        </is>
      </c>
      <c r="T178" s="28" t="inlineStr">
        <is>
          <t>Not Reported</t>
        </is>
      </c>
      <c r="U178" s="28" t="inlineStr">
        <is>
          <t>Not Reported</t>
        </is>
      </c>
      <c r="V178" s="28" t="inlineStr">
        <is>
          <t>Not Reported</t>
        </is>
      </c>
      <c r="W178" s="28" t="inlineStr">
        <is>
          <t>Not Reported</t>
        </is>
      </c>
      <c r="X178" s="28" t="inlineStr">
        <is>
          <t>Not Reported</t>
        </is>
      </c>
      <c r="Y178" s="28" t="inlineStr">
        <is>
          <t>Not Reported</t>
        </is>
      </c>
      <c r="Z178" s="28" t="inlineStr">
        <is>
          <t>Not Reported</t>
        </is>
      </c>
      <c r="AA178" s="28" t="inlineStr">
        <is>
          <t>Not Reported</t>
        </is>
      </c>
      <c r="AB178" s="94" t="inlineStr">
        <is>
          <t>Not Reported</t>
        </is>
      </c>
      <c r="AC178" s="90" t="inlineStr">
        <is>
          <t>Not Reported</t>
        </is>
      </c>
      <c r="AD178" s="126" t="inlineStr">
        <is>
          <t>Not Reported</t>
        </is>
      </c>
      <c r="AE178" s="97" t="inlineStr">
        <is>
          <t>Not Reported</t>
        </is>
      </c>
      <c r="AF178" s="95" t="n">
        <v>75</v>
      </c>
      <c r="AG178" s="202" t="inlineStr">
        <is>
          <t>Met</t>
        </is>
      </c>
      <c r="AH178" s="285" t="n">
        <v>0</v>
      </c>
      <c r="AI178" s="285" t="inlineStr">
        <is>
          <t>Not Reported</t>
        </is>
      </c>
      <c r="AJ178" s="95" t="n">
        <v>47</v>
      </c>
      <c r="AK178" s="202" t="inlineStr">
        <is>
          <t>Met</t>
        </is>
      </c>
    </row>
    <row r="179">
      <c r="A179" s="21" t="inlineStr">
        <is>
          <t>ISUZU (UD Trucks)</t>
        </is>
      </c>
      <c r="B179" s="5" t="inlineStr">
        <is>
          <t xml:space="preserve">South 1 </t>
        </is>
      </c>
      <c r="C179" s="5" t="inlineStr">
        <is>
          <t>TBH</t>
        </is>
      </c>
      <c r="D179" s="26" t="inlineStr">
        <is>
          <t>Debashreeta</t>
        </is>
      </c>
      <c r="E179" s="26" t="inlineStr">
        <is>
          <t>Category (B)</t>
        </is>
      </c>
      <c r="F179" s="21" t="inlineStr">
        <is>
          <t>Internal KPI</t>
        </is>
      </c>
      <c r="G179" s="21" t="inlineStr">
        <is>
          <t>No</t>
        </is>
      </c>
      <c r="H179" s="27" t="inlineStr">
        <is>
          <t>Time to Fill</t>
        </is>
      </c>
      <c r="I179" s="11" t="inlineStr">
        <is>
          <t xml:space="preserve">45 Days </t>
        </is>
      </c>
      <c r="J179" s="28" t="inlineStr">
        <is>
          <t>Not Reported</t>
        </is>
      </c>
      <c r="K179" s="28" t="inlineStr">
        <is>
          <t>Not Reported</t>
        </is>
      </c>
      <c r="L179" s="28" t="inlineStr">
        <is>
          <t>Not Reported</t>
        </is>
      </c>
      <c r="M179" s="28" t="inlineStr">
        <is>
          <t>Not Reported</t>
        </is>
      </c>
      <c r="N179" s="28" t="inlineStr">
        <is>
          <t>Not Reported</t>
        </is>
      </c>
      <c r="O179" s="28" t="inlineStr">
        <is>
          <t>Not Reported</t>
        </is>
      </c>
      <c r="P179" s="28" t="inlineStr">
        <is>
          <t>Not Reported</t>
        </is>
      </c>
      <c r="Q179" s="28" t="inlineStr">
        <is>
          <t>Not Reported</t>
        </is>
      </c>
      <c r="R179" s="28" t="inlineStr">
        <is>
          <t>Not Reported</t>
        </is>
      </c>
      <c r="S179" s="28" t="inlineStr">
        <is>
          <t xml:space="preserve">Not Reported </t>
        </is>
      </c>
      <c r="T179" s="28" t="inlineStr">
        <is>
          <t>Not Reported</t>
        </is>
      </c>
      <c r="U179" s="28" t="inlineStr">
        <is>
          <t>Not Reported</t>
        </is>
      </c>
      <c r="V179" s="28" t="inlineStr">
        <is>
          <t>Not Reported</t>
        </is>
      </c>
      <c r="W179" s="28" t="inlineStr">
        <is>
          <t>Not Reported</t>
        </is>
      </c>
      <c r="X179" s="28" t="inlineStr">
        <is>
          <t>Not Reported</t>
        </is>
      </c>
      <c r="Y179" s="28" t="inlineStr">
        <is>
          <t>Not Reported</t>
        </is>
      </c>
      <c r="Z179" s="28" t="inlineStr">
        <is>
          <t>Not Reported</t>
        </is>
      </c>
      <c r="AA179" s="28" t="inlineStr">
        <is>
          <t>Not Reported</t>
        </is>
      </c>
      <c r="AB179" s="94" t="inlineStr">
        <is>
          <t>Not Reported</t>
        </is>
      </c>
      <c r="AC179" s="90" t="inlineStr">
        <is>
          <t>Not Reported</t>
        </is>
      </c>
      <c r="AD179" s="126" t="inlineStr">
        <is>
          <t>Not Reported</t>
        </is>
      </c>
      <c r="AE179" s="97" t="inlineStr">
        <is>
          <t>Not Reported</t>
        </is>
      </c>
      <c r="AF179" s="95" t="n">
        <v>45</v>
      </c>
      <c r="AG179" s="202" t="inlineStr">
        <is>
          <t>Met</t>
        </is>
      </c>
      <c r="AH179" s="285" t="n">
        <v>0</v>
      </c>
      <c r="AI179" s="285" t="inlineStr">
        <is>
          <t>Not Reported</t>
        </is>
      </c>
      <c r="AJ179" s="95" t="n">
        <v>71</v>
      </c>
      <c r="AK179" s="28" t="inlineStr">
        <is>
          <t>Not Met</t>
        </is>
      </c>
    </row>
    <row r="180">
      <c r="A180" s="21" t="inlineStr">
        <is>
          <t>ISUZU (UD Trucks)</t>
        </is>
      </c>
      <c r="B180" s="5" t="inlineStr">
        <is>
          <t xml:space="preserve">South 1 </t>
        </is>
      </c>
      <c r="C180" s="5" t="inlineStr">
        <is>
          <t>TBH</t>
        </is>
      </c>
      <c r="D180" s="26" t="inlineStr">
        <is>
          <t>Debashreeta</t>
        </is>
      </c>
      <c r="E180" s="26" t="inlineStr">
        <is>
          <t>Category (B)</t>
        </is>
      </c>
      <c r="F180" s="21" t="inlineStr">
        <is>
          <t>Internal KPI</t>
        </is>
      </c>
      <c r="G180" s="21" t="inlineStr">
        <is>
          <t>No</t>
        </is>
      </c>
      <c r="H180" s="21" t="inlineStr">
        <is>
          <t>Ageing</t>
        </is>
      </c>
      <c r="I180" s="11" t="n">
        <v>0.4</v>
      </c>
      <c r="J180" s="28" t="inlineStr">
        <is>
          <t>Not Reported</t>
        </is>
      </c>
      <c r="K180" s="28" t="inlineStr">
        <is>
          <t>Not Reported</t>
        </is>
      </c>
      <c r="L180" s="28" t="inlineStr">
        <is>
          <t>Not Reported</t>
        </is>
      </c>
      <c r="M180" s="28" t="inlineStr">
        <is>
          <t>Not Reported</t>
        </is>
      </c>
      <c r="N180" s="28" t="inlineStr">
        <is>
          <t>Not Reported</t>
        </is>
      </c>
      <c r="O180" s="28" t="inlineStr">
        <is>
          <t>Not Reported</t>
        </is>
      </c>
      <c r="P180" s="28" t="inlineStr">
        <is>
          <t>Not Reported</t>
        </is>
      </c>
      <c r="Q180" s="28" t="inlineStr">
        <is>
          <t>Not Reported</t>
        </is>
      </c>
      <c r="R180" s="28" t="inlineStr">
        <is>
          <t>Not Reported</t>
        </is>
      </c>
      <c r="S180" s="28" t="inlineStr">
        <is>
          <t xml:space="preserve">Not Reported </t>
        </is>
      </c>
      <c r="T180" s="28" t="inlineStr">
        <is>
          <t>Not Reported</t>
        </is>
      </c>
      <c r="U180" s="28" t="inlineStr">
        <is>
          <t>Not Reported</t>
        </is>
      </c>
      <c r="V180" s="28" t="inlineStr">
        <is>
          <t>Not Reported</t>
        </is>
      </c>
      <c r="W180" s="28" t="inlineStr">
        <is>
          <t>Not Reported</t>
        </is>
      </c>
      <c r="X180" s="28" t="inlineStr">
        <is>
          <t>Not Reported</t>
        </is>
      </c>
      <c r="Y180" s="28" t="inlineStr">
        <is>
          <t>Not Reported</t>
        </is>
      </c>
      <c r="Z180" s="28" t="inlineStr">
        <is>
          <t>Not Reported</t>
        </is>
      </c>
      <c r="AA180" s="28" t="inlineStr">
        <is>
          <t>Not Reported</t>
        </is>
      </c>
      <c r="AB180" s="94" t="inlineStr">
        <is>
          <t>Not Reported</t>
        </is>
      </c>
      <c r="AC180" s="90" t="inlineStr">
        <is>
          <t>Not Reported</t>
        </is>
      </c>
      <c r="AD180" s="126" t="inlineStr">
        <is>
          <t>Not Reported</t>
        </is>
      </c>
      <c r="AE180" s="97" t="inlineStr">
        <is>
          <t>Not Reported</t>
        </is>
      </c>
      <c r="AF180" s="102" t="n">
        <v>0.32</v>
      </c>
      <c r="AG180" s="202" t="inlineStr">
        <is>
          <t>Met</t>
        </is>
      </c>
      <c r="AH180" s="285" t="n">
        <v>0</v>
      </c>
      <c r="AI180" s="285" t="inlineStr">
        <is>
          <t>Not Reported</t>
        </is>
      </c>
      <c r="AJ180" s="102" t="n">
        <v>0.36</v>
      </c>
      <c r="AK180" s="202" t="inlineStr">
        <is>
          <t>Met</t>
        </is>
      </c>
    </row>
    <row r="181">
      <c r="A181" s="21" t="inlineStr">
        <is>
          <t>ISUZU (UD Trucks)</t>
        </is>
      </c>
      <c r="B181" s="5" t="inlineStr">
        <is>
          <t xml:space="preserve">South 1 </t>
        </is>
      </c>
      <c r="C181" s="5" t="inlineStr">
        <is>
          <t>TBH</t>
        </is>
      </c>
      <c r="D181" s="26" t="inlineStr">
        <is>
          <t>Debashreeta</t>
        </is>
      </c>
      <c r="E181" s="26" t="inlineStr">
        <is>
          <t>Category (B)</t>
        </is>
      </c>
      <c r="F181" s="21" t="inlineStr">
        <is>
          <t>Internal KPI</t>
        </is>
      </c>
      <c r="G181" s="21" t="inlineStr">
        <is>
          <t>No</t>
        </is>
      </c>
      <c r="H181" s="27" t="inlineStr">
        <is>
          <t>First Time Right Ratio</t>
        </is>
      </c>
      <c r="I181" s="11" t="n">
        <v>0.2</v>
      </c>
      <c r="J181" s="28" t="inlineStr">
        <is>
          <t>Not Reported</t>
        </is>
      </c>
      <c r="K181" s="28" t="inlineStr">
        <is>
          <t>Not Reported</t>
        </is>
      </c>
      <c r="L181" s="28" t="inlineStr">
        <is>
          <t>Not Reported</t>
        </is>
      </c>
      <c r="M181" s="28" t="inlineStr">
        <is>
          <t>Not Reported</t>
        </is>
      </c>
      <c r="N181" s="28" t="inlineStr">
        <is>
          <t>Not Reported</t>
        </is>
      </c>
      <c r="O181" s="28" t="inlineStr">
        <is>
          <t>Not Reported</t>
        </is>
      </c>
      <c r="P181" s="28" t="inlineStr">
        <is>
          <t>Not Reported</t>
        </is>
      </c>
      <c r="Q181" s="28" t="inlineStr">
        <is>
          <t>Not Reported</t>
        </is>
      </c>
      <c r="R181" s="28" t="inlineStr">
        <is>
          <t>Not Reported</t>
        </is>
      </c>
      <c r="S181" s="28" t="inlineStr">
        <is>
          <t xml:space="preserve">Not Reported </t>
        </is>
      </c>
      <c r="T181" s="28" t="inlineStr">
        <is>
          <t>Not Reported</t>
        </is>
      </c>
      <c r="U181" s="28" t="inlineStr">
        <is>
          <t>Not Reported</t>
        </is>
      </c>
      <c r="V181" s="28" t="inlineStr">
        <is>
          <t>Not Reported</t>
        </is>
      </c>
      <c r="W181" s="28" t="inlineStr">
        <is>
          <t>Not Reported</t>
        </is>
      </c>
      <c r="X181" s="28" t="inlineStr">
        <is>
          <t>Not Reported</t>
        </is>
      </c>
      <c r="Y181" s="28" t="inlineStr">
        <is>
          <t>Not Reported</t>
        </is>
      </c>
      <c r="Z181" s="28" t="inlineStr">
        <is>
          <t>Not Reported</t>
        </is>
      </c>
      <c r="AA181" s="28" t="inlineStr">
        <is>
          <t>Not Reported</t>
        </is>
      </c>
      <c r="AB181" s="94" t="inlineStr">
        <is>
          <t>Not Reported</t>
        </is>
      </c>
      <c r="AC181" s="90" t="inlineStr">
        <is>
          <t>Not Reported</t>
        </is>
      </c>
      <c r="AD181" s="126" t="inlineStr">
        <is>
          <t>Not Reported</t>
        </is>
      </c>
      <c r="AE181" s="97" t="inlineStr">
        <is>
          <t>Not Reported</t>
        </is>
      </c>
      <c r="AF181" s="102" t="n">
        <v>0.41</v>
      </c>
      <c r="AG181" s="202" t="inlineStr">
        <is>
          <t>Met</t>
        </is>
      </c>
      <c r="AH181" s="285" t="n">
        <v>0</v>
      </c>
      <c r="AI181" s="285" t="inlineStr">
        <is>
          <t>Not Reported</t>
        </is>
      </c>
      <c r="AJ181" s="102" t="n">
        <v>0.46</v>
      </c>
      <c r="AK181" s="202" t="inlineStr">
        <is>
          <t>Met</t>
        </is>
      </c>
    </row>
    <row r="182">
      <c r="A182" s="21" t="inlineStr">
        <is>
          <t>ISUZU (UD Trucks)</t>
        </is>
      </c>
      <c r="B182" s="5" t="inlineStr">
        <is>
          <t xml:space="preserve">South 1 </t>
        </is>
      </c>
      <c r="C182" s="5" t="inlineStr">
        <is>
          <t>TBH</t>
        </is>
      </c>
      <c r="D182" s="26" t="inlineStr">
        <is>
          <t>Debashreeta</t>
        </is>
      </c>
      <c r="E182" s="26" t="inlineStr">
        <is>
          <t>Category (B)</t>
        </is>
      </c>
      <c r="F182" s="21" t="inlineStr">
        <is>
          <t>Internal KPI</t>
        </is>
      </c>
      <c r="G182" s="21" t="inlineStr">
        <is>
          <t>No</t>
        </is>
      </c>
      <c r="H182" s="27" t="inlineStr">
        <is>
          <t>Hit Ratio</t>
        </is>
      </c>
      <c r="I182" s="11" t="n">
        <v>0.2</v>
      </c>
      <c r="J182" s="28" t="inlineStr">
        <is>
          <t>Not Reported</t>
        </is>
      </c>
      <c r="K182" s="28" t="inlineStr">
        <is>
          <t>Not Reported</t>
        </is>
      </c>
      <c r="L182" s="28" t="inlineStr">
        <is>
          <t>Not Reported</t>
        </is>
      </c>
      <c r="M182" s="28" t="inlineStr">
        <is>
          <t>Not Reported</t>
        </is>
      </c>
      <c r="N182" s="28" t="inlineStr">
        <is>
          <t>Not Reported</t>
        </is>
      </c>
      <c r="O182" s="28" t="inlineStr">
        <is>
          <t>Not Reported</t>
        </is>
      </c>
      <c r="P182" s="28" t="inlineStr">
        <is>
          <t>Not Reported</t>
        </is>
      </c>
      <c r="Q182" s="28" t="inlineStr">
        <is>
          <t>Not Reported</t>
        </is>
      </c>
      <c r="R182" s="28" t="inlineStr">
        <is>
          <t>Not Reported</t>
        </is>
      </c>
      <c r="S182" s="28" t="inlineStr">
        <is>
          <t xml:space="preserve">Not Reported </t>
        </is>
      </c>
      <c r="T182" s="28" t="inlineStr">
        <is>
          <t>Not Reported</t>
        </is>
      </c>
      <c r="U182" s="28" t="inlineStr">
        <is>
          <t>Not Reported</t>
        </is>
      </c>
      <c r="V182" s="28" t="inlineStr">
        <is>
          <t>Not Reported</t>
        </is>
      </c>
      <c r="W182" s="28" t="inlineStr">
        <is>
          <t>Not Reported</t>
        </is>
      </c>
      <c r="X182" s="28" t="inlineStr">
        <is>
          <t>Not Reported</t>
        </is>
      </c>
      <c r="Y182" s="28" t="inlineStr">
        <is>
          <t>Not Reported</t>
        </is>
      </c>
      <c r="Z182" s="28" t="inlineStr">
        <is>
          <t>Not Reported</t>
        </is>
      </c>
      <c r="AA182" s="28" t="inlineStr">
        <is>
          <t>Not Reported</t>
        </is>
      </c>
      <c r="AB182" s="94" t="inlineStr">
        <is>
          <t>Not Reported</t>
        </is>
      </c>
      <c r="AC182" s="90" t="inlineStr">
        <is>
          <t>Not Reported</t>
        </is>
      </c>
      <c r="AD182" s="126" t="inlineStr">
        <is>
          <t>Not Reported</t>
        </is>
      </c>
      <c r="AE182" s="97" t="inlineStr">
        <is>
          <t>Not Reported</t>
        </is>
      </c>
      <c r="AF182" s="102" t="n">
        <v>0.11</v>
      </c>
      <c r="AG182" s="28" t="inlineStr">
        <is>
          <t>Not Met</t>
        </is>
      </c>
      <c r="AH182" s="285" t="n">
        <v>0</v>
      </c>
      <c r="AI182" s="285" t="inlineStr">
        <is>
          <t>Not Reported</t>
        </is>
      </c>
      <c r="AJ182" s="102" t="n">
        <v>0.09</v>
      </c>
      <c r="AK182" s="28" t="inlineStr">
        <is>
          <t>Not Met</t>
        </is>
      </c>
    </row>
    <row r="183">
      <c r="A183" s="21" t="inlineStr">
        <is>
          <t>ISUZU (UD Trucks)</t>
        </is>
      </c>
      <c r="B183" s="5" t="inlineStr">
        <is>
          <t xml:space="preserve">South 1 </t>
        </is>
      </c>
      <c r="C183" s="5" t="inlineStr">
        <is>
          <t>TBH</t>
        </is>
      </c>
      <c r="D183" s="26" t="inlineStr">
        <is>
          <t>Debashreeta</t>
        </is>
      </c>
      <c r="E183" s="26" t="inlineStr">
        <is>
          <t>Category (B)</t>
        </is>
      </c>
      <c r="F183" s="21" t="inlineStr">
        <is>
          <t>Internal KPI</t>
        </is>
      </c>
      <c r="G183" s="21" t="inlineStr">
        <is>
          <t>No</t>
        </is>
      </c>
      <c r="H183" s="21" t="inlineStr">
        <is>
          <t>Offer Drop</t>
        </is>
      </c>
      <c r="I183" s="11" t="n">
        <v>0.2</v>
      </c>
      <c r="J183" s="28" t="inlineStr">
        <is>
          <t>Not Reported</t>
        </is>
      </c>
      <c r="K183" s="28" t="inlineStr">
        <is>
          <t>Not Reported</t>
        </is>
      </c>
      <c r="L183" s="28" t="inlineStr">
        <is>
          <t>Not Reported</t>
        </is>
      </c>
      <c r="M183" s="28" t="inlineStr">
        <is>
          <t>Not Reported</t>
        </is>
      </c>
      <c r="N183" s="28" t="inlineStr">
        <is>
          <t>Not Reported</t>
        </is>
      </c>
      <c r="O183" s="28" t="inlineStr">
        <is>
          <t>Not Reported</t>
        </is>
      </c>
      <c r="P183" s="28" t="inlineStr">
        <is>
          <t>Not Reported</t>
        </is>
      </c>
      <c r="Q183" s="28" t="inlineStr">
        <is>
          <t>Not Reported</t>
        </is>
      </c>
      <c r="R183" s="28" t="inlineStr">
        <is>
          <t>Not Reported</t>
        </is>
      </c>
      <c r="S183" s="28" t="inlineStr">
        <is>
          <t xml:space="preserve">Not Reported </t>
        </is>
      </c>
      <c r="T183" s="28" t="inlineStr">
        <is>
          <t>Not Reported</t>
        </is>
      </c>
      <c r="U183" s="28" t="inlineStr">
        <is>
          <t>Not Reported</t>
        </is>
      </c>
      <c r="V183" s="28" t="inlineStr">
        <is>
          <t>Not Reported</t>
        </is>
      </c>
      <c r="W183" s="28" t="inlineStr">
        <is>
          <t>Not Reported</t>
        </is>
      </c>
      <c r="X183" s="28" t="inlineStr">
        <is>
          <t>Not Reported</t>
        </is>
      </c>
      <c r="Y183" s="28" t="inlineStr">
        <is>
          <t>Not Reported</t>
        </is>
      </c>
      <c r="Z183" s="28" t="inlineStr">
        <is>
          <t>Not Reported</t>
        </is>
      </c>
      <c r="AA183" s="28" t="inlineStr">
        <is>
          <t>Not Reported</t>
        </is>
      </c>
      <c r="AB183" s="94" t="inlineStr">
        <is>
          <t>Not Reported</t>
        </is>
      </c>
      <c r="AC183" s="90" t="inlineStr">
        <is>
          <t>Not Reported</t>
        </is>
      </c>
      <c r="AD183" s="126" t="inlineStr">
        <is>
          <t>Not Reported</t>
        </is>
      </c>
      <c r="AE183" s="97" t="inlineStr">
        <is>
          <t>Not Reported</t>
        </is>
      </c>
      <c r="AF183" s="102" t="n">
        <v>0.2</v>
      </c>
      <c r="AG183" s="202" t="inlineStr">
        <is>
          <t>Met</t>
        </is>
      </c>
      <c r="AH183" s="285" t="n">
        <v>0</v>
      </c>
      <c r="AI183" s="285" t="inlineStr">
        <is>
          <t>Not Reported</t>
        </is>
      </c>
      <c r="AJ183" s="102" t="n">
        <v>0.07000000000000001</v>
      </c>
      <c r="AK183" s="202" t="inlineStr">
        <is>
          <t>Met</t>
        </is>
      </c>
    </row>
    <row r="184">
      <c r="A184" s="204" t="inlineStr">
        <is>
          <t>Jindal</t>
        </is>
      </c>
      <c r="B184" s="205" t="inlineStr">
        <is>
          <t>North</t>
        </is>
      </c>
      <c r="C184" s="277" t="inlineStr">
        <is>
          <t>Archana Trikha</t>
        </is>
      </c>
      <c r="D184" s="206" t="inlineStr">
        <is>
          <t>Rishab</t>
        </is>
      </c>
      <c r="E184" s="206" t="inlineStr">
        <is>
          <t>Category (A)</t>
        </is>
      </c>
      <c r="F184" s="204" t="inlineStr">
        <is>
          <t>Internal KPI</t>
        </is>
      </c>
      <c r="G184" s="204" t="inlineStr">
        <is>
          <t>No</t>
        </is>
      </c>
      <c r="H184" s="210" t="inlineStr">
        <is>
          <t>Time to Hire</t>
        </is>
      </c>
      <c r="I184" s="211" t="inlineStr">
        <is>
          <t>60 Days</t>
        </is>
      </c>
      <c r="J184" s="202" t="inlineStr">
        <is>
          <t xml:space="preserve">55 Days </t>
        </is>
      </c>
      <c r="K184" s="202" t="inlineStr">
        <is>
          <t>Met</t>
        </is>
      </c>
      <c r="L184" s="202" t="inlineStr">
        <is>
          <t xml:space="preserve">55 Days </t>
        </is>
      </c>
      <c r="M184" s="202" t="inlineStr">
        <is>
          <t>Met</t>
        </is>
      </c>
      <c r="N184" s="202" t="inlineStr">
        <is>
          <t xml:space="preserve">58 Days </t>
        </is>
      </c>
      <c r="O184" s="202" t="inlineStr">
        <is>
          <t>Met</t>
        </is>
      </c>
      <c r="P184" s="202" t="inlineStr">
        <is>
          <t xml:space="preserve">56 Days </t>
        </is>
      </c>
      <c r="Q184" s="202" t="inlineStr">
        <is>
          <t>Met</t>
        </is>
      </c>
      <c r="R184" s="202" t="inlineStr">
        <is>
          <t>49 Days</t>
        </is>
      </c>
      <c r="S184" s="202" t="inlineStr">
        <is>
          <t>Met</t>
        </is>
      </c>
      <c r="T184" s="211" t="inlineStr">
        <is>
          <t xml:space="preserve">52 Days </t>
        </is>
      </c>
      <c r="U184" s="202" t="inlineStr">
        <is>
          <t>Met</t>
        </is>
      </c>
      <c r="V184" s="202" t="inlineStr">
        <is>
          <t xml:space="preserve">43 Days </t>
        </is>
      </c>
      <c r="W184" s="202" t="inlineStr">
        <is>
          <t>Met</t>
        </is>
      </c>
      <c r="X184" s="202" t="inlineStr">
        <is>
          <t xml:space="preserve">48 Days </t>
        </is>
      </c>
      <c r="Y184" s="202" t="inlineStr">
        <is>
          <t>Met</t>
        </is>
      </c>
      <c r="Z184" s="211" t="inlineStr">
        <is>
          <t xml:space="preserve">54 Days </t>
        </is>
      </c>
      <c r="AA184" s="202" t="inlineStr">
        <is>
          <t>Met</t>
        </is>
      </c>
      <c r="AB184" s="209" t="n">
        <v>59</v>
      </c>
      <c r="AC184" s="202" t="inlineStr">
        <is>
          <t>Met</t>
        </is>
      </c>
      <c r="AD184" s="209" t="n">
        <v>56</v>
      </c>
      <c r="AE184" s="202" t="inlineStr">
        <is>
          <t>Met</t>
        </is>
      </c>
      <c r="AF184" s="95" t="n">
        <v>57</v>
      </c>
      <c r="AG184" s="202" t="inlineStr">
        <is>
          <t>Met</t>
        </is>
      </c>
      <c r="AH184" s="285" t="n">
        <v>71</v>
      </c>
      <c r="AI184" s="285" t="inlineStr">
        <is>
          <t>Met</t>
        </is>
      </c>
      <c r="AJ184" s="95" t="n">
        <v>54</v>
      </c>
      <c r="AK184" s="202" t="inlineStr">
        <is>
          <t>Met</t>
        </is>
      </c>
    </row>
    <row r="185">
      <c r="A185" s="21" t="inlineStr">
        <is>
          <t>Jindal</t>
        </is>
      </c>
      <c r="B185" s="5" t="inlineStr">
        <is>
          <t>North</t>
        </is>
      </c>
      <c r="C185" s="277" t="inlineStr">
        <is>
          <t>Archana Trikha</t>
        </is>
      </c>
      <c r="D185" s="26" t="inlineStr">
        <is>
          <t>Rishab</t>
        </is>
      </c>
      <c r="E185" s="26" t="inlineStr">
        <is>
          <t>Category (A)</t>
        </is>
      </c>
      <c r="F185" s="21" t="inlineStr">
        <is>
          <t>Internal KPI</t>
        </is>
      </c>
      <c r="G185" s="21" t="inlineStr">
        <is>
          <t>No</t>
        </is>
      </c>
      <c r="H185" s="27" t="inlineStr">
        <is>
          <t>Time to Fill</t>
        </is>
      </c>
      <c r="I185" s="14" t="inlineStr">
        <is>
          <t>30 Days</t>
        </is>
      </c>
      <c r="J185" s="28" t="inlineStr">
        <is>
          <t xml:space="preserve">22 Days </t>
        </is>
      </c>
      <c r="K185" s="28" t="inlineStr">
        <is>
          <t>Met</t>
        </is>
      </c>
      <c r="L185" s="28" t="inlineStr">
        <is>
          <t xml:space="preserve">30 Days </t>
        </is>
      </c>
      <c r="M185" s="28" t="inlineStr">
        <is>
          <t>Met</t>
        </is>
      </c>
      <c r="N185" s="28" t="inlineStr">
        <is>
          <t xml:space="preserve">29 Days </t>
        </is>
      </c>
      <c r="O185" s="28" t="inlineStr">
        <is>
          <t>Met</t>
        </is>
      </c>
      <c r="P185" s="28" t="inlineStr">
        <is>
          <t xml:space="preserve">27 Days </t>
        </is>
      </c>
      <c r="Q185" s="28" t="inlineStr">
        <is>
          <t>Met</t>
        </is>
      </c>
      <c r="R185" s="28" t="inlineStr">
        <is>
          <t xml:space="preserve">25 Days </t>
        </is>
      </c>
      <c r="S185" s="28" t="inlineStr">
        <is>
          <t>Met</t>
        </is>
      </c>
      <c r="T185" s="14" t="inlineStr">
        <is>
          <t xml:space="preserve">28 Days </t>
        </is>
      </c>
      <c r="U185" s="28" t="inlineStr">
        <is>
          <t>Met</t>
        </is>
      </c>
      <c r="V185" s="28" t="inlineStr">
        <is>
          <t xml:space="preserve">28 Days </t>
        </is>
      </c>
      <c r="W185" s="28" t="inlineStr">
        <is>
          <t>Met</t>
        </is>
      </c>
      <c r="X185" s="28" t="inlineStr">
        <is>
          <t xml:space="preserve">27 Days </t>
        </is>
      </c>
      <c r="Y185" s="28" t="inlineStr">
        <is>
          <t>Met</t>
        </is>
      </c>
      <c r="Z185" s="14" t="inlineStr">
        <is>
          <t xml:space="preserve">27 Days </t>
        </is>
      </c>
      <c r="AA185" s="28" t="inlineStr">
        <is>
          <t>Met</t>
        </is>
      </c>
      <c r="AB185" s="95" t="n">
        <v>40</v>
      </c>
      <c r="AC185" s="28" t="inlineStr">
        <is>
          <t>Not Met</t>
        </is>
      </c>
      <c r="AD185" s="95" t="n">
        <v>40</v>
      </c>
      <c r="AE185" s="28" t="inlineStr">
        <is>
          <t>Not Met</t>
        </is>
      </c>
      <c r="AF185" s="95" t="n">
        <v>31</v>
      </c>
      <c r="AG185" s="28" t="inlineStr">
        <is>
          <t>Not Met</t>
        </is>
      </c>
      <c r="AH185" s="285" t="n">
        <v>71</v>
      </c>
      <c r="AI185" s="285" t="inlineStr">
        <is>
          <t>Met</t>
        </is>
      </c>
      <c r="AJ185" s="95" t="n">
        <v>30</v>
      </c>
      <c r="AK185" s="202" t="inlineStr">
        <is>
          <t>Met</t>
        </is>
      </c>
    </row>
    <row r="186">
      <c r="A186" s="21" t="inlineStr">
        <is>
          <t>Jindal</t>
        </is>
      </c>
      <c r="B186" s="5" t="inlineStr">
        <is>
          <t>North</t>
        </is>
      </c>
      <c r="C186" s="277" t="inlineStr">
        <is>
          <t>Archana Trikha</t>
        </is>
      </c>
      <c r="D186" s="26" t="inlineStr">
        <is>
          <t>Rishab</t>
        </is>
      </c>
      <c r="E186" s="26" t="inlineStr">
        <is>
          <t>Category (A)</t>
        </is>
      </c>
      <c r="F186" s="21" t="inlineStr">
        <is>
          <t>Internal KPI</t>
        </is>
      </c>
      <c r="G186" s="21" t="inlineStr">
        <is>
          <t>No</t>
        </is>
      </c>
      <c r="H186" s="21" t="inlineStr">
        <is>
          <t>Ageing</t>
        </is>
      </c>
      <c r="I186" s="11" t="inlineStr">
        <is>
          <t>&lt;=20%</t>
        </is>
      </c>
      <c r="J186" s="29" t="n">
        <v>0.1</v>
      </c>
      <c r="K186" s="28" t="inlineStr">
        <is>
          <t>Met</t>
        </is>
      </c>
      <c r="L186" s="29" t="n">
        <v>0.37</v>
      </c>
      <c r="M186" s="28" t="inlineStr">
        <is>
          <t>Not Met</t>
        </is>
      </c>
      <c r="N186" s="29" t="n">
        <v>0.52</v>
      </c>
      <c r="O186" s="28" t="inlineStr">
        <is>
          <t>Not Met</t>
        </is>
      </c>
      <c r="P186" s="29" t="n">
        <v>0.52</v>
      </c>
      <c r="Q186" s="28" t="inlineStr">
        <is>
          <t>Not Met</t>
        </is>
      </c>
      <c r="R186" s="29" t="n">
        <v>0.17</v>
      </c>
      <c r="S186" s="28" t="inlineStr">
        <is>
          <t>Met</t>
        </is>
      </c>
      <c r="T186" s="20" t="n">
        <v>0.1</v>
      </c>
      <c r="U186" s="28" t="inlineStr">
        <is>
          <t>Met</t>
        </is>
      </c>
      <c r="V186" s="29" t="n">
        <v>0.45</v>
      </c>
      <c r="W186" s="28" t="inlineStr">
        <is>
          <t>Not Met</t>
        </is>
      </c>
      <c r="X186" s="29" t="n">
        <v>0.45</v>
      </c>
      <c r="Y186" s="28" t="inlineStr">
        <is>
          <t>Not Met</t>
        </is>
      </c>
      <c r="Z186" s="29" t="n">
        <v>0.13</v>
      </c>
      <c r="AA186" s="28" t="inlineStr">
        <is>
          <t>Met</t>
        </is>
      </c>
      <c r="AB186" s="102" t="n">
        <v>0.15</v>
      </c>
      <c r="AC186" s="28" t="inlineStr">
        <is>
          <t>Met</t>
        </is>
      </c>
      <c r="AD186" s="102" t="n">
        <v>0.12</v>
      </c>
      <c r="AE186" s="28" t="inlineStr">
        <is>
          <t>Met</t>
        </is>
      </c>
      <c r="AF186" s="102" t="n">
        <v>0.12</v>
      </c>
      <c r="AG186" s="202" t="inlineStr">
        <is>
          <t>Met</t>
        </is>
      </c>
      <c r="AH186" s="285" t="n">
        <v>71</v>
      </c>
      <c r="AI186" s="285" t="inlineStr">
        <is>
          <t>Met</t>
        </is>
      </c>
      <c r="AJ186" s="102" t="n">
        <v>0.12</v>
      </c>
      <c r="AK186" s="202" t="inlineStr">
        <is>
          <t>Met</t>
        </is>
      </c>
    </row>
    <row r="187">
      <c r="A187" s="21" t="inlineStr">
        <is>
          <t>Jindal</t>
        </is>
      </c>
      <c r="B187" s="5" t="inlineStr">
        <is>
          <t>North</t>
        </is>
      </c>
      <c r="C187" s="277" t="inlineStr">
        <is>
          <t>Archana Trikha</t>
        </is>
      </c>
      <c r="D187" s="26" t="inlineStr">
        <is>
          <t>Rishab</t>
        </is>
      </c>
      <c r="E187" s="26" t="inlineStr">
        <is>
          <t>Category (A)</t>
        </is>
      </c>
      <c r="F187" s="21" t="inlineStr">
        <is>
          <t>Internal KPI</t>
        </is>
      </c>
      <c r="G187" s="21" t="inlineStr">
        <is>
          <t>No</t>
        </is>
      </c>
      <c r="H187" s="27" t="inlineStr">
        <is>
          <t>First Time Right Ratio</t>
        </is>
      </c>
      <c r="I187" s="11" t="inlineStr">
        <is>
          <t>&gt;=70%</t>
        </is>
      </c>
      <c r="J187" s="29" t="n">
        <v>0.83</v>
      </c>
      <c r="K187" s="28" t="inlineStr">
        <is>
          <t>Met</t>
        </is>
      </c>
      <c r="L187" s="29" t="n">
        <v>0.87</v>
      </c>
      <c r="M187" s="28" t="inlineStr">
        <is>
          <t>Met</t>
        </is>
      </c>
      <c r="N187" s="29" t="n">
        <v>0.83</v>
      </c>
      <c r="O187" s="28" t="inlineStr">
        <is>
          <t>Met</t>
        </is>
      </c>
      <c r="P187" s="29" t="n">
        <v>0.84</v>
      </c>
      <c r="Q187" s="28" t="inlineStr">
        <is>
          <t>Met</t>
        </is>
      </c>
      <c r="R187" s="29" t="n">
        <v>0.77</v>
      </c>
      <c r="S187" s="28" t="inlineStr">
        <is>
          <t>Met</t>
        </is>
      </c>
      <c r="T187" s="20" t="n">
        <v>0.88</v>
      </c>
      <c r="U187" s="28" t="inlineStr">
        <is>
          <t>Met</t>
        </is>
      </c>
      <c r="V187" s="29" t="n">
        <v>0.86</v>
      </c>
      <c r="W187" s="28" t="inlineStr">
        <is>
          <t>Met</t>
        </is>
      </c>
      <c r="X187" s="29" t="n">
        <v>0.84</v>
      </c>
      <c r="Y187" s="28" t="inlineStr">
        <is>
          <t>Met</t>
        </is>
      </c>
      <c r="Z187" s="29" t="n">
        <v>0.93</v>
      </c>
      <c r="AA187" s="28" t="inlineStr">
        <is>
          <t>Met</t>
        </is>
      </c>
      <c r="AB187" s="102" t="n">
        <v>0.88</v>
      </c>
      <c r="AC187" s="28" t="inlineStr">
        <is>
          <t>Met</t>
        </is>
      </c>
      <c r="AD187" s="102" t="n">
        <v>0.85</v>
      </c>
      <c r="AE187" s="28" t="inlineStr">
        <is>
          <t>Met</t>
        </is>
      </c>
      <c r="AF187" s="102" t="n">
        <v>0.85</v>
      </c>
      <c r="AG187" s="202" t="inlineStr">
        <is>
          <t>Met</t>
        </is>
      </c>
      <c r="AH187" s="285" t="n">
        <v>71</v>
      </c>
      <c r="AI187" s="285" t="inlineStr">
        <is>
          <t>Met</t>
        </is>
      </c>
      <c r="AJ187" s="102" t="n">
        <v>0.86</v>
      </c>
      <c r="AK187" s="202" t="inlineStr">
        <is>
          <t>Met</t>
        </is>
      </c>
    </row>
    <row r="188">
      <c r="A188" s="21" t="inlineStr">
        <is>
          <t>Jindal</t>
        </is>
      </c>
      <c r="B188" s="5" t="inlineStr">
        <is>
          <t>North</t>
        </is>
      </c>
      <c r="C188" s="277" t="inlineStr">
        <is>
          <t>Archana Trikha</t>
        </is>
      </c>
      <c r="D188" s="26" t="inlineStr">
        <is>
          <t>Rishab</t>
        </is>
      </c>
      <c r="E188" s="26" t="inlineStr">
        <is>
          <t>Category (A)</t>
        </is>
      </c>
      <c r="F188" s="21" t="inlineStr">
        <is>
          <t>Internal KPI</t>
        </is>
      </c>
      <c r="G188" s="21" t="inlineStr">
        <is>
          <t>No</t>
        </is>
      </c>
      <c r="H188" s="27" t="inlineStr">
        <is>
          <t>Hit Ratio</t>
        </is>
      </c>
      <c r="I188" s="11" t="inlineStr">
        <is>
          <t>&gt;=12%</t>
        </is>
      </c>
      <c r="J188" s="29" t="n">
        <v>0.07000000000000001</v>
      </c>
      <c r="K188" s="28" t="inlineStr">
        <is>
          <t>Not Met</t>
        </is>
      </c>
      <c r="L188" s="29" t="n">
        <v>0.13</v>
      </c>
      <c r="M188" s="28" t="inlineStr">
        <is>
          <t>Met</t>
        </is>
      </c>
      <c r="N188" s="29" t="n">
        <v>0.13</v>
      </c>
      <c r="O188" s="28" t="inlineStr">
        <is>
          <t>Met</t>
        </is>
      </c>
      <c r="P188" s="29" t="n">
        <v>0.11</v>
      </c>
      <c r="Q188" s="28" t="inlineStr">
        <is>
          <t>Not Met</t>
        </is>
      </c>
      <c r="R188" s="29" t="n">
        <v>0.22</v>
      </c>
      <c r="S188" s="28" t="inlineStr">
        <is>
          <t>Met</t>
        </is>
      </c>
      <c r="T188" s="20" t="n">
        <v>0.2</v>
      </c>
      <c r="U188" s="28" t="inlineStr">
        <is>
          <t>Met</t>
        </is>
      </c>
      <c r="V188" s="29" t="n">
        <v>0.14</v>
      </c>
      <c r="W188" s="28" t="inlineStr">
        <is>
          <t>Met</t>
        </is>
      </c>
      <c r="X188" s="29" t="n">
        <v>0.19</v>
      </c>
      <c r="Y188" s="28" t="inlineStr">
        <is>
          <t>Met</t>
        </is>
      </c>
      <c r="Z188" s="29" t="n">
        <v>0.1</v>
      </c>
      <c r="AA188" s="28" t="inlineStr">
        <is>
          <t>Not Met</t>
        </is>
      </c>
      <c r="AB188" s="102" t="n">
        <v>0.16</v>
      </c>
      <c r="AC188" s="28" t="inlineStr">
        <is>
          <t>Met</t>
        </is>
      </c>
      <c r="AD188" s="102" t="n">
        <v>0.18</v>
      </c>
      <c r="AE188" s="28" t="inlineStr">
        <is>
          <t>Met</t>
        </is>
      </c>
      <c r="AF188" s="102" t="n">
        <v>0.23</v>
      </c>
      <c r="AG188" s="202" t="inlineStr">
        <is>
          <t>Met</t>
        </is>
      </c>
      <c r="AH188" s="285" t="n">
        <v>71</v>
      </c>
      <c r="AI188" s="285" t="inlineStr">
        <is>
          <t>Met</t>
        </is>
      </c>
      <c r="AJ188" s="102" t="n">
        <v>0.16</v>
      </c>
      <c r="AK188" s="202" t="inlineStr">
        <is>
          <t>Met</t>
        </is>
      </c>
    </row>
    <row r="189">
      <c r="A189" s="21" t="inlineStr">
        <is>
          <t>Jindal</t>
        </is>
      </c>
      <c r="B189" s="5" t="inlineStr">
        <is>
          <t>North</t>
        </is>
      </c>
      <c r="C189" s="277" t="inlineStr">
        <is>
          <t>Archana Trikha</t>
        </is>
      </c>
      <c r="D189" s="26" t="inlineStr">
        <is>
          <t>Rishab</t>
        </is>
      </c>
      <c r="E189" s="26" t="inlineStr">
        <is>
          <t>Category (A)</t>
        </is>
      </c>
      <c r="F189" s="21" t="inlineStr">
        <is>
          <t>Internal KPI</t>
        </is>
      </c>
      <c r="G189" s="21" t="inlineStr">
        <is>
          <t>No</t>
        </is>
      </c>
      <c r="H189" s="21" t="inlineStr">
        <is>
          <t>Offer Drop</t>
        </is>
      </c>
      <c r="I189" s="14" t="inlineStr">
        <is>
          <t>&lt;=20%</t>
        </is>
      </c>
      <c r="J189" s="29" t="n">
        <v>0.08</v>
      </c>
      <c r="K189" s="28" t="inlineStr">
        <is>
          <t>Met</t>
        </is>
      </c>
      <c r="L189" s="29" t="n">
        <v>0.15</v>
      </c>
      <c r="M189" s="28" t="inlineStr">
        <is>
          <t>Met</t>
        </is>
      </c>
      <c r="N189" s="29" t="n">
        <v>0.1</v>
      </c>
      <c r="O189" s="28" t="inlineStr">
        <is>
          <t>Met</t>
        </is>
      </c>
      <c r="P189" s="29" t="n">
        <v>0.11</v>
      </c>
      <c r="Q189" s="28" t="inlineStr">
        <is>
          <t>Met</t>
        </is>
      </c>
      <c r="R189" s="29" t="n">
        <v>0.13</v>
      </c>
      <c r="S189" s="28" t="inlineStr">
        <is>
          <t>Met</t>
        </is>
      </c>
      <c r="T189" s="20" t="n">
        <v>0.26</v>
      </c>
      <c r="U189" s="28" t="inlineStr">
        <is>
          <t>Not Met</t>
        </is>
      </c>
      <c r="V189" s="29" t="n">
        <v>0.12</v>
      </c>
      <c r="W189" s="28" t="inlineStr">
        <is>
          <t>Met</t>
        </is>
      </c>
      <c r="X189" s="29" t="n">
        <v>0.17</v>
      </c>
      <c r="Y189" s="28" t="inlineStr">
        <is>
          <t>Met</t>
        </is>
      </c>
      <c r="Z189" s="29" t="n">
        <v>0.11</v>
      </c>
      <c r="AA189" s="28" t="inlineStr">
        <is>
          <t>Met</t>
        </is>
      </c>
      <c r="AB189" s="102" t="n">
        <v>0.5600000000000001</v>
      </c>
      <c r="AC189" s="28" t="inlineStr">
        <is>
          <t>Not Met</t>
        </is>
      </c>
      <c r="AD189" s="102" t="n">
        <v>0.23</v>
      </c>
      <c r="AE189" s="28" t="inlineStr">
        <is>
          <t>Not Met</t>
        </is>
      </c>
      <c r="AF189" s="102" t="n">
        <v>0.57</v>
      </c>
      <c r="AG189" s="28" t="inlineStr">
        <is>
          <t>Not Met</t>
        </is>
      </c>
      <c r="AH189" s="285" t="n">
        <v>71</v>
      </c>
      <c r="AI189" s="285" t="inlineStr">
        <is>
          <t>Met</t>
        </is>
      </c>
      <c r="AJ189" s="102" t="n">
        <v>0.23</v>
      </c>
      <c r="AK189" s="28" t="inlineStr">
        <is>
          <t>Not Met</t>
        </is>
      </c>
    </row>
    <row r="190">
      <c r="A190" s="21" t="inlineStr">
        <is>
          <t>Jindal</t>
        </is>
      </c>
      <c r="B190" s="5" t="inlineStr">
        <is>
          <t>North</t>
        </is>
      </c>
      <c r="C190" s="277" t="inlineStr">
        <is>
          <t>Archana Trikha</t>
        </is>
      </c>
      <c r="D190" s="26" t="inlineStr">
        <is>
          <t>Rishab</t>
        </is>
      </c>
      <c r="E190" s="26" t="inlineStr">
        <is>
          <t>Category (A)</t>
        </is>
      </c>
      <c r="F190" s="21" t="inlineStr">
        <is>
          <t>Internal KPI</t>
        </is>
      </c>
      <c r="G190" s="21" t="inlineStr">
        <is>
          <t>No</t>
        </is>
      </c>
      <c r="H190" s="27" t="inlineStr">
        <is>
          <t xml:space="preserve">Fulfilment </t>
        </is>
      </c>
      <c r="I190" s="14" t="inlineStr">
        <is>
          <t>&gt;=70%</t>
        </is>
      </c>
      <c r="J190" s="29" t="n">
        <v>0.48</v>
      </c>
      <c r="K190" s="28" t="inlineStr">
        <is>
          <t>Not Met</t>
        </is>
      </c>
      <c r="L190" s="29" t="n">
        <v>0.48</v>
      </c>
      <c r="M190" s="28" t="inlineStr">
        <is>
          <t>Not Met</t>
        </is>
      </c>
      <c r="N190" s="29" t="n">
        <v>0.39</v>
      </c>
      <c r="O190" s="28" t="inlineStr">
        <is>
          <t>Not Met</t>
        </is>
      </c>
      <c r="P190" s="29" t="n">
        <v>0.45</v>
      </c>
      <c r="Q190" s="28" t="inlineStr">
        <is>
          <t>Not Met</t>
        </is>
      </c>
      <c r="R190" s="29" t="n">
        <v>0.6899999999999999</v>
      </c>
      <c r="S190" s="28" t="inlineStr">
        <is>
          <t>Not Met</t>
        </is>
      </c>
      <c r="T190" s="20" t="n">
        <v>0.74</v>
      </c>
      <c r="U190" s="28" t="inlineStr">
        <is>
          <t>Met</t>
        </is>
      </c>
      <c r="V190" s="29" t="n">
        <v>0.65</v>
      </c>
      <c r="W190" s="28" t="inlineStr">
        <is>
          <t>Not Met</t>
        </is>
      </c>
      <c r="X190" s="29" t="n">
        <v>0.7</v>
      </c>
      <c r="Y190" s="28" t="inlineStr">
        <is>
          <t>Met</t>
        </is>
      </c>
      <c r="Z190" s="29" t="n">
        <v>0.35</v>
      </c>
      <c r="AA190" s="28" t="inlineStr">
        <is>
          <t>Not Met</t>
        </is>
      </c>
      <c r="AB190" s="102" t="n">
        <v>0.26</v>
      </c>
      <c r="AC190" s="28" t="inlineStr">
        <is>
          <t>Not Met</t>
        </is>
      </c>
      <c r="AD190" s="102" t="n">
        <v>0.57</v>
      </c>
      <c r="AE190" s="28" t="inlineStr">
        <is>
          <t>Not Met</t>
        </is>
      </c>
      <c r="AF190" s="102" t="n">
        <v>0.13</v>
      </c>
      <c r="AG190" s="28" t="inlineStr">
        <is>
          <t>Not Met</t>
        </is>
      </c>
      <c r="AH190" s="285" t="n">
        <v>71</v>
      </c>
      <c r="AI190" s="285" t="inlineStr">
        <is>
          <t>Met</t>
        </is>
      </c>
      <c r="AJ190" s="102" t="n">
        <v>0.47</v>
      </c>
      <c r="AK190" s="28" t="inlineStr">
        <is>
          <t>Not Met</t>
        </is>
      </c>
    </row>
    <row r="191">
      <c r="A191" s="164" t="inlineStr">
        <is>
          <t>Jindal</t>
        </is>
      </c>
      <c r="B191" s="165" t="inlineStr">
        <is>
          <t>North</t>
        </is>
      </c>
      <c r="C191" s="277" t="inlineStr">
        <is>
          <t>Archana Trikha</t>
        </is>
      </c>
      <c r="D191" s="166" t="inlineStr">
        <is>
          <t>Rishab</t>
        </is>
      </c>
      <c r="E191" s="166" t="inlineStr">
        <is>
          <t>Category (A)</t>
        </is>
      </c>
      <c r="F191" s="164" t="inlineStr">
        <is>
          <t>Internal KPI</t>
        </is>
      </c>
      <c r="G191" s="164" t="inlineStr">
        <is>
          <t>No</t>
        </is>
      </c>
      <c r="H191" s="166" t="inlineStr">
        <is>
          <t>CSAT</t>
        </is>
      </c>
      <c r="I191" s="174" t="inlineStr">
        <is>
          <t>&gt;=80%</t>
        </is>
      </c>
      <c r="J191" s="174" t="inlineStr">
        <is>
          <t xml:space="preserve">Not Reported </t>
        </is>
      </c>
      <c r="K191" s="174" t="inlineStr">
        <is>
          <t xml:space="preserve">Not Reported </t>
        </is>
      </c>
      <c r="L191" s="174" t="inlineStr">
        <is>
          <t xml:space="preserve">Not Reported </t>
        </is>
      </c>
      <c r="M191" s="170" t="inlineStr">
        <is>
          <t>Not Reported</t>
        </is>
      </c>
      <c r="N191" s="174" t="inlineStr">
        <is>
          <t xml:space="preserve">Not Reported </t>
        </is>
      </c>
      <c r="O191" s="170" t="inlineStr">
        <is>
          <t>Not Reported</t>
        </is>
      </c>
      <c r="P191" s="174" t="inlineStr">
        <is>
          <t xml:space="preserve">Not Reported </t>
        </is>
      </c>
      <c r="Q191" s="170" t="inlineStr">
        <is>
          <t>Not Reported</t>
        </is>
      </c>
      <c r="R191" s="170" t="inlineStr">
        <is>
          <t>Not Reported</t>
        </is>
      </c>
      <c r="S191" s="170" t="inlineStr">
        <is>
          <t xml:space="preserve">Not Reported </t>
        </is>
      </c>
      <c r="T191" s="191" t="inlineStr">
        <is>
          <t xml:space="preserve">Not Reported </t>
        </is>
      </c>
      <c r="U191" s="170" t="inlineStr">
        <is>
          <t>Not Reported</t>
        </is>
      </c>
      <c r="V191" s="170" t="inlineStr">
        <is>
          <t>Not Reported</t>
        </is>
      </c>
      <c r="W191" s="170" t="inlineStr">
        <is>
          <t>Not Reported</t>
        </is>
      </c>
      <c r="X191" s="170" t="inlineStr">
        <is>
          <t>Not Reported</t>
        </is>
      </c>
      <c r="Y191" s="170" t="inlineStr">
        <is>
          <t>Not Reported</t>
        </is>
      </c>
      <c r="Z191" s="170" t="inlineStr">
        <is>
          <t xml:space="preserve">NA </t>
        </is>
      </c>
      <c r="AA191" s="191" t="inlineStr">
        <is>
          <t>NA</t>
        </is>
      </c>
      <c r="AB191" s="192" t="inlineStr">
        <is>
          <t>NA</t>
        </is>
      </c>
      <c r="AC191" s="191" t="inlineStr">
        <is>
          <t>NA</t>
        </is>
      </c>
      <c r="AD191" s="182" t="inlineStr">
        <is>
          <t>NA</t>
        </is>
      </c>
      <c r="AE191" s="156" t="inlineStr">
        <is>
          <t>NA</t>
        </is>
      </c>
      <c r="AF191" s="149" t="inlineStr">
        <is>
          <t>NA</t>
        </is>
      </c>
      <c r="AG191" s="97" t="inlineStr">
        <is>
          <t>NA</t>
        </is>
      </c>
      <c r="AH191" s="285" t="n">
        <v>71</v>
      </c>
      <c r="AI191" s="285" t="inlineStr">
        <is>
          <t>Met</t>
        </is>
      </c>
      <c r="AJ191" s="149" t="inlineStr">
        <is>
          <t xml:space="preserve">NA </t>
        </is>
      </c>
      <c r="AK191" s="202" t="inlineStr">
        <is>
          <t>Met</t>
        </is>
      </c>
    </row>
    <row r="192">
      <c r="A192" s="87" t="inlineStr">
        <is>
          <t>Leap India</t>
        </is>
      </c>
      <c r="B192" s="88" t="inlineStr">
        <is>
          <t>West 1</t>
        </is>
      </c>
      <c r="C192" s="277" t="inlineStr">
        <is>
          <t>Geetu</t>
        </is>
      </c>
      <c r="D192" s="89" t="inlineStr">
        <is>
          <t>Sahil, Debashreeta &amp; Mandeep</t>
        </is>
      </c>
      <c r="E192" s="85" t="inlineStr">
        <is>
          <t>Category (A)</t>
        </is>
      </c>
      <c r="F192" s="87" t="inlineStr">
        <is>
          <t>Internal KPI</t>
        </is>
      </c>
      <c r="G192" s="87" t="inlineStr">
        <is>
          <t>No</t>
        </is>
      </c>
      <c r="H192" s="85" t="inlineStr">
        <is>
          <t>Time to Hire</t>
        </is>
      </c>
      <c r="I192" s="90" t="n">
        <v>80</v>
      </c>
      <c r="J192" s="20" t="inlineStr">
        <is>
          <t>NA</t>
        </is>
      </c>
      <c r="K192" s="20" t="inlineStr">
        <is>
          <t>NA</t>
        </is>
      </c>
      <c r="L192" s="20" t="inlineStr">
        <is>
          <t>NA</t>
        </is>
      </c>
      <c r="M192" s="20" t="inlineStr">
        <is>
          <t>NA</t>
        </is>
      </c>
      <c r="N192" s="20" t="inlineStr">
        <is>
          <t>NA</t>
        </is>
      </c>
      <c r="O192" s="20" t="inlineStr">
        <is>
          <t>NA</t>
        </is>
      </c>
      <c r="P192" s="20" t="inlineStr">
        <is>
          <t>NA</t>
        </is>
      </c>
      <c r="Q192" s="20" t="inlineStr">
        <is>
          <t>NA</t>
        </is>
      </c>
      <c r="R192" s="20" t="inlineStr">
        <is>
          <t>NA</t>
        </is>
      </c>
      <c r="S192" s="20" t="inlineStr">
        <is>
          <t>NA</t>
        </is>
      </c>
      <c r="T192" s="20" t="inlineStr">
        <is>
          <t>NA</t>
        </is>
      </c>
      <c r="U192" s="20" t="inlineStr">
        <is>
          <t>NA</t>
        </is>
      </c>
      <c r="V192" s="20" t="inlineStr">
        <is>
          <t>NA</t>
        </is>
      </c>
      <c r="W192" s="20" t="inlineStr">
        <is>
          <t>NA</t>
        </is>
      </c>
      <c r="X192" s="20" t="inlineStr">
        <is>
          <t>NA</t>
        </is>
      </c>
      <c r="Y192" s="20" t="inlineStr">
        <is>
          <t>NA</t>
        </is>
      </c>
      <c r="Z192" s="20" t="inlineStr">
        <is>
          <t>NA</t>
        </is>
      </c>
      <c r="AA192" s="20" t="inlineStr">
        <is>
          <t>NA</t>
        </is>
      </c>
      <c r="AB192" s="90" t="n">
        <v>79</v>
      </c>
      <c r="AC192" s="28" t="inlineStr">
        <is>
          <t>Met</t>
        </is>
      </c>
      <c r="AD192" s="126" t="inlineStr">
        <is>
          <t>Not Reported</t>
        </is>
      </c>
      <c r="AE192" s="126" t="inlineStr">
        <is>
          <t>Not Reported</t>
        </is>
      </c>
      <c r="AF192" s="147" t="n">
        <v>117</v>
      </c>
      <c r="AG192" s="28" t="inlineStr">
        <is>
          <t>Not Met</t>
        </is>
      </c>
      <c r="AH192" s="285" t="n">
        <v>0</v>
      </c>
      <c r="AI192" s="285" t="inlineStr">
        <is>
          <t>Not Reported</t>
        </is>
      </c>
      <c r="AJ192" s="147" t="inlineStr">
        <is>
          <t>Not Reported</t>
        </is>
      </c>
      <c r="AK192" s="126" t="inlineStr">
        <is>
          <t>Not Reported</t>
        </is>
      </c>
    </row>
    <row r="193">
      <c r="A193" s="87" t="inlineStr">
        <is>
          <t>Leap India</t>
        </is>
      </c>
      <c r="B193" s="88" t="inlineStr">
        <is>
          <t>West 1</t>
        </is>
      </c>
      <c r="C193" s="277" t="inlineStr">
        <is>
          <t>Geetu</t>
        </is>
      </c>
      <c r="D193" s="89" t="inlineStr">
        <is>
          <t>Sahil, Debashreeta &amp; Mandeep</t>
        </is>
      </c>
      <c r="E193" s="85" t="inlineStr">
        <is>
          <t>Category (A)</t>
        </is>
      </c>
      <c r="F193" s="87" t="inlineStr">
        <is>
          <t>Internal KPI</t>
        </is>
      </c>
      <c r="G193" s="87" t="inlineStr">
        <is>
          <t>No</t>
        </is>
      </c>
      <c r="H193" s="85" t="inlineStr">
        <is>
          <t>Time to Fill</t>
        </is>
      </c>
      <c r="I193" s="90" t="n">
        <v>40</v>
      </c>
      <c r="J193" s="20" t="inlineStr">
        <is>
          <t>NA</t>
        </is>
      </c>
      <c r="K193" s="20" t="inlineStr">
        <is>
          <t>NA</t>
        </is>
      </c>
      <c r="L193" s="20" t="inlineStr">
        <is>
          <t>NA</t>
        </is>
      </c>
      <c r="M193" s="20" t="inlineStr">
        <is>
          <t>NA</t>
        </is>
      </c>
      <c r="N193" s="20" t="inlineStr">
        <is>
          <t>NA</t>
        </is>
      </c>
      <c r="O193" s="20" t="inlineStr">
        <is>
          <t>NA</t>
        </is>
      </c>
      <c r="P193" s="20" t="inlineStr">
        <is>
          <t>NA</t>
        </is>
      </c>
      <c r="Q193" s="20" t="inlineStr">
        <is>
          <t>NA</t>
        </is>
      </c>
      <c r="R193" s="20" t="inlineStr">
        <is>
          <t>NA</t>
        </is>
      </c>
      <c r="S193" s="20" t="inlineStr">
        <is>
          <t>NA</t>
        </is>
      </c>
      <c r="T193" s="20" t="inlineStr">
        <is>
          <t>NA</t>
        </is>
      </c>
      <c r="U193" s="20" t="inlineStr">
        <is>
          <t>NA</t>
        </is>
      </c>
      <c r="V193" s="20" t="inlineStr">
        <is>
          <t>NA</t>
        </is>
      </c>
      <c r="W193" s="20" t="inlineStr">
        <is>
          <t>NA</t>
        </is>
      </c>
      <c r="X193" s="20" t="inlineStr">
        <is>
          <t>NA</t>
        </is>
      </c>
      <c r="Y193" s="20" t="inlineStr">
        <is>
          <t>NA</t>
        </is>
      </c>
      <c r="Z193" s="20" t="inlineStr">
        <is>
          <t>NA</t>
        </is>
      </c>
      <c r="AA193" s="20" t="inlineStr">
        <is>
          <t>NA</t>
        </is>
      </c>
      <c r="AB193" s="14" t="n">
        <v>55</v>
      </c>
      <c r="AC193" s="28" t="inlineStr">
        <is>
          <t>Not Met</t>
        </is>
      </c>
      <c r="AD193" s="126" t="inlineStr">
        <is>
          <t>Not Reported</t>
        </is>
      </c>
      <c r="AE193" s="126" t="inlineStr">
        <is>
          <t>Not Reported</t>
        </is>
      </c>
      <c r="AF193" s="125" t="n">
        <v>79</v>
      </c>
      <c r="AG193" s="28" t="inlineStr">
        <is>
          <t>Not Met</t>
        </is>
      </c>
      <c r="AH193" s="285" t="n">
        <v>0</v>
      </c>
      <c r="AI193" s="285" t="inlineStr">
        <is>
          <t>Not Reported</t>
        </is>
      </c>
      <c r="AJ193" s="147" t="inlineStr">
        <is>
          <t>Not Reported</t>
        </is>
      </c>
      <c r="AK193" s="126" t="inlineStr">
        <is>
          <t>Not Reported</t>
        </is>
      </c>
    </row>
    <row r="194">
      <c r="A194" s="87" t="inlineStr">
        <is>
          <t>Leap India</t>
        </is>
      </c>
      <c r="B194" s="88" t="inlineStr">
        <is>
          <t>West 1</t>
        </is>
      </c>
      <c r="C194" s="277" t="inlineStr">
        <is>
          <t>Geetu</t>
        </is>
      </c>
      <c r="D194" s="89" t="inlineStr">
        <is>
          <t>Sahil, Debashreeta &amp; Mandeep</t>
        </is>
      </c>
      <c r="E194" s="85" t="inlineStr">
        <is>
          <t>Category (A)</t>
        </is>
      </c>
      <c r="F194" s="87" t="inlineStr">
        <is>
          <t>Internal KPI</t>
        </is>
      </c>
      <c r="G194" s="87" t="inlineStr">
        <is>
          <t>No</t>
        </is>
      </c>
      <c r="H194" s="85" t="inlineStr">
        <is>
          <t>Ageing</t>
        </is>
      </c>
      <c r="I194" s="83" t="n">
        <v>0.25</v>
      </c>
      <c r="J194" s="20" t="inlineStr">
        <is>
          <t>NA</t>
        </is>
      </c>
      <c r="K194" s="20" t="inlineStr">
        <is>
          <t>NA</t>
        </is>
      </c>
      <c r="L194" s="20" t="inlineStr">
        <is>
          <t>NA</t>
        </is>
      </c>
      <c r="M194" s="20" t="inlineStr">
        <is>
          <t>NA</t>
        </is>
      </c>
      <c r="N194" s="20" t="inlineStr">
        <is>
          <t>NA</t>
        </is>
      </c>
      <c r="O194" s="20" t="inlineStr">
        <is>
          <t>NA</t>
        </is>
      </c>
      <c r="P194" s="20" t="inlineStr">
        <is>
          <t>NA</t>
        </is>
      </c>
      <c r="Q194" s="20" t="inlineStr">
        <is>
          <t>NA</t>
        </is>
      </c>
      <c r="R194" s="20" t="inlineStr">
        <is>
          <t>NA</t>
        </is>
      </c>
      <c r="S194" s="20" t="inlineStr">
        <is>
          <t>NA</t>
        </is>
      </c>
      <c r="T194" s="20" t="inlineStr">
        <is>
          <t>NA</t>
        </is>
      </c>
      <c r="U194" s="20" t="inlineStr">
        <is>
          <t>NA</t>
        </is>
      </c>
      <c r="V194" s="20" t="inlineStr">
        <is>
          <t>NA</t>
        </is>
      </c>
      <c r="W194" s="20" t="inlineStr">
        <is>
          <t>NA</t>
        </is>
      </c>
      <c r="X194" s="20" t="inlineStr">
        <is>
          <t>NA</t>
        </is>
      </c>
      <c r="Y194" s="20" t="inlineStr">
        <is>
          <t>NA</t>
        </is>
      </c>
      <c r="Z194" s="20" t="inlineStr">
        <is>
          <t>NA</t>
        </is>
      </c>
      <c r="AA194" s="20" t="inlineStr">
        <is>
          <t>NA</t>
        </is>
      </c>
      <c r="AB194" s="11" t="n">
        <v>0.3333333333333333</v>
      </c>
      <c r="AC194" s="28" t="inlineStr">
        <is>
          <t>Not Met</t>
        </is>
      </c>
      <c r="AD194" s="126" t="inlineStr">
        <is>
          <t>Not Reported</t>
        </is>
      </c>
      <c r="AE194" s="126" t="inlineStr">
        <is>
          <t>Not Reported</t>
        </is>
      </c>
      <c r="AF194" s="126" t="n">
        <v>0.47</v>
      </c>
      <c r="AG194" s="28" t="inlineStr">
        <is>
          <t>Not Met</t>
        </is>
      </c>
      <c r="AH194" s="285" t="n">
        <v>0</v>
      </c>
      <c r="AI194" s="285" t="inlineStr">
        <is>
          <t>Not Reported</t>
        </is>
      </c>
      <c r="AJ194" s="147" t="inlineStr">
        <is>
          <t>Not Reported</t>
        </is>
      </c>
      <c r="AK194" s="126" t="inlineStr">
        <is>
          <t>Not Reported</t>
        </is>
      </c>
    </row>
    <row r="195">
      <c r="A195" s="87" t="inlineStr">
        <is>
          <t>Leap India</t>
        </is>
      </c>
      <c r="B195" s="88" t="inlineStr">
        <is>
          <t>West 1</t>
        </is>
      </c>
      <c r="C195" s="277" t="inlineStr">
        <is>
          <t>Geetu</t>
        </is>
      </c>
      <c r="D195" s="89" t="inlineStr">
        <is>
          <t>Sahil, Debashreeta &amp; Mandeep</t>
        </is>
      </c>
      <c r="E195" s="85" t="inlineStr">
        <is>
          <t>Category (A)</t>
        </is>
      </c>
      <c r="F195" s="87" t="inlineStr">
        <is>
          <t>Internal KPI</t>
        </is>
      </c>
      <c r="G195" s="87" t="inlineStr">
        <is>
          <t>No</t>
        </is>
      </c>
      <c r="H195" s="85" t="inlineStr">
        <is>
          <t>First Time Right Ratio</t>
        </is>
      </c>
      <c r="I195" s="83" t="n">
        <v>0.6</v>
      </c>
      <c r="J195" s="20" t="inlineStr">
        <is>
          <t>NA</t>
        </is>
      </c>
      <c r="K195" s="20" t="inlineStr">
        <is>
          <t>NA</t>
        </is>
      </c>
      <c r="L195" s="20" t="inlineStr">
        <is>
          <t>NA</t>
        </is>
      </c>
      <c r="M195" s="20" t="inlineStr">
        <is>
          <t>NA</t>
        </is>
      </c>
      <c r="N195" s="20" t="inlineStr">
        <is>
          <t>NA</t>
        </is>
      </c>
      <c r="O195" s="20" t="inlineStr">
        <is>
          <t>NA</t>
        </is>
      </c>
      <c r="P195" s="20" t="inlineStr">
        <is>
          <t>NA</t>
        </is>
      </c>
      <c r="Q195" s="20" t="inlineStr">
        <is>
          <t>NA</t>
        </is>
      </c>
      <c r="R195" s="20" t="inlineStr">
        <is>
          <t>NA</t>
        </is>
      </c>
      <c r="S195" s="20" t="inlineStr">
        <is>
          <t>NA</t>
        </is>
      </c>
      <c r="T195" s="20" t="inlineStr">
        <is>
          <t>NA</t>
        </is>
      </c>
      <c r="U195" s="20" t="inlineStr">
        <is>
          <t>NA</t>
        </is>
      </c>
      <c r="V195" s="20" t="inlineStr">
        <is>
          <t>NA</t>
        </is>
      </c>
      <c r="W195" s="20" t="inlineStr">
        <is>
          <t>NA</t>
        </is>
      </c>
      <c r="X195" s="20" t="inlineStr">
        <is>
          <t>NA</t>
        </is>
      </c>
      <c r="Y195" s="20" t="inlineStr">
        <is>
          <t>NA</t>
        </is>
      </c>
      <c r="Z195" s="20" t="inlineStr">
        <is>
          <t>NA</t>
        </is>
      </c>
      <c r="AA195" s="20" t="inlineStr">
        <is>
          <t>NA</t>
        </is>
      </c>
      <c r="AB195" s="11" t="n">
        <v>0.57</v>
      </c>
      <c r="AC195" s="28" t="inlineStr">
        <is>
          <t>Not Met</t>
        </is>
      </c>
      <c r="AD195" s="126" t="inlineStr">
        <is>
          <t>Not Reported</t>
        </is>
      </c>
      <c r="AE195" s="126" t="inlineStr">
        <is>
          <t>Not Reported</t>
        </is>
      </c>
      <c r="AF195" s="126" t="n">
        <v>0.72</v>
      </c>
      <c r="AG195" s="202" t="inlineStr">
        <is>
          <t>Met</t>
        </is>
      </c>
      <c r="AH195" s="285" t="n">
        <v>0</v>
      </c>
      <c r="AI195" s="285" t="inlineStr">
        <is>
          <t>Not Reported</t>
        </is>
      </c>
      <c r="AJ195" s="147" t="inlineStr">
        <is>
          <t>Not Reported</t>
        </is>
      </c>
      <c r="AK195" s="126" t="inlineStr">
        <is>
          <t>Not Reported</t>
        </is>
      </c>
    </row>
    <row r="196">
      <c r="A196" s="87" t="inlineStr">
        <is>
          <t>Leap India</t>
        </is>
      </c>
      <c r="B196" s="88" t="inlineStr">
        <is>
          <t>West 1</t>
        </is>
      </c>
      <c r="C196" s="277" t="inlineStr">
        <is>
          <t>Geetu</t>
        </is>
      </c>
      <c r="D196" s="89" t="inlineStr">
        <is>
          <t>Sahil, Debashreeta &amp; Mandeep</t>
        </is>
      </c>
      <c r="E196" s="85" t="inlineStr">
        <is>
          <t>Category (A)</t>
        </is>
      </c>
      <c r="F196" s="87" t="inlineStr">
        <is>
          <t>Internal KPI</t>
        </is>
      </c>
      <c r="G196" s="87" t="inlineStr">
        <is>
          <t>No</t>
        </is>
      </c>
      <c r="H196" s="85" t="inlineStr">
        <is>
          <t>Hit Ratio</t>
        </is>
      </c>
      <c r="I196" s="86" t="inlineStr">
        <is>
          <t>1:12</t>
        </is>
      </c>
      <c r="J196" s="20" t="inlineStr">
        <is>
          <t>NA</t>
        </is>
      </c>
      <c r="K196" s="20" t="inlineStr">
        <is>
          <t>NA</t>
        </is>
      </c>
      <c r="L196" s="20" t="inlineStr">
        <is>
          <t>NA</t>
        </is>
      </c>
      <c r="M196" s="20" t="inlineStr">
        <is>
          <t>NA</t>
        </is>
      </c>
      <c r="N196" s="20" t="inlineStr">
        <is>
          <t>NA</t>
        </is>
      </c>
      <c r="O196" s="20" t="inlineStr">
        <is>
          <t>NA</t>
        </is>
      </c>
      <c r="P196" s="20" t="inlineStr">
        <is>
          <t>NA</t>
        </is>
      </c>
      <c r="Q196" s="20" t="inlineStr">
        <is>
          <t>NA</t>
        </is>
      </c>
      <c r="R196" s="20" t="inlineStr">
        <is>
          <t>NA</t>
        </is>
      </c>
      <c r="S196" s="20" t="inlineStr">
        <is>
          <t>NA</t>
        </is>
      </c>
      <c r="T196" s="20" t="inlineStr">
        <is>
          <t>NA</t>
        </is>
      </c>
      <c r="U196" s="20" t="inlineStr">
        <is>
          <t>NA</t>
        </is>
      </c>
      <c r="V196" s="20" t="inlineStr">
        <is>
          <t>NA</t>
        </is>
      </c>
      <c r="W196" s="20" t="inlineStr">
        <is>
          <t>NA</t>
        </is>
      </c>
      <c r="X196" s="20" t="inlineStr">
        <is>
          <t>NA</t>
        </is>
      </c>
      <c r="Y196" s="20" t="inlineStr">
        <is>
          <t>NA</t>
        </is>
      </c>
      <c r="Z196" s="20" t="inlineStr">
        <is>
          <t>NA</t>
        </is>
      </c>
      <c r="AA196" s="20" t="inlineStr">
        <is>
          <t>NA</t>
        </is>
      </c>
      <c r="AB196" s="123" t="n">
        <v>0.04375</v>
      </c>
      <c r="AC196" s="28" t="inlineStr">
        <is>
          <t>Met</t>
        </is>
      </c>
      <c r="AD196" s="126" t="inlineStr">
        <is>
          <t>Not Reported</t>
        </is>
      </c>
      <c r="AE196" s="126" t="inlineStr">
        <is>
          <t>Not Reported</t>
        </is>
      </c>
      <c r="AF196" s="256" t="n">
        <v>1.03</v>
      </c>
      <c r="AG196" s="202" t="inlineStr">
        <is>
          <t>Met</t>
        </is>
      </c>
      <c r="AH196" s="285" t="n">
        <v>0</v>
      </c>
      <c r="AI196" s="285" t="inlineStr">
        <is>
          <t>Not Reported</t>
        </is>
      </c>
      <c r="AJ196" s="147" t="inlineStr">
        <is>
          <t>Not Reported</t>
        </is>
      </c>
      <c r="AK196" s="126" t="inlineStr">
        <is>
          <t>Not Reported</t>
        </is>
      </c>
    </row>
    <row r="197">
      <c r="A197" s="87" t="inlineStr">
        <is>
          <t>Leap India</t>
        </is>
      </c>
      <c r="B197" s="88" t="inlineStr">
        <is>
          <t>West 1</t>
        </is>
      </c>
      <c r="C197" s="277" t="inlineStr">
        <is>
          <t>Geetu</t>
        </is>
      </c>
      <c r="D197" s="89" t="inlineStr">
        <is>
          <t>Sahil, Debashreeta &amp; Mandeep</t>
        </is>
      </c>
      <c r="E197" s="85" t="inlineStr">
        <is>
          <t>Category (A)</t>
        </is>
      </c>
      <c r="F197" s="87" t="inlineStr">
        <is>
          <t>Internal KPI</t>
        </is>
      </c>
      <c r="G197" s="87" t="inlineStr">
        <is>
          <t>No</t>
        </is>
      </c>
      <c r="H197" s="85" t="inlineStr">
        <is>
          <t>Offer Drop</t>
        </is>
      </c>
      <c r="I197" s="83" t="n">
        <v>0.35</v>
      </c>
      <c r="J197" s="20" t="inlineStr">
        <is>
          <t>NA</t>
        </is>
      </c>
      <c r="K197" s="20" t="inlineStr">
        <is>
          <t>NA</t>
        </is>
      </c>
      <c r="L197" s="20" t="inlineStr">
        <is>
          <t>NA</t>
        </is>
      </c>
      <c r="M197" s="20" t="inlineStr">
        <is>
          <t>NA</t>
        </is>
      </c>
      <c r="N197" s="20" t="inlineStr">
        <is>
          <t>NA</t>
        </is>
      </c>
      <c r="O197" s="20" t="inlineStr">
        <is>
          <t>NA</t>
        </is>
      </c>
      <c r="P197" s="20" t="inlineStr">
        <is>
          <t>NA</t>
        </is>
      </c>
      <c r="Q197" s="20" t="inlineStr">
        <is>
          <t>NA</t>
        </is>
      </c>
      <c r="R197" s="20" t="inlineStr">
        <is>
          <t>NA</t>
        </is>
      </c>
      <c r="S197" s="20" t="inlineStr">
        <is>
          <t>NA</t>
        </is>
      </c>
      <c r="T197" s="20" t="inlineStr">
        <is>
          <t>NA</t>
        </is>
      </c>
      <c r="U197" s="20" t="inlineStr">
        <is>
          <t>NA</t>
        </is>
      </c>
      <c r="V197" s="20" t="inlineStr">
        <is>
          <t>NA</t>
        </is>
      </c>
      <c r="W197" s="20" t="inlineStr">
        <is>
          <t>NA</t>
        </is>
      </c>
      <c r="X197" s="20" t="inlineStr">
        <is>
          <t>NA</t>
        </is>
      </c>
      <c r="Y197" s="20" t="inlineStr">
        <is>
          <t>NA</t>
        </is>
      </c>
      <c r="Z197" s="20" t="inlineStr">
        <is>
          <t>NA</t>
        </is>
      </c>
      <c r="AA197" s="20" t="inlineStr">
        <is>
          <t>NA</t>
        </is>
      </c>
      <c r="AB197" s="83" t="n">
        <v>0.17</v>
      </c>
      <c r="AC197" s="28" t="inlineStr">
        <is>
          <t>Met</t>
        </is>
      </c>
      <c r="AD197" s="126" t="inlineStr">
        <is>
          <t>Not Reported</t>
        </is>
      </c>
      <c r="AE197" s="126" t="inlineStr">
        <is>
          <t>Not Reported</t>
        </is>
      </c>
      <c r="AF197" s="126" t="n">
        <v>0.28</v>
      </c>
      <c r="AG197" s="202" t="inlineStr">
        <is>
          <t>Met</t>
        </is>
      </c>
      <c r="AH197" s="285" t="n">
        <v>0</v>
      </c>
      <c r="AI197" s="285" t="inlineStr">
        <is>
          <t>Not Reported</t>
        </is>
      </c>
      <c r="AJ197" s="147" t="inlineStr">
        <is>
          <t>Not Reported</t>
        </is>
      </c>
      <c r="AK197" s="126" t="inlineStr">
        <is>
          <t>Not Reported</t>
        </is>
      </c>
    </row>
    <row r="198">
      <c r="A198" s="26" t="inlineStr">
        <is>
          <t>M&amp;M</t>
        </is>
      </c>
      <c r="B198" s="5" t="inlineStr">
        <is>
          <t>West 1</t>
        </is>
      </c>
      <c r="C198" s="76" t="inlineStr">
        <is>
          <t>Megha</t>
        </is>
      </c>
      <c r="D198" s="26" t="inlineStr">
        <is>
          <t>Rishab</t>
        </is>
      </c>
      <c r="E198" s="26" t="inlineStr">
        <is>
          <t>Category (A)</t>
        </is>
      </c>
      <c r="F198" s="26" t="inlineStr">
        <is>
          <t>Contractual SLA</t>
        </is>
      </c>
      <c r="G198" s="21" t="inlineStr">
        <is>
          <t>No</t>
        </is>
      </c>
      <c r="H198" s="21" t="inlineStr">
        <is>
          <t>Time to Fill (Offer Acceptance) Band - O &amp;M</t>
        </is>
      </c>
      <c r="I198" s="11" t="inlineStr">
        <is>
          <t>85% of the positions closed in 40 days</t>
        </is>
      </c>
      <c r="J198" s="11" t="n">
        <v>0.85</v>
      </c>
      <c r="K198" s="28" t="inlineStr">
        <is>
          <t>Met</t>
        </is>
      </c>
      <c r="L198" s="20" t="n">
        <v>0.819078947368421</v>
      </c>
      <c r="M198" s="28" t="inlineStr">
        <is>
          <t>Not Met</t>
        </is>
      </c>
      <c r="N198" s="28" t="inlineStr">
        <is>
          <t>Not Reported</t>
        </is>
      </c>
      <c r="O198" s="28" t="inlineStr">
        <is>
          <t>Not Reported</t>
        </is>
      </c>
      <c r="P198" s="28" t="inlineStr">
        <is>
          <t>Not Reported</t>
        </is>
      </c>
      <c r="Q198" s="28" t="inlineStr">
        <is>
          <t>Not Reported</t>
        </is>
      </c>
      <c r="R198" s="28" t="inlineStr">
        <is>
          <t>Not Reported</t>
        </is>
      </c>
      <c r="S198" s="28" t="inlineStr">
        <is>
          <t xml:space="preserve">Not Reported </t>
        </is>
      </c>
      <c r="T198" s="28" t="inlineStr">
        <is>
          <t>Not Reported</t>
        </is>
      </c>
      <c r="U198" s="28" t="inlineStr">
        <is>
          <t>Not Reported</t>
        </is>
      </c>
      <c r="V198" s="28" t="inlineStr">
        <is>
          <t>Not Reported</t>
        </is>
      </c>
      <c r="W198" s="28" t="inlineStr">
        <is>
          <t>Not Reported</t>
        </is>
      </c>
      <c r="X198" s="28" t="inlineStr">
        <is>
          <t>Not Reported</t>
        </is>
      </c>
      <c r="Y198" s="28" t="inlineStr">
        <is>
          <t>Not Reported</t>
        </is>
      </c>
      <c r="Z198" s="28" t="inlineStr">
        <is>
          <t>Not Reported</t>
        </is>
      </c>
      <c r="AA198" s="28" t="inlineStr">
        <is>
          <t>Not Reported</t>
        </is>
      </c>
      <c r="AB198" s="97" t="inlineStr">
        <is>
          <t>Not Reported</t>
        </is>
      </c>
      <c r="AC198" s="90" t="inlineStr">
        <is>
          <t>Not Reported</t>
        </is>
      </c>
      <c r="AD198" s="97" t="inlineStr">
        <is>
          <t>Not Reported</t>
        </is>
      </c>
      <c r="AE198" s="97" t="inlineStr">
        <is>
          <t>Not Reported</t>
        </is>
      </c>
      <c r="AF198" s="102" t="n">
        <v>0.63</v>
      </c>
      <c r="AG198" s="28" t="inlineStr">
        <is>
          <t>Not Met</t>
        </is>
      </c>
      <c r="AH198" s="285" t="n">
        <v>0</v>
      </c>
      <c r="AI198" s="285" t="inlineStr">
        <is>
          <t>Not Reported</t>
        </is>
      </c>
      <c r="AJ198" s="149" t="n">
        <v>0.79</v>
      </c>
      <c r="AK198" s="28" t="inlineStr">
        <is>
          <t>Not Met</t>
        </is>
      </c>
    </row>
    <row r="199">
      <c r="A199" s="26" t="inlineStr">
        <is>
          <t>M&amp;M</t>
        </is>
      </c>
      <c r="B199" s="5" t="inlineStr">
        <is>
          <t>West 1</t>
        </is>
      </c>
      <c r="C199" s="76" t="inlineStr">
        <is>
          <t>Megha</t>
        </is>
      </c>
      <c r="D199" s="26" t="inlineStr">
        <is>
          <t>Rishab</t>
        </is>
      </c>
      <c r="E199" s="26" t="inlineStr">
        <is>
          <t>Category (A)</t>
        </is>
      </c>
      <c r="F199" s="21" t="inlineStr">
        <is>
          <t>Internal KPI</t>
        </is>
      </c>
      <c r="G199" s="21" t="inlineStr">
        <is>
          <t>No</t>
        </is>
      </c>
      <c r="H199" s="27" t="inlineStr">
        <is>
          <t>Time to Fill</t>
        </is>
      </c>
      <c r="I199" s="11" t="inlineStr">
        <is>
          <t>Band - O (85% of the positions closed in 35 days)</t>
        </is>
      </c>
      <c r="J199" s="11" t="n">
        <v>0.86</v>
      </c>
      <c r="K199" s="28" t="inlineStr">
        <is>
          <t>Met</t>
        </is>
      </c>
      <c r="L199" s="20" t="n">
        <v>0.8048780487804879</v>
      </c>
      <c r="M199" s="28" t="inlineStr">
        <is>
          <t>Not Met</t>
        </is>
      </c>
      <c r="N199" s="28" t="inlineStr">
        <is>
          <t>Not Reported</t>
        </is>
      </c>
      <c r="O199" s="28" t="inlineStr">
        <is>
          <t>Not Reported</t>
        </is>
      </c>
      <c r="P199" s="28" t="inlineStr">
        <is>
          <t>Not Reported</t>
        </is>
      </c>
      <c r="Q199" s="28" t="inlineStr">
        <is>
          <t>Not Reported</t>
        </is>
      </c>
      <c r="R199" s="28" t="inlineStr">
        <is>
          <t>Not Reported</t>
        </is>
      </c>
      <c r="S199" s="28" t="inlineStr">
        <is>
          <t xml:space="preserve">Not Reported </t>
        </is>
      </c>
      <c r="T199" s="28" t="inlineStr">
        <is>
          <t>Not Reported</t>
        </is>
      </c>
      <c r="U199" s="28" t="inlineStr">
        <is>
          <t>Not Reported</t>
        </is>
      </c>
      <c r="V199" s="28" t="inlineStr">
        <is>
          <t>Not Reported</t>
        </is>
      </c>
      <c r="W199" s="28" t="inlineStr">
        <is>
          <t>Not Reported</t>
        </is>
      </c>
      <c r="X199" s="28" t="inlineStr">
        <is>
          <t>Not Reported</t>
        </is>
      </c>
      <c r="Y199" s="28" t="inlineStr">
        <is>
          <t>Not Reported</t>
        </is>
      </c>
      <c r="Z199" s="28" t="inlineStr">
        <is>
          <t>Not Reported</t>
        </is>
      </c>
      <c r="AA199" s="28" t="inlineStr">
        <is>
          <t>Not Reported</t>
        </is>
      </c>
      <c r="AB199" s="97" t="inlineStr">
        <is>
          <t>Not Reported</t>
        </is>
      </c>
      <c r="AC199" s="90" t="inlineStr">
        <is>
          <t>Not Reported</t>
        </is>
      </c>
      <c r="AD199" s="97" t="inlineStr">
        <is>
          <t>Not Reported</t>
        </is>
      </c>
      <c r="AE199" s="97" t="inlineStr">
        <is>
          <t>Not Reported</t>
        </is>
      </c>
      <c r="AF199" s="102" t="n">
        <v>0.63</v>
      </c>
      <c r="AG199" s="28" t="inlineStr">
        <is>
          <t>Not Met</t>
        </is>
      </c>
      <c r="AH199" s="285" t="n">
        <v>0</v>
      </c>
      <c r="AI199" s="285" t="inlineStr">
        <is>
          <t>Not Reported</t>
        </is>
      </c>
      <c r="AJ199" s="149" t="n">
        <v>0.77</v>
      </c>
      <c r="AK199" s="28" t="inlineStr">
        <is>
          <t>Not Met</t>
        </is>
      </c>
    </row>
    <row r="200">
      <c r="A200" s="26" t="inlineStr">
        <is>
          <t>M&amp;M</t>
        </is>
      </c>
      <c r="B200" s="5" t="inlineStr">
        <is>
          <t>West 1</t>
        </is>
      </c>
      <c r="C200" s="76" t="inlineStr">
        <is>
          <t>Megha</t>
        </is>
      </c>
      <c r="D200" s="26" t="inlineStr">
        <is>
          <t>Rishab</t>
        </is>
      </c>
      <c r="E200" s="26" t="inlineStr">
        <is>
          <t>Category (A)</t>
        </is>
      </c>
      <c r="F200" s="21" t="inlineStr">
        <is>
          <t>Internal KPI</t>
        </is>
      </c>
      <c r="G200" s="21" t="inlineStr">
        <is>
          <t>No</t>
        </is>
      </c>
      <c r="H200" s="27" t="inlineStr">
        <is>
          <t>Time to Fill</t>
        </is>
      </c>
      <c r="I200" s="11" t="inlineStr">
        <is>
          <t>Band - M (85% of the positions closed in 45 days)</t>
        </is>
      </c>
      <c r="J200" s="11" t="n">
        <v>0.83</v>
      </c>
      <c r="K200" s="28" t="inlineStr">
        <is>
          <t>Not Met</t>
        </is>
      </c>
      <c r="L200" s="20" t="n">
        <v>0.7474747474747475</v>
      </c>
      <c r="M200" s="28" t="inlineStr">
        <is>
          <t>Not Met</t>
        </is>
      </c>
      <c r="N200" s="28" t="inlineStr">
        <is>
          <t>Not Reported</t>
        </is>
      </c>
      <c r="O200" s="28" t="inlineStr">
        <is>
          <t>Not Reported</t>
        </is>
      </c>
      <c r="P200" s="28" t="inlineStr">
        <is>
          <t>Not Reported</t>
        </is>
      </c>
      <c r="Q200" s="28" t="inlineStr">
        <is>
          <t>Not Reported</t>
        </is>
      </c>
      <c r="R200" s="28" t="inlineStr">
        <is>
          <t>Not Reported</t>
        </is>
      </c>
      <c r="S200" s="28" t="inlineStr">
        <is>
          <t xml:space="preserve">Not Reported </t>
        </is>
      </c>
      <c r="T200" s="28" t="inlineStr">
        <is>
          <t>Not Reported</t>
        </is>
      </c>
      <c r="U200" s="28" t="inlineStr">
        <is>
          <t>Not Reported</t>
        </is>
      </c>
      <c r="V200" s="28" t="inlineStr">
        <is>
          <t>Not Reported</t>
        </is>
      </c>
      <c r="W200" s="28" t="inlineStr">
        <is>
          <t>Not Reported</t>
        </is>
      </c>
      <c r="X200" s="28" t="inlineStr">
        <is>
          <t>Not Reported</t>
        </is>
      </c>
      <c r="Y200" s="28" t="inlineStr">
        <is>
          <t>Not Reported</t>
        </is>
      </c>
      <c r="Z200" s="28" t="inlineStr">
        <is>
          <t>Not Reported</t>
        </is>
      </c>
      <c r="AA200" s="28" t="inlineStr">
        <is>
          <t>Not Reported</t>
        </is>
      </c>
      <c r="AB200" s="97" t="inlineStr">
        <is>
          <t>Not Reported</t>
        </is>
      </c>
      <c r="AC200" s="90" t="inlineStr">
        <is>
          <t>Not Reported</t>
        </is>
      </c>
      <c r="AD200" s="97" t="inlineStr">
        <is>
          <t>Not Reported</t>
        </is>
      </c>
      <c r="AE200" s="97" t="inlineStr">
        <is>
          <t>Not Reported</t>
        </is>
      </c>
      <c r="AF200" s="102" t="n">
        <v>0.6</v>
      </c>
      <c r="AG200" s="28" t="inlineStr">
        <is>
          <t>Not Met</t>
        </is>
      </c>
      <c r="AH200" s="285" t="n">
        <v>0</v>
      </c>
      <c r="AI200" s="285" t="inlineStr">
        <is>
          <t>Not Reported</t>
        </is>
      </c>
      <c r="AJ200" s="149" t="n">
        <v>0.78</v>
      </c>
      <c r="AK200" s="28" t="inlineStr">
        <is>
          <t>Not Met</t>
        </is>
      </c>
    </row>
    <row r="201">
      <c r="A201" s="26" t="inlineStr">
        <is>
          <t>M&amp;M</t>
        </is>
      </c>
      <c r="B201" s="5" t="inlineStr">
        <is>
          <t>West 1</t>
        </is>
      </c>
      <c r="C201" s="76" t="inlineStr">
        <is>
          <t>Megha</t>
        </is>
      </c>
      <c r="D201" s="26" t="inlineStr">
        <is>
          <t>Rishab</t>
        </is>
      </c>
      <c r="E201" s="26" t="inlineStr">
        <is>
          <t>Category (A)</t>
        </is>
      </c>
      <c r="F201" s="26" t="inlineStr">
        <is>
          <t>Contractual SLA</t>
        </is>
      </c>
      <c r="G201" s="21" t="inlineStr">
        <is>
          <t>No</t>
        </is>
      </c>
      <c r="H201" s="21" t="inlineStr">
        <is>
          <t>Time to Fill</t>
        </is>
      </c>
      <c r="I201" s="11" t="inlineStr">
        <is>
          <t>Band - DH &amp; Above (85% of the positions closed in 55 days)</t>
        </is>
      </c>
      <c r="J201" s="11" t="n">
        <v>0.67</v>
      </c>
      <c r="K201" s="28" t="inlineStr">
        <is>
          <t>Not Met</t>
        </is>
      </c>
      <c r="L201" s="20" t="n">
        <v>0.5</v>
      </c>
      <c r="M201" s="28" t="inlineStr">
        <is>
          <t>Not Met</t>
        </is>
      </c>
      <c r="N201" s="28" t="inlineStr">
        <is>
          <t>Not Reported</t>
        </is>
      </c>
      <c r="O201" s="28" t="inlineStr">
        <is>
          <t>Not Reported</t>
        </is>
      </c>
      <c r="P201" s="28" t="inlineStr">
        <is>
          <t>Not Reported</t>
        </is>
      </c>
      <c r="Q201" s="28" t="inlineStr">
        <is>
          <t>Not Reported</t>
        </is>
      </c>
      <c r="R201" s="28" t="inlineStr">
        <is>
          <t>Not Reported</t>
        </is>
      </c>
      <c r="S201" s="28" t="inlineStr">
        <is>
          <t xml:space="preserve">Not Reported </t>
        </is>
      </c>
      <c r="T201" s="28" t="inlineStr">
        <is>
          <t>Not Reported</t>
        </is>
      </c>
      <c r="U201" s="28" t="inlineStr">
        <is>
          <t>Not Reported</t>
        </is>
      </c>
      <c r="V201" s="28" t="inlineStr">
        <is>
          <t>Not Reported</t>
        </is>
      </c>
      <c r="W201" s="28" t="inlineStr">
        <is>
          <t>Not Reported</t>
        </is>
      </c>
      <c r="X201" s="28" t="inlineStr">
        <is>
          <t>Not Reported</t>
        </is>
      </c>
      <c r="Y201" s="28" t="inlineStr">
        <is>
          <t>Not Reported</t>
        </is>
      </c>
      <c r="Z201" s="28" t="inlineStr">
        <is>
          <t>Not Reported</t>
        </is>
      </c>
      <c r="AA201" s="28" t="inlineStr">
        <is>
          <t>Not Reported</t>
        </is>
      </c>
      <c r="AB201" s="97" t="inlineStr">
        <is>
          <t>Not Reported</t>
        </is>
      </c>
      <c r="AC201" s="90" t="inlineStr">
        <is>
          <t>Not Reported</t>
        </is>
      </c>
      <c r="AD201" s="97" t="inlineStr">
        <is>
          <t>Not Reported</t>
        </is>
      </c>
      <c r="AE201" s="97" t="inlineStr">
        <is>
          <t>Not Reported</t>
        </is>
      </c>
      <c r="AF201" s="102" t="n">
        <v>0.75</v>
      </c>
      <c r="AG201" s="28" t="inlineStr">
        <is>
          <t>Not Met</t>
        </is>
      </c>
      <c r="AH201" s="285" t="n">
        <v>0</v>
      </c>
      <c r="AI201" s="285" t="inlineStr">
        <is>
          <t>Not Reported</t>
        </is>
      </c>
      <c r="AJ201" s="149" t="n">
        <v>0.61</v>
      </c>
      <c r="AK201" s="28" t="inlineStr">
        <is>
          <t>Not Met</t>
        </is>
      </c>
    </row>
    <row r="202">
      <c r="A202" s="26" t="inlineStr">
        <is>
          <t>M&amp;M</t>
        </is>
      </c>
      <c r="B202" s="5" t="inlineStr">
        <is>
          <t>West 1</t>
        </is>
      </c>
      <c r="C202" s="76" t="inlineStr">
        <is>
          <t>Megha</t>
        </is>
      </c>
      <c r="D202" s="26" t="inlineStr">
        <is>
          <t>Rishab</t>
        </is>
      </c>
      <c r="E202" s="26" t="inlineStr">
        <is>
          <t>Category (A)</t>
        </is>
      </c>
      <c r="F202" s="21" t="inlineStr">
        <is>
          <t>Internal KPI</t>
        </is>
      </c>
      <c r="G202" s="21" t="inlineStr">
        <is>
          <t>No</t>
        </is>
      </c>
      <c r="H202" s="21" t="inlineStr">
        <is>
          <t>Hit Ratio</t>
        </is>
      </c>
      <c r="I202" s="30" t="inlineStr">
        <is>
          <t>1:06</t>
        </is>
      </c>
      <c r="J202" s="16" t="n">
        <v>0.04513888888888889</v>
      </c>
      <c r="K202" s="28" t="inlineStr">
        <is>
          <t>Met</t>
        </is>
      </c>
      <c r="L202" s="16" t="n">
        <v>0.04513888888888889</v>
      </c>
      <c r="M202" s="28" t="inlineStr">
        <is>
          <t>Met</t>
        </is>
      </c>
      <c r="N202" s="28" t="inlineStr">
        <is>
          <t>Not Reported</t>
        </is>
      </c>
      <c r="O202" s="28" t="inlineStr">
        <is>
          <t>Not Reported</t>
        </is>
      </c>
      <c r="P202" s="28" t="inlineStr">
        <is>
          <t>Not Reported</t>
        </is>
      </c>
      <c r="Q202" s="28" t="inlineStr">
        <is>
          <t>Not Reported</t>
        </is>
      </c>
      <c r="R202" s="28" t="inlineStr">
        <is>
          <t>Not Reported</t>
        </is>
      </c>
      <c r="S202" s="28" t="inlineStr">
        <is>
          <t xml:space="preserve">Not Reported </t>
        </is>
      </c>
      <c r="T202" s="28" t="inlineStr">
        <is>
          <t>Not Reported</t>
        </is>
      </c>
      <c r="U202" s="28" t="inlineStr">
        <is>
          <t>Not Reported</t>
        </is>
      </c>
      <c r="V202" s="28" t="inlineStr">
        <is>
          <t>Not Reported</t>
        </is>
      </c>
      <c r="W202" s="28" t="inlineStr">
        <is>
          <t>Not Reported</t>
        </is>
      </c>
      <c r="X202" s="28" t="inlineStr">
        <is>
          <t>Not Reported</t>
        </is>
      </c>
      <c r="Y202" s="28" t="inlineStr">
        <is>
          <t>Not Reported</t>
        </is>
      </c>
      <c r="Z202" s="28" t="inlineStr">
        <is>
          <t>Not Reported</t>
        </is>
      </c>
      <c r="AA202" s="28" t="inlineStr">
        <is>
          <t>Not Reported</t>
        </is>
      </c>
      <c r="AB202" s="97" t="inlineStr">
        <is>
          <t>Not Reported</t>
        </is>
      </c>
      <c r="AC202" s="90" t="inlineStr">
        <is>
          <t>Not Reported</t>
        </is>
      </c>
      <c r="AD202" s="97" t="inlineStr">
        <is>
          <t>Not Reported</t>
        </is>
      </c>
      <c r="AE202" s="127" t="inlineStr">
        <is>
          <t>Not Reported</t>
        </is>
      </c>
      <c r="AF202" s="105" t="n">
        <v>0.04791666666666667</v>
      </c>
      <c r="AG202" s="202" t="inlineStr">
        <is>
          <t>Met</t>
        </is>
      </c>
      <c r="AH202" s="285" t="n">
        <v>0</v>
      </c>
      <c r="AI202" s="285" t="inlineStr">
        <is>
          <t>Not Reported</t>
        </is>
      </c>
      <c r="AJ202" s="141" t="n">
        <v>0.04791666666666667</v>
      </c>
      <c r="AK202" s="202" t="inlineStr">
        <is>
          <t>Met</t>
        </is>
      </c>
    </row>
    <row r="203">
      <c r="A203" s="26" t="inlineStr">
        <is>
          <t>M&amp;M</t>
        </is>
      </c>
      <c r="B203" s="5" t="inlineStr">
        <is>
          <t>West 1</t>
        </is>
      </c>
      <c r="C203" s="76" t="inlineStr">
        <is>
          <t>Megha</t>
        </is>
      </c>
      <c r="D203" s="26" t="inlineStr">
        <is>
          <t>Rishab</t>
        </is>
      </c>
      <c r="E203" s="26" t="inlineStr">
        <is>
          <t>Category (A)</t>
        </is>
      </c>
      <c r="F203" s="26" t="inlineStr">
        <is>
          <t>Contractual SLA</t>
        </is>
      </c>
      <c r="G203" s="21" t="inlineStr">
        <is>
          <t>No</t>
        </is>
      </c>
      <c r="H203" s="21" t="inlineStr">
        <is>
          <t>Source Mix</t>
        </is>
      </c>
      <c r="I203" s="11" t="inlineStr">
        <is>
          <t>50% Non-Paid</t>
        </is>
      </c>
      <c r="J203" s="11" t="n">
        <v>0.5600000000000001</v>
      </c>
      <c r="K203" s="28" t="inlineStr">
        <is>
          <t>Met</t>
        </is>
      </c>
      <c r="L203" s="11" t="n">
        <v>0.46</v>
      </c>
      <c r="M203" s="28" t="inlineStr">
        <is>
          <t>Not Met</t>
        </is>
      </c>
      <c r="N203" s="28" t="inlineStr">
        <is>
          <t>Not Reported</t>
        </is>
      </c>
      <c r="O203" s="28" t="inlineStr">
        <is>
          <t>Not Reported</t>
        </is>
      </c>
      <c r="P203" s="28" t="inlineStr">
        <is>
          <t>Not Reported</t>
        </is>
      </c>
      <c r="Q203" s="28" t="inlineStr">
        <is>
          <t>Not Reported</t>
        </is>
      </c>
      <c r="R203" s="28" t="inlineStr">
        <is>
          <t>Not Reported</t>
        </is>
      </c>
      <c r="S203" s="28" t="inlineStr">
        <is>
          <t xml:space="preserve">Not Reported </t>
        </is>
      </c>
      <c r="T203" s="28" t="inlineStr">
        <is>
          <t>Not Reported</t>
        </is>
      </c>
      <c r="U203" s="28" t="inlineStr">
        <is>
          <t>Not Reported</t>
        </is>
      </c>
      <c r="V203" s="28" t="inlineStr">
        <is>
          <t>Not Reported</t>
        </is>
      </c>
      <c r="W203" s="28" t="inlineStr">
        <is>
          <t>Not Reported</t>
        </is>
      </c>
      <c r="X203" s="28" t="inlineStr">
        <is>
          <t>Not Reported</t>
        </is>
      </c>
      <c r="Y203" s="28" t="inlineStr">
        <is>
          <t>Not Reported</t>
        </is>
      </c>
      <c r="Z203" s="28" t="inlineStr">
        <is>
          <t>Not Reported</t>
        </is>
      </c>
      <c r="AA203" s="28" t="inlineStr">
        <is>
          <t>Not Reported</t>
        </is>
      </c>
      <c r="AB203" s="97" t="inlineStr">
        <is>
          <t>Not Reported</t>
        </is>
      </c>
      <c r="AC203" s="90" t="inlineStr">
        <is>
          <t>Not Reported</t>
        </is>
      </c>
      <c r="AD203" s="97" t="inlineStr">
        <is>
          <t>Not Reported</t>
        </is>
      </c>
      <c r="AE203" s="97" t="inlineStr">
        <is>
          <t>Not Reported</t>
        </is>
      </c>
      <c r="AF203" s="102" t="n">
        <v>0.07000000000000001</v>
      </c>
      <c r="AG203" s="28" t="inlineStr">
        <is>
          <t>Not Met</t>
        </is>
      </c>
      <c r="AH203" s="285" t="n">
        <v>0</v>
      </c>
      <c r="AI203" s="285" t="inlineStr">
        <is>
          <t>Not Reported</t>
        </is>
      </c>
      <c r="AJ203" s="135" t="n">
        <v>0.23</v>
      </c>
      <c r="AK203" s="28" t="inlineStr">
        <is>
          <t>Not Met</t>
        </is>
      </c>
    </row>
    <row r="204">
      <c r="A204" s="26" t="inlineStr">
        <is>
          <t>M&amp;M</t>
        </is>
      </c>
      <c r="B204" s="5" t="inlineStr">
        <is>
          <t>West 1</t>
        </is>
      </c>
      <c r="C204" s="76" t="inlineStr">
        <is>
          <t>Megha</t>
        </is>
      </c>
      <c r="D204" s="26" t="inlineStr">
        <is>
          <t>Rishab</t>
        </is>
      </c>
      <c r="E204" s="26" t="inlineStr">
        <is>
          <t>Category (A)</t>
        </is>
      </c>
      <c r="F204" s="26" t="inlineStr">
        <is>
          <t>Contractual SLA</t>
        </is>
      </c>
      <c r="G204" s="21" t="inlineStr">
        <is>
          <t>No</t>
        </is>
      </c>
      <c r="H204" s="21" t="inlineStr">
        <is>
          <t>Satisfaction Survey</t>
        </is>
      </c>
      <c r="I204" s="11" t="inlineStr">
        <is>
          <t>75% (3.5 on 5 point scale)
Participation Benchmark: 30%</t>
        </is>
      </c>
      <c r="J204" s="28" t="inlineStr">
        <is>
          <t xml:space="preserve">NA </t>
        </is>
      </c>
      <c r="K204" s="28" t="inlineStr">
        <is>
          <t xml:space="preserve">NA </t>
        </is>
      </c>
      <c r="L204" s="20" t="inlineStr">
        <is>
          <t>NA</t>
        </is>
      </c>
      <c r="M204" s="20" t="inlineStr">
        <is>
          <t>NA</t>
        </is>
      </c>
      <c r="N204" s="28" t="inlineStr">
        <is>
          <t>Not Reported</t>
        </is>
      </c>
      <c r="O204" s="28" t="inlineStr">
        <is>
          <t>Not Reported</t>
        </is>
      </c>
      <c r="P204" s="28" t="inlineStr">
        <is>
          <t>Not Reported</t>
        </is>
      </c>
      <c r="Q204" s="28" t="inlineStr">
        <is>
          <t>Not Reported</t>
        </is>
      </c>
      <c r="R204" s="28" t="inlineStr">
        <is>
          <t>Not Reported</t>
        </is>
      </c>
      <c r="S204" s="28" t="inlineStr">
        <is>
          <t xml:space="preserve">Not Reported </t>
        </is>
      </c>
      <c r="T204" s="28" t="inlineStr">
        <is>
          <t>Not Reported</t>
        </is>
      </c>
      <c r="U204" s="28" t="inlineStr">
        <is>
          <t>Not Reported</t>
        </is>
      </c>
      <c r="V204" s="28" t="inlineStr">
        <is>
          <t>Not Reported</t>
        </is>
      </c>
      <c r="W204" s="28" t="inlineStr">
        <is>
          <t>Not Reported</t>
        </is>
      </c>
      <c r="X204" s="28" t="inlineStr">
        <is>
          <t>Not Reported</t>
        </is>
      </c>
      <c r="Y204" s="28" t="inlineStr">
        <is>
          <t>Not Reported</t>
        </is>
      </c>
      <c r="Z204" s="28" t="inlineStr">
        <is>
          <t>Not Reported</t>
        </is>
      </c>
      <c r="AA204" s="28" t="inlineStr">
        <is>
          <t>Not Reported</t>
        </is>
      </c>
      <c r="AB204" s="97" t="inlineStr">
        <is>
          <t>Not Reported</t>
        </is>
      </c>
      <c r="AC204" s="90" t="inlineStr">
        <is>
          <t>Not Reported</t>
        </is>
      </c>
      <c r="AD204" s="97" t="inlineStr">
        <is>
          <t>Not Reported</t>
        </is>
      </c>
      <c r="AE204" s="127" t="inlineStr">
        <is>
          <t>Not Reported</t>
        </is>
      </c>
      <c r="AF204" s="149" t="inlineStr">
        <is>
          <t>NA</t>
        </is>
      </c>
      <c r="AG204" s="97" t="inlineStr">
        <is>
          <t>NA</t>
        </is>
      </c>
      <c r="AH204" s="285" t="n">
        <v>0</v>
      </c>
      <c r="AI204" s="285" t="inlineStr">
        <is>
          <t>Not Reported</t>
        </is>
      </c>
      <c r="AJ204" s="149" t="inlineStr">
        <is>
          <t>NA</t>
        </is>
      </c>
      <c r="AK204" s="127" t="inlineStr">
        <is>
          <t>NA</t>
        </is>
      </c>
    </row>
    <row r="205">
      <c r="A205" s="26" t="inlineStr">
        <is>
          <t>M&amp;M</t>
        </is>
      </c>
      <c r="B205" s="5" t="inlineStr">
        <is>
          <t>West 1</t>
        </is>
      </c>
      <c r="C205" s="76" t="inlineStr">
        <is>
          <t>Megha</t>
        </is>
      </c>
      <c r="D205" s="26" t="inlineStr">
        <is>
          <t>Rishab</t>
        </is>
      </c>
      <c r="E205" s="26" t="inlineStr">
        <is>
          <t>Category (A)</t>
        </is>
      </c>
      <c r="F205" s="26" t="inlineStr">
        <is>
          <t>Contractual SLA</t>
        </is>
      </c>
      <c r="G205" s="21" t="inlineStr">
        <is>
          <t>No</t>
        </is>
      </c>
      <c r="H205" s="26" t="inlineStr">
        <is>
          <t>Diversity</t>
        </is>
      </c>
      <c r="I205" s="11" t="n">
        <v>0.15</v>
      </c>
      <c r="J205" s="29" t="n">
        <v>0.15</v>
      </c>
      <c r="K205" s="28" t="inlineStr">
        <is>
          <t>Met</t>
        </is>
      </c>
      <c r="L205" s="11" t="n">
        <v>0.1620111731843575</v>
      </c>
      <c r="M205" s="28" t="inlineStr">
        <is>
          <t>Met</t>
        </is>
      </c>
      <c r="N205" s="28" t="inlineStr">
        <is>
          <t>Not Reported</t>
        </is>
      </c>
      <c r="O205" s="28" t="inlineStr">
        <is>
          <t>Not Reported</t>
        </is>
      </c>
      <c r="P205" s="28" t="inlineStr">
        <is>
          <t>Not Reported</t>
        </is>
      </c>
      <c r="Q205" s="28" t="inlineStr">
        <is>
          <t>Not Reported</t>
        </is>
      </c>
      <c r="R205" s="28" t="inlineStr">
        <is>
          <t>Not Reported</t>
        </is>
      </c>
      <c r="S205" s="28" t="inlineStr">
        <is>
          <t xml:space="preserve">Not Reported </t>
        </is>
      </c>
      <c r="T205" s="28" t="inlineStr">
        <is>
          <t>Not Reported</t>
        </is>
      </c>
      <c r="U205" s="28" t="inlineStr">
        <is>
          <t>Not Reported</t>
        </is>
      </c>
      <c r="V205" s="28" t="inlineStr">
        <is>
          <t>Not Reported</t>
        </is>
      </c>
      <c r="W205" s="28" t="inlineStr">
        <is>
          <t>Not Reported</t>
        </is>
      </c>
      <c r="X205" s="28" t="inlineStr">
        <is>
          <t>Not Reported</t>
        </is>
      </c>
      <c r="Y205" s="28" t="inlineStr">
        <is>
          <t>Not Reported</t>
        </is>
      </c>
      <c r="Z205" s="28" t="inlineStr">
        <is>
          <t>Not Reported</t>
        </is>
      </c>
      <c r="AA205" s="28" t="inlineStr">
        <is>
          <t>Not Reported</t>
        </is>
      </c>
      <c r="AB205" s="97" t="inlineStr">
        <is>
          <t>Not Reported</t>
        </is>
      </c>
      <c r="AC205" s="90" t="inlineStr">
        <is>
          <t>Not Reported</t>
        </is>
      </c>
      <c r="AD205" s="97" t="inlineStr">
        <is>
          <t>Not Reported</t>
        </is>
      </c>
      <c r="AE205" s="97" t="inlineStr">
        <is>
          <t>Not Reported</t>
        </is>
      </c>
      <c r="AF205" s="102" t="n">
        <v>0.15</v>
      </c>
      <c r="AG205" s="202" t="inlineStr">
        <is>
          <t>Met</t>
        </is>
      </c>
      <c r="AH205" s="285" t="n">
        <v>0</v>
      </c>
      <c r="AI205" s="285" t="inlineStr">
        <is>
          <t>Not Reported</t>
        </is>
      </c>
      <c r="AJ205" s="135" t="n">
        <v>0.1423841059602649</v>
      </c>
      <c r="AK205" s="28" t="inlineStr">
        <is>
          <t>Not Met</t>
        </is>
      </c>
    </row>
    <row r="206">
      <c r="A206" s="26" t="inlineStr">
        <is>
          <t>M&amp;M</t>
        </is>
      </c>
      <c r="B206" s="5" t="inlineStr">
        <is>
          <t>West 1</t>
        </is>
      </c>
      <c r="C206" s="76" t="inlineStr">
        <is>
          <t>Megha</t>
        </is>
      </c>
      <c r="D206" s="26" t="inlineStr">
        <is>
          <t>Rishab</t>
        </is>
      </c>
      <c r="E206" s="26" t="inlineStr">
        <is>
          <t>Category (A)</t>
        </is>
      </c>
      <c r="F206" s="21" t="inlineStr">
        <is>
          <t>Internal KPI</t>
        </is>
      </c>
      <c r="G206" s="21" t="inlineStr">
        <is>
          <t>No</t>
        </is>
      </c>
      <c r="H206" s="21" t="inlineStr">
        <is>
          <t>Offer Drop</t>
        </is>
      </c>
      <c r="I206" s="11" t="n">
        <v>0.15</v>
      </c>
      <c r="J206" s="29" t="n">
        <v>0.02</v>
      </c>
      <c r="K206" s="28" t="inlineStr">
        <is>
          <t>Met</t>
        </is>
      </c>
      <c r="L206" s="11" t="n">
        <v>0.08</v>
      </c>
      <c r="M206" s="28" t="inlineStr">
        <is>
          <t>Not Met</t>
        </is>
      </c>
      <c r="N206" s="28" t="inlineStr">
        <is>
          <t>Not Reported</t>
        </is>
      </c>
      <c r="O206" s="28" t="inlineStr">
        <is>
          <t>Not Reported</t>
        </is>
      </c>
      <c r="P206" s="28" t="inlineStr">
        <is>
          <t>Not Reported</t>
        </is>
      </c>
      <c r="Q206" s="28" t="inlineStr">
        <is>
          <t>Not Reported</t>
        </is>
      </c>
      <c r="R206" s="28" t="inlineStr">
        <is>
          <t>Not Reported</t>
        </is>
      </c>
      <c r="S206" s="28" t="inlineStr">
        <is>
          <t xml:space="preserve">Not Reported </t>
        </is>
      </c>
      <c r="T206" s="28" t="inlineStr">
        <is>
          <t>Not Reported</t>
        </is>
      </c>
      <c r="U206" s="28" t="inlineStr">
        <is>
          <t>Not Reported</t>
        </is>
      </c>
      <c r="V206" s="28" t="inlineStr">
        <is>
          <t>Not Reported</t>
        </is>
      </c>
      <c r="W206" s="28" t="inlineStr">
        <is>
          <t>Not Reported</t>
        </is>
      </c>
      <c r="X206" s="28" t="inlineStr">
        <is>
          <t>Not Reported</t>
        </is>
      </c>
      <c r="Y206" s="28" t="inlineStr">
        <is>
          <t>Not Reported</t>
        </is>
      </c>
      <c r="Z206" s="28" t="inlineStr">
        <is>
          <t>Not Reported</t>
        </is>
      </c>
      <c r="AA206" s="28" t="inlineStr">
        <is>
          <t>Not Reported</t>
        </is>
      </c>
      <c r="AB206" s="97" t="inlineStr">
        <is>
          <t>Not Reported</t>
        </is>
      </c>
      <c r="AC206" s="90" t="inlineStr">
        <is>
          <t>Not Reported</t>
        </is>
      </c>
      <c r="AD206" s="97" t="inlineStr">
        <is>
          <t>Not Reported</t>
        </is>
      </c>
      <c r="AE206" s="126" t="inlineStr">
        <is>
          <t>Not Reported</t>
        </is>
      </c>
      <c r="AF206" s="102" t="n">
        <v>0.03</v>
      </c>
      <c r="AG206" s="202" t="inlineStr">
        <is>
          <t>Met</t>
        </is>
      </c>
      <c r="AH206" s="285" t="n">
        <v>0</v>
      </c>
      <c r="AI206" s="285" t="inlineStr">
        <is>
          <t>Not Reported</t>
        </is>
      </c>
      <c r="AJ206" s="135" t="n">
        <v>0.06</v>
      </c>
      <c r="AK206" s="202" t="inlineStr">
        <is>
          <t>Met</t>
        </is>
      </c>
    </row>
    <row r="207">
      <c r="A207" s="26" t="inlineStr">
        <is>
          <t>M&amp;M</t>
        </is>
      </c>
      <c r="B207" s="5" t="inlineStr">
        <is>
          <t>West 1</t>
        </is>
      </c>
      <c r="C207" s="76" t="inlineStr">
        <is>
          <t>Megha</t>
        </is>
      </c>
      <c r="D207" s="26" t="inlineStr">
        <is>
          <t>Rishab</t>
        </is>
      </c>
      <c r="E207" s="26" t="inlineStr">
        <is>
          <t>Category (A)</t>
        </is>
      </c>
      <c r="F207" s="21" t="inlineStr">
        <is>
          <t>Internal KPI</t>
        </is>
      </c>
      <c r="G207" s="21" t="inlineStr">
        <is>
          <t>No</t>
        </is>
      </c>
      <c r="H207" s="21" t="inlineStr">
        <is>
          <t>Ageing</t>
        </is>
      </c>
      <c r="I207" s="11" t="n">
        <v>0.2</v>
      </c>
      <c r="J207" s="29" t="n">
        <v>0.16</v>
      </c>
      <c r="K207" s="28" t="inlineStr">
        <is>
          <t>Met</t>
        </is>
      </c>
      <c r="L207" s="11" t="n">
        <v>0.13</v>
      </c>
      <c r="M207" s="28" t="inlineStr">
        <is>
          <t>Met</t>
        </is>
      </c>
      <c r="N207" s="28" t="inlineStr">
        <is>
          <t>Not Reported</t>
        </is>
      </c>
      <c r="O207" s="28" t="inlineStr">
        <is>
          <t>Not Reported</t>
        </is>
      </c>
      <c r="P207" s="28" t="inlineStr">
        <is>
          <t>Not Reported</t>
        </is>
      </c>
      <c r="Q207" s="28" t="inlineStr">
        <is>
          <t>Not Reported</t>
        </is>
      </c>
      <c r="R207" s="28" t="inlineStr">
        <is>
          <t>Not Reported</t>
        </is>
      </c>
      <c r="S207" s="28" t="inlineStr">
        <is>
          <t xml:space="preserve">Not Reported </t>
        </is>
      </c>
      <c r="T207" s="28" t="inlineStr">
        <is>
          <t>Not Reported</t>
        </is>
      </c>
      <c r="U207" s="28" t="inlineStr">
        <is>
          <t>Not Reported</t>
        </is>
      </c>
      <c r="V207" s="28" t="inlineStr">
        <is>
          <t>Not Reported</t>
        </is>
      </c>
      <c r="W207" s="28" t="inlineStr">
        <is>
          <t>Not Reported</t>
        </is>
      </c>
      <c r="X207" s="28" t="inlineStr">
        <is>
          <t>Not Reported</t>
        </is>
      </c>
      <c r="Y207" s="28" t="inlineStr">
        <is>
          <t>Not Reported</t>
        </is>
      </c>
      <c r="Z207" s="28" t="inlineStr">
        <is>
          <t>Not Reported</t>
        </is>
      </c>
      <c r="AA207" s="28" t="inlineStr">
        <is>
          <t>Not Reported</t>
        </is>
      </c>
      <c r="AB207" s="97" t="inlineStr">
        <is>
          <t>Not Reported</t>
        </is>
      </c>
      <c r="AC207" s="90" t="inlineStr">
        <is>
          <t>Not Reported</t>
        </is>
      </c>
      <c r="AD207" s="97" t="inlineStr">
        <is>
          <t>Not Reported</t>
        </is>
      </c>
      <c r="AE207" s="127" t="inlineStr">
        <is>
          <t>Not Reported</t>
        </is>
      </c>
      <c r="AF207" s="102" t="n">
        <v>0.1</v>
      </c>
      <c r="AG207" s="202" t="inlineStr">
        <is>
          <t>Met</t>
        </is>
      </c>
      <c r="AH207" s="285" t="n">
        <v>0</v>
      </c>
      <c r="AI207" s="285" t="inlineStr">
        <is>
          <t>Not Reported</t>
        </is>
      </c>
      <c r="AJ207" s="135" t="n">
        <v>0.1</v>
      </c>
      <c r="AK207" s="202" t="inlineStr">
        <is>
          <t>Met</t>
        </is>
      </c>
    </row>
    <row r="208">
      <c r="A208" s="26" t="inlineStr">
        <is>
          <t>M&amp;M</t>
        </is>
      </c>
      <c r="B208" s="5" t="inlineStr">
        <is>
          <t>West 1</t>
        </is>
      </c>
      <c r="C208" s="76" t="inlineStr">
        <is>
          <t>Megha</t>
        </is>
      </c>
      <c r="D208" s="26" t="inlineStr">
        <is>
          <t>Rishab</t>
        </is>
      </c>
      <c r="E208" s="26" t="inlineStr">
        <is>
          <t>Category (A)</t>
        </is>
      </c>
      <c r="F208" s="21" t="inlineStr">
        <is>
          <t>Internal KPI</t>
        </is>
      </c>
      <c r="G208" s="21" t="inlineStr">
        <is>
          <t>No</t>
        </is>
      </c>
      <c r="H208" s="27" t="inlineStr">
        <is>
          <t>Time to Hire</t>
        </is>
      </c>
      <c r="I208" s="20" t="inlineStr">
        <is>
          <t xml:space="preserve">90 Days </t>
        </is>
      </c>
      <c r="J208" s="28" t="inlineStr">
        <is>
          <t xml:space="preserve">64 Days </t>
        </is>
      </c>
      <c r="K208" s="28" t="inlineStr">
        <is>
          <t>Met</t>
        </is>
      </c>
      <c r="L208" s="14" t="inlineStr">
        <is>
          <t xml:space="preserve">82 Days </t>
        </is>
      </c>
      <c r="M208" s="28" t="inlineStr">
        <is>
          <t>Met</t>
        </is>
      </c>
      <c r="N208" s="28" t="inlineStr">
        <is>
          <t>Not Reported</t>
        </is>
      </c>
      <c r="O208" s="28" t="inlineStr">
        <is>
          <t>Not Reported</t>
        </is>
      </c>
      <c r="P208" s="28" t="inlineStr">
        <is>
          <t>Not Reported</t>
        </is>
      </c>
      <c r="Q208" s="28" t="inlineStr">
        <is>
          <t>Not Reported</t>
        </is>
      </c>
      <c r="R208" s="28" t="inlineStr">
        <is>
          <t>Not Reported</t>
        </is>
      </c>
      <c r="S208" s="28" t="inlineStr">
        <is>
          <t xml:space="preserve">Not Reported </t>
        </is>
      </c>
      <c r="T208" s="28" t="inlineStr">
        <is>
          <t>Not Reported</t>
        </is>
      </c>
      <c r="U208" s="28" t="inlineStr">
        <is>
          <t>Not Reported</t>
        </is>
      </c>
      <c r="V208" s="28" t="inlineStr">
        <is>
          <t>Not Reported</t>
        </is>
      </c>
      <c r="W208" s="28" t="inlineStr">
        <is>
          <t>Not Reported</t>
        </is>
      </c>
      <c r="X208" s="28" t="inlineStr">
        <is>
          <t>Not Reported</t>
        </is>
      </c>
      <c r="Y208" s="28" t="inlineStr">
        <is>
          <t>Not Reported</t>
        </is>
      </c>
      <c r="Z208" s="28" t="inlineStr">
        <is>
          <t>Not Reported</t>
        </is>
      </c>
      <c r="AA208" s="28" t="inlineStr">
        <is>
          <t>Not Reported</t>
        </is>
      </c>
      <c r="AB208" s="97" t="inlineStr">
        <is>
          <t>Not Reported</t>
        </is>
      </c>
      <c r="AC208" s="90" t="inlineStr">
        <is>
          <t>Not Reported</t>
        </is>
      </c>
      <c r="AD208" s="97" t="inlineStr">
        <is>
          <t>Not Reported</t>
        </is>
      </c>
      <c r="AE208" s="97" t="inlineStr">
        <is>
          <t>Not Reported</t>
        </is>
      </c>
      <c r="AF208" s="95" t="n">
        <v>129</v>
      </c>
      <c r="AG208" s="28" t="inlineStr">
        <is>
          <t>Not Met</t>
        </is>
      </c>
      <c r="AH208" s="285" t="n">
        <v>0</v>
      </c>
      <c r="AI208" s="285" t="inlineStr">
        <is>
          <t>Not Reported</t>
        </is>
      </c>
      <c r="AJ208" s="158" t="n">
        <v>97</v>
      </c>
      <c r="AK208" s="28" t="inlineStr">
        <is>
          <t>Not Met</t>
        </is>
      </c>
    </row>
    <row r="209">
      <c r="A209" s="26" t="inlineStr">
        <is>
          <t>M&amp;M</t>
        </is>
      </c>
      <c r="B209" s="5" t="inlineStr">
        <is>
          <t>West 1</t>
        </is>
      </c>
      <c r="C209" s="76" t="inlineStr">
        <is>
          <t>Megha</t>
        </is>
      </c>
      <c r="D209" s="26" t="inlineStr">
        <is>
          <t>Rishab</t>
        </is>
      </c>
      <c r="E209" s="26" t="inlineStr">
        <is>
          <t>Category (A)</t>
        </is>
      </c>
      <c r="F209" s="21" t="inlineStr">
        <is>
          <t>Internal KPI</t>
        </is>
      </c>
      <c r="G209" s="21" t="inlineStr">
        <is>
          <t>No</t>
        </is>
      </c>
      <c r="H209" s="27" t="inlineStr">
        <is>
          <t>Time to Fill</t>
        </is>
      </c>
      <c r="I209" s="20" t="inlineStr">
        <is>
          <t xml:space="preserve">45 Days </t>
        </is>
      </c>
      <c r="J209" s="28" t="inlineStr">
        <is>
          <t xml:space="preserve">32 Days </t>
        </is>
      </c>
      <c r="K209" s="28" t="inlineStr">
        <is>
          <t>Met</t>
        </is>
      </c>
      <c r="L209" s="20" t="inlineStr">
        <is>
          <t xml:space="preserve">32 Days </t>
        </is>
      </c>
      <c r="M209" s="28" t="inlineStr">
        <is>
          <t>Met</t>
        </is>
      </c>
      <c r="N209" s="28" t="inlineStr">
        <is>
          <t>Not Reported</t>
        </is>
      </c>
      <c r="O209" s="28" t="inlineStr">
        <is>
          <t>Not Reported</t>
        </is>
      </c>
      <c r="P209" s="28" t="inlineStr">
        <is>
          <t>Not Reported</t>
        </is>
      </c>
      <c r="Q209" s="28" t="inlineStr">
        <is>
          <t>Not Reported</t>
        </is>
      </c>
      <c r="R209" s="28" t="inlineStr">
        <is>
          <t>Not Reported</t>
        </is>
      </c>
      <c r="S209" s="28" t="inlineStr">
        <is>
          <t xml:space="preserve">Not Reported </t>
        </is>
      </c>
      <c r="T209" s="28" t="inlineStr">
        <is>
          <t>Not Reported</t>
        </is>
      </c>
      <c r="U209" s="28" t="inlineStr">
        <is>
          <t>Not Reported</t>
        </is>
      </c>
      <c r="V209" s="28" t="inlineStr">
        <is>
          <t>Not Reported</t>
        </is>
      </c>
      <c r="W209" s="28" t="inlineStr">
        <is>
          <t>Not Reported</t>
        </is>
      </c>
      <c r="X209" s="28" t="inlineStr">
        <is>
          <t>Not Reported</t>
        </is>
      </c>
      <c r="Y209" s="28" t="inlineStr">
        <is>
          <t>Not Reported</t>
        </is>
      </c>
      <c r="Z209" s="28" t="inlineStr">
        <is>
          <t>Not Reported</t>
        </is>
      </c>
      <c r="AA209" s="28" t="inlineStr">
        <is>
          <t>Not Reported</t>
        </is>
      </c>
      <c r="AB209" s="97" t="inlineStr">
        <is>
          <t>Not Reported</t>
        </is>
      </c>
      <c r="AC209" s="90" t="inlineStr">
        <is>
          <t>Not Reported</t>
        </is>
      </c>
      <c r="AD209" s="97" t="inlineStr">
        <is>
          <t>Not Reported</t>
        </is>
      </c>
      <c r="AE209" s="97" t="inlineStr">
        <is>
          <t>Not Reported</t>
        </is>
      </c>
      <c r="AF209" s="95" t="inlineStr">
        <is>
          <t>Not Reported</t>
        </is>
      </c>
      <c r="AG209" s="149" t="inlineStr">
        <is>
          <t>Not Reported</t>
        </is>
      </c>
      <c r="AH209" s="285" t="n">
        <v>0</v>
      </c>
      <c r="AI209" s="285" t="inlineStr">
        <is>
          <t>Not Reported</t>
        </is>
      </c>
      <c r="AJ209" s="95" t="inlineStr">
        <is>
          <t>Not Reported</t>
        </is>
      </c>
      <c r="AK209" s="97" t="inlineStr">
        <is>
          <t>Not Reported</t>
        </is>
      </c>
    </row>
    <row r="210">
      <c r="A210" s="26" t="inlineStr">
        <is>
          <t>M&amp;M</t>
        </is>
      </c>
      <c r="B210" s="5" t="inlineStr">
        <is>
          <t>West 1</t>
        </is>
      </c>
      <c r="C210" s="76" t="inlineStr">
        <is>
          <t>Megha</t>
        </is>
      </c>
      <c r="D210" s="26" t="inlineStr">
        <is>
          <t>Rishab</t>
        </is>
      </c>
      <c r="E210" s="26" t="inlineStr">
        <is>
          <t>Category (A)</t>
        </is>
      </c>
      <c r="F210" s="21" t="inlineStr">
        <is>
          <t>Internal KPI</t>
        </is>
      </c>
      <c r="G210" s="21" t="inlineStr">
        <is>
          <t>No</t>
        </is>
      </c>
      <c r="H210" s="27" t="inlineStr">
        <is>
          <t>First Time Right Ratio</t>
        </is>
      </c>
      <c r="I210" s="20" t="n">
        <v>0.75</v>
      </c>
      <c r="J210" s="29" t="n">
        <v>0.93</v>
      </c>
      <c r="K210" s="28" t="inlineStr">
        <is>
          <t>Met</t>
        </is>
      </c>
      <c r="L210" s="20" t="n">
        <v>0.6</v>
      </c>
      <c r="M210" s="28" t="inlineStr">
        <is>
          <t>Not Met</t>
        </is>
      </c>
      <c r="N210" s="28" t="inlineStr">
        <is>
          <t>Not Reported</t>
        </is>
      </c>
      <c r="O210" s="28" t="inlineStr">
        <is>
          <t>Not Reported</t>
        </is>
      </c>
      <c r="P210" s="28" t="inlineStr">
        <is>
          <t>Not Reported</t>
        </is>
      </c>
      <c r="Q210" s="28" t="inlineStr">
        <is>
          <t>Not Reported</t>
        </is>
      </c>
      <c r="R210" s="28" t="inlineStr">
        <is>
          <t>Not Reported</t>
        </is>
      </c>
      <c r="S210" s="28" t="inlineStr">
        <is>
          <t xml:space="preserve">Not Reported </t>
        </is>
      </c>
      <c r="T210" s="28" t="inlineStr">
        <is>
          <t>Not Reported</t>
        </is>
      </c>
      <c r="U210" s="28" t="inlineStr">
        <is>
          <t>Not Reported</t>
        </is>
      </c>
      <c r="V210" s="28" t="inlineStr">
        <is>
          <t>Not Reported</t>
        </is>
      </c>
      <c r="W210" s="28" t="inlineStr">
        <is>
          <t>Not Reported</t>
        </is>
      </c>
      <c r="X210" s="28" t="inlineStr">
        <is>
          <t>Not Reported</t>
        </is>
      </c>
      <c r="Y210" s="28" t="inlineStr">
        <is>
          <t>Not Reported</t>
        </is>
      </c>
      <c r="Z210" s="28" t="inlineStr">
        <is>
          <t>Not Reported</t>
        </is>
      </c>
      <c r="AA210" s="28" t="inlineStr">
        <is>
          <t>Not Reported</t>
        </is>
      </c>
      <c r="AB210" s="97" t="inlineStr">
        <is>
          <t>Not Reported</t>
        </is>
      </c>
      <c r="AC210" s="90" t="inlineStr">
        <is>
          <t>Not Reported</t>
        </is>
      </c>
      <c r="AD210" s="97" t="inlineStr">
        <is>
          <t>Not Reported</t>
        </is>
      </c>
      <c r="AE210" s="126" t="inlineStr">
        <is>
          <t>Not Reported</t>
        </is>
      </c>
      <c r="AF210" s="102" t="n">
        <v>0.72</v>
      </c>
      <c r="AG210" s="28" t="inlineStr">
        <is>
          <t>Not Met</t>
        </is>
      </c>
      <c r="AH210" s="285" t="n">
        <v>0</v>
      </c>
      <c r="AI210" s="285" t="inlineStr">
        <is>
          <t>Not Reported</t>
        </is>
      </c>
      <c r="AJ210" s="102" t="n">
        <v>0.63</v>
      </c>
      <c r="AK210" s="28" t="inlineStr">
        <is>
          <t>Not Met</t>
        </is>
      </c>
    </row>
    <row r="211">
      <c r="A211" s="26" t="inlineStr">
        <is>
          <t>M&amp;M</t>
        </is>
      </c>
      <c r="B211" s="5" t="inlineStr">
        <is>
          <t>West 1</t>
        </is>
      </c>
      <c r="C211" s="76" t="inlineStr">
        <is>
          <t>Megha</t>
        </is>
      </c>
      <c r="D211" s="26" t="inlineStr">
        <is>
          <t>Rishab</t>
        </is>
      </c>
      <c r="E211" s="26" t="inlineStr">
        <is>
          <t>Category (A)</t>
        </is>
      </c>
      <c r="F211" s="21" t="inlineStr">
        <is>
          <t>Internal KPI</t>
        </is>
      </c>
      <c r="G211" s="21" t="inlineStr">
        <is>
          <t>No</t>
        </is>
      </c>
      <c r="H211" s="27" t="inlineStr">
        <is>
          <t xml:space="preserve">Fulfilment </t>
        </is>
      </c>
      <c r="I211" s="20" t="n">
        <v>0.85</v>
      </c>
      <c r="J211" s="29" t="n">
        <v>0.62</v>
      </c>
      <c r="K211" s="28" t="inlineStr">
        <is>
          <t>Not Met</t>
        </is>
      </c>
      <c r="L211" s="11" t="n">
        <v>0.54</v>
      </c>
      <c r="M211" s="28" t="inlineStr">
        <is>
          <t>Not Met</t>
        </is>
      </c>
      <c r="N211" s="28" t="inlineStr">
        <is>
          <t>Not Reported</t>
        </is>
      </c>
      <c r="O211" s="28" t="inlineStr">
        <is>
          <t>Not Reported</t>
        </is>
      </c>
      <c r="P211" s="28" t="inlineStr">
        <is>
          <t>Not Reported</t>
        </is>
      </c>
      <c r="Q211" s="28" t="inlineStr">
        <is>
          <t>Not Reported</t>
        </is>
      </c>
      <c r="R211" s="28" t="inlineStr">
        <is>
          <t>Not Reported</t>
        </is>
      </c>
      <c r="S211" s="28" t="inlineStr">
        <is>
          <t xml:space="preserve">Not Reported </t>
        </is>
      </c>
      <c r="T211" s="28" t="inlineStr">
        <is>
          <t>Not Reported</t>
        </is>
      </c>
      <c r="U211" s="28" t="inlineStr">
        <is>
          <t>Not Reported</t>
        </is>
      </c>
      <c r="V211" s="28" t="inlineStr">
        <is>
          <t>Not Reported</t>
        </is>
      </c>
      <c r="W211" s="28" t="inlineStr">
        <is>
          <t>Not Reported</t>
        </is>
      </c>
      <c r="X211" s="28" t="inlineStr">
        <is>
          <t>Not Reported</t>
        </is>
      </c>
      <c r="Y211" s="28" t="inlineStr">
        <is>
          <t>Not Reported</t>
        </is>
      </c>
      <c r="Z211" s="28" t="inlineStr">
        <is>
          <t>Not Reported</t>
        </is>
      </c>
      <c r="AA211" s="28" t="inlineStr">
        <is>
          <t>Not Reported</t>
        </is>
      </c>
      <c r="AB211" s="97" t="inlineStr">
        <is>
          <t>Not Reported</t>
        </is>
      </c>
      <c r="AC211" s="90" t="inlineStr">
        <is>
          <t>Not Reported</t>
        </is>
      </c>
      <c r="AD211" s="97" t="inlineStr">
        <is>
          <t>Not Reported</t>
        </is>
      </c>
      <c r="AE211" s="126" t="inlineStr">
        <is>
          <t>Not Reported</t>
        </is>
      </c>
      <c r="AF211" s="102" t="n">
        <v>1.58</v>
      </c>
      <c r="AG211" s="202" t="inlineStr">
        <is>
          <t>Met</t>
        </is>
      </c>
      <c r="AH211" s="285" t="n">
        <v>0</v>
      </c>
      <c r="AI211" s="285" t="inlineStr">
        <is>
          <t>Not Reported</t>
        </is>
      </c>
      <c r="AJ211" s="102" t="n">
        <v>0.73</v>
      </c>
      <c r="AK211" s="28" t="inlineStr">
        <is>
          <t>Not Met</t>
        </is>
      </c>
    </row>
    <row r="212">
      <c r="A212" s="204" t="inlineStr">
        <is>
          <t>Mahindra Finance</t>
        </is>
      </c>
      <c r="B212" s="205" t="inlineStr">
        <is>
          <t>West 1</t>
        </is>
      </c>
      <c r="C212" s="279" t="inlineStr">
        <is>
          <t>Geetu</t>
        </is>
      </c>
      <c r="D212" s="206" t="inlineStr">
        <is>
          <t>Sahil</t>
        </is>
      </c>
      <c r="E212" s="206" t="inlineStr">
        <is>
          <t>Category (B)</t>
        </is>
      </c>
      <c r="F212" s="204" t="inlineStr">
        <is>
          <t>Internal KPI</t>
        </is>
      </c>
      <c r="G212" s="204" t="inlineStr">
        <is>
          <t>No</t>
        </is>
      </c>
      <c r="H212" s="206" t="inlineStr">
        <is>
          <t>Time to Hire</t>
        </is>
      </c>
      <c r="I212" s="200" t="inlineStr">
        <is>
          <t>90 Days</t>
        </is>
      </c>
      <c r="J212" s="231" t="inlineStr">
        <is>
          <t>123 days</t>
        </is>
      </c>
      <c r="K212" s="202" t="inlineStr">
        <is>
          <t>Not Met</t>
        </is>
      </c>
      <c r="L212" s="231" t="inlineStr">
        <is>
          <t>91 days</t>
        </is>
      </c>
      <c r="M212" s="202" t="inlineStr">
        <is>
          <t>Not Met</t>
        </is>
      </c>
      <c r="N212" s="231" t="inlineStr">
        <is>
          <t>121 days</t>
        </is>
      </c>
      <c r="O212" s="202" t="inlineStr">
        <is>
          <t>Not Met</t>
        </is>
      </c>
      <c r="P212" s="202" t="inlineStr">
        <is>
          <t>Not Reported</t>
        </is>
      </c>
      <c r="Q212" s="202" t="inlineStr">
        <is>
          <t>Not Reported</t>
        </is>
      </c>
      <c r="R212" s="213" t="inlineStr">
        <is>
          <t>NA</t>
        </is>
      </c>
      <c r="S212" s="200" t="inlineStr">
        <is>
          <t>NA</t>
        </is>
      </c>
      <c r="T212" s="213" t="inlineStr">
        <is>
          <t>NA</t>
        </is>
      </c>
      <c r="U212" s="200" t="inlineStr">
        <is>
          <t>NA</t>
        </is>
      </c>
      <c r="V212" s="213" t="inlineStr">
        <is>
          <t>NA</t>
        </is>
      </c>
      <c r="W212" s="200" t="inlineStr">
        <is>
          <t>NA</t>
        </is>
      </c>
      <c r="X212" s="213" t="inlineStr">
        <is>
          <t>NA</t>
        </is>
      </c>
      <c r="Y212" s="200" t="inlineStr">
        <is>
          <t>NA</t>
        </is>
      </c>
      <c r="Z212" s="213" t="inlineStr">
        <is>
          <t>NA</t>
        </is>
      </c>
      <c r="AA212" s="200" t="inlineStr">
        <is>
          <t>NA</t>
        </is>
      </c>
      <c r="AB212" s="159" t="inlineStr">
        <is>
          <t>NA</t>
        </is>
      </c>
      <c r="AC212" s="200" t="inlineStr">
        <is>
          <t>NA</t>
        </is>
      </c>
      <c r="AD212" s="163" t="inlineStr">
        <is>
          <t>NA</t>
        </is>
      </c>
      <c r="AE212" s="163" t="inlineStr">
        <is>
          <t>NA</t>
        </is>
      </c>
      <c r="AF212" s="93" t="inlineStr">
        <is>
          <t>NA</t>
        </is>
      </c>
      <c r="AG212" s="97" t="inlineStr">
        <is>
          <t>NA</t>
        </is>
      </c>
      <c r="AH212" s="285" t="n">
        <v>0</v>
      </c>
      <c r="AI212" s="285" t="inlineStr">
        <is>
          <t>Not Reported</t>
        </is>
      </c>
      <c r="AJ212" s="93" t="inlineStr">
        <is>
          <t>NA</t>
        </is>
      </c>
      <c r="AK212" s="97" t="inlineStr">
        <is>
          <t>NA</t>
        </is>
      </c>
    </row>
    <row r="213">
      <c r="A213" s="21" t="inlineStr">
        <is>
          <t>Mahindra Finance</t>
        </is>
      </c>
      <c r="B213" s="5" t="inlineStr">
        <is>
          <t>West 1</t>
        </is>
      </c>
      <c r="C213" s="76" t="inlineStr">
        <is>
          <t>Geetu</t>
        </is>
      </c>
      <c r="D213" s="26" t="inlineStr">
        <is>
          <t>Sahil</t>
        </is>
      </c>
      <c r="E213" s="26" t="inlineStr">
        <is>
          <t>Category (B)</t>
        </is>
      </c>
      <c r="F213" s="21" t="inlineStr">
        <is>
          <t>Internal KPI</t>
        </is>
      </c>
      <c r="G213" s="21" t="inlineStr">
        <is>
          <t>No</t>
        </is>
      </c>
      <c r="H213" s="26" t="inlineStr">
        <is>
          <t>Time to Fill</t>
        </is>
      </c>
      <c r="I213" s="20" t="inlineStr">
        <is>
          <t>30 Days</t>
        </is>
      </c>
      <c r="J213" s="286" t="inlineStr">
        <is>
          <t>74 days</t>
        </is>
      </c>
      <c r="K213" s="28" t="inlineStr">
        <is>
          <t>Not Met</t>
        </is>
      </c>
      <c r="L213" s="286" t="inlineStr">
        <is>
          <t>41days</t>
        </is>
      </c>
      <c r="M213" s="28" t="inlineStr">
        <is>
          <t>Not Met</t>
        </is>
      </c>
      <c r="N213" s="286" t="inlineStr">
        <is>
          <t>26 days</t>
        </is>
      </c>
      <c r="O213" s="28" t="inlineStr">
        <is>
          <t>Met</t>
        </is>
      </c>
      <c r="P213" s="28" t="inlineStr">
        <is>
          <t>Not Reported</t>
        </is>
      </c>
      <c r="Q213" s="28" t="inlineStr">
        <is>
          <t>Not Reported</t>
        </is>
      </c>
      <c r="R213" s="17" t="inlineStr">
        <is>
          <t>NA</t>
        </is>
      </c>
      <c r="S213" s="20" t="inlineStr">
        <is>
          <t>NA</t>
        </is>
      </c>
      <c r="T213" s="17" t="inlineStr">
        <is>
          <t>NA</t>
        </is>
      </c>
      <c r="U213" s="20" t="inlineStr">
        <is>
          <t>NA</t>
        </is>
      </c>
      <c r="V213" s="17" t="inlineStr">
        <is>
          <t>NA</t>
        </is>
      </c>
      <c r="W213" s="20" t="inlineStr">
        <is>
          <t>NA</t>
        </is>
      </c>
      <c r="X213" s="17" t="inlineStr">
        <is>
          <t>NA</t>
        </is>
      </c>
      <c r="Y213" s="20" t="inlineStr">
        <is>
          <t>NA</t>
        </is>
      </c>
      <c r="Z213" s="17" t="inlineStr">
        <is>
          <t>NA</t>
        </is>
      </c>
      <c r="AA213" s="20" t="inlineStr">
        <is>
          <t>NA</t>
        </is>
      </c>
      <c r="AB213" s="93" t="inlineStr">
        <is>
          <t>NA</t>
        </is>
      </c>
      <c r="AC213" s="20" t="inlineStr">
        <is>
          <t>NA</t>
        </is>
      </c>
      <c r="AD213" s="97" t="inlineStr">
        <is>
          <t>NA</t>
        </is>
      </c>
      <c r="AE213" s="97" t="inlineStr">
        <is>
          <t>NA</t>
        </is>
      </c>
      <c r="AF213" s="93" t="inlineStr">
        <is>
          <t>NA</t>
        </is>
      </c>
      <c r="AG213" s="97" t="inlineStr">
        <is>
          <t>NA</t>
        </is>
      </c>
      <c r="AH213" s="285" t="n">
        <v>0</v>
      </c>
      <c r="AI213" s="285" t="inlineStr">
        <is>
          <t>Not Reported</t>
        </is>
      </c>
      <c r="AJ213" s="93" t="inlineStr">
        <is>
          <t>NA</t>
        </is>
      </c>
      <c r="AK213" s="97" t="inlineStr">
        <is>
          <t>NA</t>
        </is>
      </c>
    </row>
    <row r="214">
      <c r="A214" s="21" t="inlineStr">
        <is>
          <t>Mahindra Finance</t>
        </is>
      </c>
      <c r="B214" s="5" t="inlineStr">
        <is>
          <t>West 1</t>
        </is>
      </c>
      <c r="C214" s="76" t="inlineStr">
        <is>
          <t>Geetu</t>
        </is>
      </c>
      <c r="D214" s="26" t="inlineStr">
        <is>
          <t>Sahil</t>
        </is>
      </c>
      <c r="E214" s="26" t="inlineStr">
        <is>
          <t>Category (B)</t>
        </is>
      </c>
      <c r="F214" s="21" t="inlineStr">
        <is>
          <t>Internal KPI</t>
        </is>
      </c>
      <c r="G214" s="21" t="inlineStr">
        <is>
          <t>No</t>
        </is>
      </c>
      <c r="H214" s="26" t="inlineStr">
        <is>
          <t>Ageing</t>
        </is>
      </c>
      <c r="I214" s="20" t="n">
        <v>0.1</v>
      </c>
      <c r="J214" s="32" t="n">
        <v>0.4</v>
      </c>
      <c r="K214" s="28" t="inlineStr">
        <is>
          <t>Not Met</t>
        </is>
      </c>
      <c r="L214" s="32" t="n">
        <v>0.32</v>
      </c>
      <c r="M214" s="28" t="inlineStr">
        <is>
          <t>Not Met</t>
        </is>
      </c>
      <c r="N214" s="32" t="n">
        <v>0</v>
      </c>
      <c r="O214" s="28" t="inlineStr">
        <is>
          <t>Met</t>
        </is>
      </c>
      <c r="P214" s="28" t="inlineStr">
        <is>
          <t>Not Reported</t>
        </is>
      </c>
      <c r="Q214" s="28" t="inlineStr">
        <is>
          <t>Not Reported</t>
        </is>
      </c>
      <c r="R214" s="17" t="inlineStr">
        <is>
          <t>NA</t>
        </is>
      </c>
      <c r="S214" s="20" t="inlineStr">
        <is>
          <t>NA</t>
        </is>
      </c>
      <c r="T214" s="17" t="inlineStr">
        <is>
          <t>NA</t>
        </is>
      </c>
      <c r="U214" s="20" t="inlineStr">
        <is>
          <t>NA</t>
        </is>
      </c>
      <c r="V214" s="17" t="inlineStr">
        <is>
          <t>NA</t>
        </is>
      </c>
      <c r="W214" s="20" t="inlineStr">
        <is>
          <t>NA</t>
        </is>
      </c>
      <c r="X214" s="17" t="inlineStr">
        <is>
          <t>NA</t>
        </is>
      </c>
      <c r="Y214" s="20" t="inlineStr">
        <is>
          <t>NA</t>
        </is>
      </c>
      <c r="Z214" s="17" t="inlineStr">
        <is>
          <t>NA</t>
        </is>
      </c>
      <c r="AA214" s="20" t="inlineStr">
        <is>
          <t>NA</t>
        </is>
      </c>
      <c r="AB214" s="93" t="inlineStr">
        <is>
          <t>NA</t>
        </is>
      </c>
      <c r="AC214" s="20" t="inlineStr">
        <is>
          <t>NA</t>
        </is>
      </c>
      <c r="AD214" s="97" t="inlineStr">
        <is>
          <t>NA</t>
        </is>
      </c>
      <c r="AE214" s="127" t="inlineStr">
        <is>
          <t>NA</t>
        </is>
      </c>
      <c r="AF214" s="93" t="inlineStr">
        <is>
          <t>NA</t>
        </is>
      </c>
      <c r="AG214" s="97" t="inlineStr">
        <is>
          <t>NA</t>
        </is>
      </c>
      <c r="AH214" s="285" t="n">
        <v>0</v>
      </c>
      <c r="AI214" s="285" t="inlineStr">
        <is>
          <t>Not Reported</t>
        </is>
      </c>
      <c r="AJ214" s="93" t="inlineStr">
        <is>
          <t>NA</t>
        </is>
      </c>
      <c r="AK214" s="127" t="inlineStr">
        <is>
          <t>NA</t>
        </is>
      </c>
    </row>
    <row r="215">
      <c r="A215" s="21" t="inlineStr">
        <is>
          <t>Mahindra Finance</t>
        </is>
      </c>
      <c r="B215" s="5" t="inlineStr">
        <is>
          <t>West 1</t>
        </is>
      </c>
      <c r="C215" s="76" t="inlineStr">
        <is>
          <t>Geetu</t>
        </is>
      </c>
      <c r="D215" s="26" t="inlineStr">
        <is>
          <t>Sahil</t>
        </is>
      </c>
      <c r="E215" s="26" t="inlineStr">
        <is>
          <t>Category (B)</t>
        </is>
      </c>
      <c r="F215" s="21" t="inlineStr">
        <is>
          <t>Internal KPI</t>
        </is>
      </c>
      <c r="G215" s="21" t="inlineStr">
        <is>
          <t>No</t>
        </is>
      </c>
      <c r="H215" s="26" t="inlineStr">
        <is>
          <t>First Time Right Ratio</t>
        </is>
      </c>
      <c r="I215" s="20" t="n">
        <v>0.6</v>
      </c>
      <c r="J215" s="33" t="n">
        <v>0.77</v>
      </c>
      <c r="K215" s="28" t="inlineStr">
        <is>
          <t>Met</t>
        </is>
      </c>
      <c r="L215" s="33" t="n">
        <v>0.51</v>
      </c>
      <c r="M215" s="28" t="inlineStr">
        <is>
          <t>Not Met</t>
        </is>
      </c>
      <c r="N215" s="32" t="n">
        <v>0.63</v>
      </c>
      <c r="O215" s="28" t="inlineStr">
        <is>
          <t>Met</t>
        </is>
      </c>
      <c r="P215" s="28" t="inlineStr">
        <is>
          <t>Not Reported</t>
        </is>
      </c>
      <c r="Q215" s="28" t="inlineStr">
        <is>
          <t>Not Reported</t>
        </is>
      </c>
      <c r="R215" s="17" t="inlineStr">
        <is>
          <t>NA</t>
        </is>
      </c>
      <c r="S215" s="20" t="inlineStr">
        <is>
          <t>NA</t>
        </is>
      </c>
      <c r="T215" s="17" t="inlineStr">
        <is>
          <t>NA</t>
        </is>
      </c>
      <c r="U215" s="20" t="inlineStr">
        <is>
          <t>NA</t>
        </is>
      </c>
      <c r="V215" s="17" t="inlineStr">
        <is>
          <t>NA</t>
        </is>
      </c>
      <c r="W215" s="20" t="inlineStr">
        <is>
          <t>NA</t>
        </is>
      </c>
      <c r="X215" s="17" t="inlineStr">
        <is>
          <t>NA</t>
        </is>
      </c>
      <c r="Y215" s="20" t="inlineStr">
        <is>
          <t>NA</t>
        </is>
      </c>
      <c r="Z215" s="17" t="inlineStr">
        <is>
          <t>NA</t>
        </is>
      </c>
      <c r="AA215" s="20" t="inlineStr">
        <is>
          <t>NA</t>
        </is>
      </c>
      <c r="AB215" s="93" t="inlineStr">
        <is>
          <t>NA</t>
        </is>
      </c>
      <c r="AC215" s="20" t="inlineStr">
        <is>
          <t>NA</t>
        </is>
      </c>
      <c r="AD215" s="97" t="inlineStr">
        <is>
          <t>NA</t>
        </is>
      </c>
      <c r="AE215" s="126" t="inlineStr">
        <is>
          <t>NA</t>
        </is>
      </c>
      <c r="AF215" s="93" t="inlineStr">
        <is>
          <t>NA</t>
        </is>
      </c>
      <c r="AG215" s="97" t="inlineStr">
        <is>
          <t>NA</t>
        </is>
      </c>
      <c r="AH215" s="285" t="n">
        <v>0</v>
      </c>
      <c r="AI215" s="285" t="inlineStr">
        <is>
          <t>Not Reported</t>
        </is>
      </c>
      <c r="AJ215" s="93" t="inlineStr">
        <is>
          <t>NA</t>
        </is>
      </c>
      <c r="AK215" s="126" t="inlineStr">
        <is>
          <t>NA</t>
        </is>
      </c>
    </row>
    <row r="216">
      <c r="A216" s="21" t="inlineStr">
        <is>
          <t>Mahindra Finance</t>
        </is>
      </c>
      <c r="B216" s="5" t="inlineStr">
        <is>
          <t>West 1</t>
        </is>
      </c>
      <c r="C216" s="76" t="inlineStr">
        <is>
          <t>Geetu</t>
        </is>
      </c>
      <c r="D216" s="26" t="inlineStr">
        <is>
          <t>Sahil</t>
        </is>
      </c>
      <c r="E216" s="26" t="inlineStr">
        <is>
          <t>Category (B)</t>
        </is>
      </c>
      <c r="F216" s="21" t="inlineStr">
        <is>
          <t>Internal KPI</t>
        </is>
      </c>
      <c r="G216" s="21" t="inlineStr">
        <is>
          <t>No</t>
        </is>
      </c>
      <c r="H216" s="26" t="inlineStr">
        <is>
          <t>Hit Ratio</t>
        </is>
      </c>
      <c r="I216" s="51" t="n">
        <v>0.04652777777777778</v>
      </c>
      <c r="J216" s="35" t="n">
        <v>0.04375</v>
      </c>
      <c r="K216" s="28" t="inlineStr">
        <is>
          <t>Met</t>
        </is>
      </c>
      <c r="L216" s="35" t="n">
        <v>0.04444444444444445</v>
      </c>
      <c r="M216" s="28" t="inlineStr">
        <is>
          <t>Met</t>
        </is>
      </c>
      <c r="N216" s="35" t="n">
        <v>0.04375</v>
      </c>
      <c r="O216" s="28" t="inlineStr">
        <is>
          <t>Met</t>
        </is>
      </c>
      <c r="P216" s="28" t="inlineStr">
        <is>
          <t>Not Reported</t>
        </is>
      </c>
      <c r="Q216" s="28" t="inlineStr">
        <is>
          <t>Not Reported</t>
        </is>
      </c>
      <c r="R216" s="17" t="inlineStr">
        <is>
          <t>NA</t>
        </is>
      </c>
      <c r="S216" s="20" t="inlineStr">
        <is>
          <t>NA</t>
        </is>
      </c>
      <c r="T216" s="17" t="inlineStr">
        <is>
          <t>NA</t>
        </is>
      </c>
      <c r="U216" s="20" t="inlineStr">
        <is>
          <t>NA</t>
        </is>
      </c>
      <c r="V216" s="17" t="inlineStr">
        <is>
          <t>NA</t>
        </is>
      </c>
      <c r="W216" s="20" t="inlineStr">
        <is>
          <t>NA</t>
        </is>
      </c>
      <c r="X216" s="17" t="inlineStr">
        <is>
          <t>NA</t>
        </is>
      </c>
      <c r="Y216" s="20" t="inlineStr">
        <is>
          <t>NA</t>
        </is>
      </c>
      <c r="Z216" s="17" t="inlineStr">
        <is>
          <t>NA</t>
        </is>
      </c>
      <c r="AA216" s="20" t="inlineStr">
        <is>
          <t>NA</t>
        </is>
      </c>
      <c r="AB216" s="93" t="inlineStr">
        <is>
          <t>NA</t>
        </is>
      </c>
      <c r="AC216" s="20" t="inlineStr">
        <is>
          <t>NA</t>
        </is>
      </c>
      <c r="AD216" s="97" t="inlineStr">
        <is>
          <t>NA</t>
        </is>
      </c>
      <c r="AE216" s="126" t="inlineStr">
        <is>
          <t>NA</t>
        </is>
      </c>
      <c r="AF216" s="93" t="inlineStr">
        <is>
          <t>NA</t>
        </is>
      </c>
      <c r="AG216" s="97" t="inlineStr">
        <is>
          <t>NA</t>
        </is>
      </c>
      <c r="AH216" s="285" t="n">
        <v>0</v>
      </c>
      <c r="AI216" s="285" t="inlineStr">
        <is>
          <t>Not Reported</t>
        </is>
      </c>
      <c r="AJ216" s="93" t="inlineStr">
        <is>
          <t>NA</t>
        </is>
      </c>
      <c r="AK216" s="126" t="inlineStr">
        <is>
          <t>NA</t>
        </is>
      </c>
    </row>
    <row r="217">
      <c r="A217" s="21" t="inlineStr">
        <is>
          <t>Mahindra Finance</t>
        </is>
      </c>
      <c r="B217" s="5" t="inlineStr">
        <is>
          <t>West 1</t>
        </is>
      </c>
      <c r="C217" s="76" t="inlineStr">
        <is>
          <t>Geetu</t>
        </is>
      </c>
      <c r="D217" s="26" t="inlineStr">
        <is>
          <t>Sahil</t>
        </is>
      </c>
      <c r="E217" s="26" t="inlineStr">
        <is>
          <t>Category (B)</t>
        </is>
      </c>
      <c r="F217" s="21" t="inlineStr">
        <is>
          <t>Internal KPI</t>
        </is>
      </c>
      <c r="G217" s="21" t="inlineStr">
        <is>
          <t>No</t>
        </is>
      </c>
      <c r="H217" s="26" t="inlineStr">
        <is>
          <t>Offer Drop</t>
        </is>
      </c>
      <c r="I217" s="20" t="n">
        <v>0.2</v>
      </c>
      <c r="J217" s="32" t="n">
        <v>0.1</v>
      </c>
      <c r="K217" s="28" t="inlineStr">
        <is>
          <t>Met</t>
        </is>
      </c>
      <c r="L217" s="32" t="n">
        <v>0.12</v>
      </c>
      <c r="M217" s="28" t="inlineStr">
        <is>
          <t>Met</t>
        </is>
      </c>
      <c r="N217" s="32" t="n">
        <v>0.25</v>
      </c>
      <c r="O217" s="28" t="inlineStr">
        <is>
          <t>Not Met</t>
        </is>
      </c>
      <c r="P217" s="28" t="inlineStr">
        <is>
          <t>Not Reported</t>
        </is>
      </c>
      <c r="Q217" s="28" t="inlineStr">
        <is>
          <t>Not Reported</t>
        </is>
      </c>
      <c r="R217" s="17" t="inlineStr">
        <is>
          <t>NA</t>
        </is>
      </c>
      <c r="S217" s="20" t="inlineStr">
        <is>
          <t>NA</t>
        </is>
      </c>
      <c r="T217" s="17" t="inlineStr">
        <is>
          <t>NA</t>
        </is>
      </c>
      <c r="U217" s="20" t="inlineStr">
        <is>
          <t>NA</t>
        </is>
      </c>
      <c r="V217" s="17" t="inlineStr">
        <is>
          <t>NA</t>
        </is>
      </c>
      <c r="W217" s="20" t="inlineStr">
        <is>
          <t>NA</t>
        </is>
      </c>
      <c r="X217" s="17" t="inlineStr">
        <is>
          <t>NA</t>
        </is>
      </c>
      <c r="Y217" s="20" t="inlineStr">
        <is>
          <t>NA</t>
        </is>
      </c>
      <c r="Z217" s="17" t="inlineStr">
        <is>
          <t>NA</t>
        </is>
      </c>
      <c r="AA217" s="20" t="inlineStr">
        <is>
          <t>NA</t>
        </is>
      </c>
      <c r="AB217" s="93" t="inlineStr">
        <is>
          <t>NA</t>
        </is>
      </c>
      <c r="AC217" s="20" t="inlineStr">
        <is>
          <t>NA</t>
        </is>
      </c>
      <c r="AD217" s="97" t="inlineStr">
        <is>
          <t>NA</t>
        </is>
      </c>
      <c r="AE217" s="126" t="inlineStr">
        <is>
          <t>NA</t>
        </is>
      </c>
      <c r="AF217" s="93" t="inlineStr">
        <is>
          <t>NA</t>
        </is>
      </c>
      <c r="AG217" s="97" t="inlineStr">
        <is>
          <t>NA</t>
        </is>
      </c>
      <c r="AH217" s="285" t="n">
        <v>0</v>
      </c>
      <c r="AI217" s="285" t="inlineStr">
        <is>
          <t>Not Reported</t>
        </is>
      </c>
      <c r="AJ217" s="93" t="inlineStr">
        <is>
          <t>NA</t>
        </is>
      </c>
      <c r="AK217" s="126" t="inlineStr">
        <is>
          <t>NA</t>
        </is>
      </c>
    </row>
    <row r="218">
      <c r="A218" s="21" t="inlineStr">
        <is>
          <t>Mahindra Finance</t>
        </is>
      </c>
      <c r="B218" s="5" t="inlineStr">
        <is>
          <t>West 1</t>
        </is>
      </c>
      <c r="C218" s="76" t="inlineStr">
        <is>
          <t>Geetu</t>
        </is>
      </c>
      <c r="D218" s="26" t="inlineStr">
        <is>
          <t>Sahil</t>
        </is>
      </c>
      <c r="E218" s="26" t="inlineStr">
        <is>
          <t>Category (B)</t>
        </is>
      </c>
      <c r="F218" s="21" t="inlineStr">
        <is>
          <t>Internal KPI</t>
        </is>
      </c>
      <c r="G218" s="21" t="inlineStr">
        <is>
          <t>No</t>
        </is>
      </c>
      <c r="H218" s="27" t="inlineStr">
        <is>
          <t xml:space="preserve">Fulfilment </t>
        </is>
      </c>
      <c r="I218" s="20" t="n">
        <v>0.9</v>
      </c>
      <c r="J218" s="32" t="n">
        <v>0.6</v>
      </c>
      <c r="K218" s="28" t="inlineStr">
        <is>
          <t>Not Met</t>
        </is>
      </c>
      <c r="L218" s="32" t="n">
        <v>0.68</v>
      </c>
      <c r="M218" s="28" t="inlineStr">
        <is>
          <t>Not Met</t>
        </is>
      </c>
      <c r="N218" s="32" t="n">
        <v>0.38</v>
      </c>
      <c r="O218" s="28" t="inlineStr">
        <is>
          <t>Not Met</t>
        </is>
      </c>
      <c r="P218" s="28" t="inlineStr">
        <is>
          <t>Not Reported</t>
        </is>
      </c>
      <c r="Q218" s="28" t="inlineStr">
        <is>
          <t>Not Reported</t>
        </is>
      </c>
      <c r="R218" s="17" t="inlineStr">
        <is>
          <t>NA</t>
        </is>
      </c>
      <c r="S218" s="20" t="inlineStr">
        <is>
          <t>NA</t>
        </is>
      </c>
      <c r="T218" s="17" t="inlineStr">
        <is>
          <t>NA</t>
        </is>
      </c>
      <c r="U218" s="20" t="inlineStr">
        <is>
          <t>NA</t>
        </is>
      </c>
      <c r="V218" s="17" t="inlineStr">
        <is>
          <t>NA</t>
        </is>
      </c>
      <c r="W218" s="20" t="inlineStr">
        <is>
          <t>NA</t>
        </is>
      </c>
      <c r="X218" s="17" t="inlineStr">
        <is>
          <t>NA</t>
        </is>
      </c>
      <c r="Y218" s="20" t="inlineStr">
        <is>
          <t>NA</t>
        </is>
      </c>
      <c r="Z218" s="17" t="inlineStr">
        <is>
          <t>NA</t>
        </is>
      </c>
      <c r="AA218" s="20" t="inlineStr">
        <is>
          <t>NA</t>
        </is>
      </c>
      <c r="AB218" s="93" t="inlineStr">
        <is>
          <t>NA</t>
        </is>
      </c>
      <c r="AC218" s="20" t="inlineStr">
        <is>
          <t>NA</t>
        </is>
      </c>
      <c r="AD218" s="97" t="inlineStr">
        <is>
          <t>NA</t>
        </is>
      </c>
      <c r="AE218" s="126" t="inlineStr">
        <is>
          <t>NA</t>
        </is>
      </c>
      <c r="AF218" s="93" t="inlineStr">
        <is>
          <t>NA</t>
        </is>
      </c>
      <c r="AG218" s="97" t="inlineStr">
        <is>
          <t>NA</t>
        </is>
      </c>
      <c r="AH218" s="285" t="n">
        <v>0</v>
      </c>
      <c r="AI218" s="285" t="inlineStr">
        <is>
          <t>Not Reported</t>
        </is>
      </c>
      <c r="AJ218" s="93" t="inlineStr">
        <is>
          <t>NA</t>
        </is>
      </c>
      <c r="AK218" s="126" t="inlineStr">
        <is>
          <t>NA</t>
        </is>
      </c>
    </row>
    <row r="219">
      <c r="A219" s="164" t="inlineStr">
        <is>
          <t>Mahindra Holidays</t>
        </is>
      </c>
      <c r="B219" s="165" t="inlineStr">
        <is>
          <t>West 1</t>
        </is>
      </c>
      <c r="C219" s="278" t="inlineStr">
        <is>
          <t>Geetu</t>
        </is>
      </c>
      <c r="D219" s="166" t="inlineStr">
        <is>
          <t>Sahil</t>
        </is>
      </c>
      <c r="E219" s="166" t="inlineStr">
        <is>
          <t>Category (B)</t>
        </is>
      </c>
      <c r="F219" s="166" t="inlineStr">
        <is>
          <t>Contractual SLA</t>
        </is>
      </c>
      <c r="G219" s="164" t="inlineStr">
        <is>
          <t>Yes</t>
        </is>
      </c>
      <c r="H219" s="164" t="inlineStr">
        <is>
          <t>Fulfilment Ratio</t>
        </is>
      </c>
      <c r="I219" s="173" t="n">
        <v>0.9</v>
      </c>
      <c r="J219" s="171" t="inlineStr">
        <is>
          <t>Not Reported</t>
        </is>
      </c>
      <c r="K219" s="170" t="inlineStr">
        <is>
          <t>Not Reported</t>
        </is>
      </c>
      <c r="L219" s="171" t="inlineStr">
        <is>
          <t>Not Reported</t>
        </is>
      </c>
      <c r="M219" s="170" t="inlineStr">
        <is>
          <t>Not Reported</t>
        </is>
      </c>
      <c r="N219" s="171" t="inlineStr">
        <is>
          <t>Not Reported</t>
        </is>
      </c>
      <c r="O219" s="170" t="inlineStr">
        <is>
          <t>Not Reported</t>
        </is>
      </c>
      <c r="P219" s="171" t="inlineStr">
        <is>
          <t>Not Reported</t>
        </is>
      </c>
      <c r="Q219" s="170" t="inlineStr">
        <is>
          <t>Not Reported</t>
        </is>
      </c>
      <c r="R219" s="170" t="inlineStr">
        <is>
          <t>Not Reported</t>
        </is>
      </c>
      <c r="S219" s="170" t="inlineStr">
        <is>
          <t xml:space="preserve">Not Reported </t>
        </is>
      </c>
      <c r="T219" s="170" t="inlineStr">
        <is>
          <t>Not Reported</t>
        </is>
      </c>
      <c r="U219" s="170" t="inlineStr">
        <is>
          <t>Not Reported</t>
        </is>
      </c>
      <c r="V219" s="170" t="inlineStr">
        <is>
          <t>Not Reported</t>
        </is>
      </c>
      <c r="W219" s="170" t="inlineStr">
        <is>
          <t>Not Reported</t>
        </is>
      </c>
      <c r="X219" s="170" t="inlineStr">
        <is>
          <t>Not Reported</t>
        </is>
      </c>
      <c r="Y219" s="170" t="inlineStr">
        <is>
          <t>Not Reported</t>
        </is>
      </c>
      <c r="Z219" s="170" t="inlineStr">
        <is>
          <t>Not Reported</t>
        </is>
      </c>
      <c r="AA219" s="170" t="inlineStr">
        <is>
          <t>Not Reported</t>
        </is>
      </c>
      <c r="AB219" s="172" t="inlineStr">
        <is>
          <t>Not Reported</t>
        </is>
      </c>
      <c r="AC219" s="178" t="inlineStr">
        <is>
          <t>Not Reported</t>
        </is>
      </c>
      <c r="AD219" s="177" t="n">
        <v>0.45</v>
      </c>
      <c r="AE219" s="170" t="inlineStr">
        <is>
          <t>Not Met</t>
        </is>
      </c>
      <c r="AF219" s="95" t="inlineStr">
        <is>
          <t>Not Reported</t>
        </is>
      </c>
      <c r="AG219" s="149" t="inlineStr">
        <is>
          <t>Not Reported</t>
        </is>
      </c>
      <c r="AH219" s="285" t="n">
        <v>0</v>
      </c>
      <c r="AI219" s="285" t="inlineStr">
        <is>
          <t>Not Reported</t>
        </is>
      </c>
      <c r="AJ219" s="95" t="inlineStr">
        <is>
          <t>Not Reported</t>
        </is>
      </c>
      <c r="AK219" s="126" t="inlineStr">
        <is>
          <t>Not Reported</t>
        </is>
      </c>
    </row>
    <row r="220">
      <c r="A220" s="21" t="inlineStr">
        <is>
          <t>Mahindra Holidays</t>
        </is>
      </c>
      <c r="B220" s="5" t="inlineStr">
        <is>
          <t>West 1</t>
        </is>
      </c>
      <c r="C220" s="76" t="inlineStr">
        <is>
          <t>Geetu</t>
        </is>
      </c>
      <c r="D220" s="26" t="inlineStr">
        <is>
          <t>Sahil</t>
        </is>
      </c>
      <c r="E220" s="26" t="inlineStr">
        <is>
          <t>Category (B)</t>
        </is>
      </c>
      <c r="F220" s="26" t="inlineStr">
        <is>
          <t>Contractual SLA</t>
        </is>
      </c>
      <c r="G220" s="21" t="inlineStr">
        <is>
          <t>Yes</t>
        </is>
      </c>
      <c r="H220" s="21" t="inlineStr">
        <is>
          <t>Time to Fill(%)</t>
        </is>
      </c>
      <c r="I220" s="11" t="n">
        <v>0.9</v>
      </c>
      <c r="J220" s="17" t="inlineStr">
        <is>
          <t>Not Reported</t>
        </is>
      </c>
      <c r="K220" s="28" t="inlineStr">
        <is>
          <t>Not Reported</t>
        </is>
      </c>
      <c r="L220" s="17" t="inlineStr">
        <is>
          <t>Not Reported</t>
        </is>
      </c>
      <c r="M220" s="28" t="inlineStr">
        <is>
          <t>Not Reported</t>
        </is>
      </c>
      <c r="N220" s="17" t="inlineStr">
        <is>
          <t>Not Reported</t>
        </is>
      </c>
      <c r="O220" s="28" t="inlineStr">
        <is>
          <t>Not Reported</t>
        </is>
      </c>
      <c r="P220" s="17" t="inlineStr">
        <is>
          <t>Not Reported</t>
        </is>
      </c>
      <c r="Q220" s="28" t="inlineStr">
        <is>
          <t>Not Reported</t>
        </is>
      </c>
      <c r="R220" s="28" t="inlineStr">
        <is>
          <t>Not Reported</t>
        </is>
      </c>
      <c r="S220" s="28" t="inlineStr">
        <is>
          <t xml:space="preserve">Not Reported </t>
        </is>
      </c>
      <c r="T220" s="28" t="inlineStr">
        <is>
          <t>Not Reported</t>
        </is>
      </c>
      <c r="U220" s="28" t="inlineStr">
        <is>
          <t>Not Reported</t>
        </is>
      </c>
      <c r="V220" s="28" t="inlineStr">
        <is>
          <t>Not Reported</t>
        </is>
      </c>
      <c r="W220" s="28" t="inlineStr">
        <is>
          <t>Not Reported</t>
        </is>
      </c>
      <c r="X220" s="28" t="inlineStr">
        <is>
          <t>Not Reported</t>
        </is>
      </c>
      <c r="Y220" s="28" t="inlineStr">
        <is>
          <t>Not Reported</t>
        </is>
      </c>
      <c r="Z220" s="28" t="inlineStr">
        <is>
          <t>Not Reported</t>
        </is>
      </c>
      <c r="AA220" s="28" t="inlineStr">
        <is>
          <t>Not Reported</t>
        </is>
      </c>
      <c r="AB220" s="95" t="inlineStr">
        <is>
          <t>Not Reported</t>
        </is>
      </c>
      <c r="AC220" s="90" t="inlineStr">
        <is>
          <t>Not Reported</t>
        </is>
      </c>
      <c r="AD220" s="126" t="inlineStr">
        <is>
          <t>Not Reported</t>
        </is>
      </c>
      <c r="AE220" s="126" t="inlineStr">
        <is>
          <t>Not Reported</t>
        </is>
      </c>
      <c r="AF220" s="95" t="inlineStr">
        <is>
          <t>Not Reported</t>
        </is>
      </c>
      <c r="AG220" s="149" t="inlineStr">
        <is>
          <t>Not Reported</t>
        </is>
      </c>
      <c r="AH220" s="285" t="n">
        <v>0</v>
      </c>
      <c r="AI220" s="285" t="inlineStr">
        <is>
          <t>Not Reported</t>
        </is>
      </c>
      <c r="AJ220" s="95" t="inlineStr">
        <is>
          <t>Not Reported</t>
        </is>
      </c>
      <c r="AK220" s="126" t="inlineStr">
        <is>
          <t>Not Reported</t>
        </is>
      </c>
    </row>
    <row r="221">
      <c r="A221" s="204" t="inlineStr">
        <is>
          <t>Mahindra Holidays</t>
        </is>
      </c>
      <c r="B221" s="205" t="inlineStr">
        <is>
          <t>West 1</t>
        </is>
      </c>
      <c r="C221" s="279" t="inlineStr">
        <is>
          <t>Geetu</t>
        </is>
      </c>
      <c r="D221" s="206" t="inlineStr">
        <is>
          <t>Sahil</t>
        </is>
      </c>
      <c r="E221" s="206" t="inlineStr">
        <is>
          <t>Category (B)</t>
        </is>
      </c>
      <c r="F221" s="204" t="inlineStr">
        <is>
          <t>Internal KPI</t>
        </is>
      </c>
      <c r="G221" s="204" t="inlineStr">
        <is>
          <t>No</t>
        </is>
      </c>
      <c r="H221" s="210" t="inlineStr">
        <is>
          <t>Time to Fill</t>
        </is>
      </c>
      <c r="I221" s="211" t="inlineStr">
        <is>
          <t>30 Days</t>
        </is>
      </c>
      <c r="J221" s="213" t="inlineStr">
        <is>
          <t>Not Reported</t>
        </is>
      </c>
      <c r="K221" s="202" t="inlineStr">
        <is>
          <t>Not Reported</t>
        </is>
      </c>
      <c r="L221" s="213" t="inlineStr">
        <is>
          <t>Not Reported</t>
        </is>
      </c>
      <c r="M221" s="202" t="inlineStr">
        <is>
          <t>Not Reported</t>
        </is>
      </c>
      <c r="N221" s="213" t="inlineStr">
        <is>
          <t>Not Reported</t>
        </is>
      </c>
      <c r="O221" s="202" t="inlineStr">
        <is>
          <t>Not Reported</t>
        </is>
      </c>
      <c r="P221" s="213" t="inlineStr">
        <is>
          <t>Not Reported</t>
        </is>
      </c>
      <c r="Q221" s="202" t="inlineStr">
        <is>
          <t>Not Reported</t>
        </is>
      </c>
      <c r="R221" s="202" t="inlineStr">
        <is>
          <t>Not Reported</t>
        </is>
      </c>
      <c r="S221" s="202" t="inlineStr">
        <is>
          <t xml:space="preserve">Not Reported </t>
        </is>
      </c>
      <c r="T221" s="202" t="inlineStr">
        <is>
          <t>Not Reported</t>
        </is>
      </c>
      <c r="U221" s="202" t="inlineStr">
        <is>
          <t>Not Reported</t>
        </is>
      </c>
      <c r="V221" s="202" t="inlineStr">
        <is>
          <t>Not Reported</t>
        </is>
      </c>
      <c r="W221" s="202" t="inlineStr">
        <is>
          <t>Not Reported</t>
        </is>
      </c>
      <c r="X221" s="202" t="inlineStr">
        <is>
          <t>Not Reported</t>
        </is>
      </c>
      <c r="Y221" s="202" t="inlineStr">
        <is>
          <t>Not Reported</t>
        </is>
      </c>
      <c r="Z221" s="202" t="inlineStr">
        <is>
          <t>Not Reported</t>
        </is>
      </c>
      <c r="AA221" s="202" t="inlineStr">
        <is>
          <t>Not Reported</t>
        </is>
      </c>
      <c r="AB221" s="209" t="inlineStr">
        <is>
          <t>Not Reported</t>
        </is>
      </c>
      <c r="AC221" s="199" t="inlineStr">
        <is>
          <t>Not Reported</t>
        </is>
      </c>
      <c r="AD221" s="163" t="n">
        <v>30</v>
      </c>
      <c r="AE221" s="202" t="inlineStr">
        <is>
          <t>Met</t>
        </is>
      </c>
      <c r="AF221" s="95" t="inlineStr">
        <is>
          <t>Not Reported</t>
        </is>
      </c>
      <c r="AG221" s="149" t="inlineStr">
        <is>
          <t>Not Reported</t>
        </is>
      </c>
      <c r="AH221" s="285" t="n">
        <v>0</v>
      </c>
      <c r="AI221" s="285" t="inlineStr">
        <is>
          <t>Not Reported</t>
        </is>
      </c>
      <c r="AJ221" s="95" t="inlineStr">
        <is>
          <t>Not Reported</t>
        </is>
      </c>
      <c r="AK221" s="97" t="inlineStr">
        <is>
          <t>Not Reported</t>
        </is>
      </c>
    </row>
    <row r="222">
      <c r="A222" s="21" t="inlineStr">
        <is>
          <t>Mahindra Holidays</t>
        </is>
      </c>
      <c r="B222" s="5" t="inlineStr">
        <is>
          <t>West 1</t>
        </is>
      </c>
      <c r="C222" s="76" t="inlineStr">
        <is>
          <t>Geetu</t>
        </is>
      </c>
      <c r="D222" s="26" t="inlineStr">
        <is>
          <t>Sahil</t>
        </is>
      </c>
      <c r="E222" s="26" t="inlineStr">
        <is>
          <t>Category (B)</t>
        </is>
      </c>
      <c r="F222" s="21" t="inlineStr">
        <is>
          <t>Internal KPI</t>
        </is>
      </c>
      <c r="G222" s="21" t="inlineStr">
        <is>
          <t>No</t>
        </is>
      </c>
      <c r="H222" s="27" t="inlineStr">
        <is>
          <t>Time to Hire</t>
        </is>
      </c>
      <c r="I222" s="14" t="inlineStr">
        <is>
          <t>45 Days</t>
        </is>
      </c>
      <c r="J222" s="17" t="inlineStr">
        <is>
          <t>Not Reported</t>
        </is>
      </c>
      <c r="K222" s="28" t="inlineStr">
        <is>
          <t>Not Reported</t>
        </is>
      </c>
      <c r="L222" s="17" t="inlineStr">
        <is>
          <t>Not Reported</t>
        </is>
      </c>
      <c r="M222" s="28" t="inlineStr">
        <is>
          <t>Not Reported</t>
        </is>
      </c>
      <c r="N222" s="17" t="inlineStr">
        <is>
          <t>Not Reported</t>
        </is>
      </c>
      <c r="O222" s="28" t="inlineStr">
        <is>
          <t>Not Reported</t>
        </is>
      </c>
      <c r="P222" s="17" t="inlineStr">
        <is>
          <t>Not Reported</t>
        </is>
      </c>
      <c r="Q222" s="28" t="inlineStr">
        <is>
          <t>Not Reported</t>
        </is>
      </c>
      <c r="R222" s="28" t="inlineStr">
        <is>
          <t>Not Reported</t>
        </is>
      </c>
      <c r="S222" s="28" t="inlineStr">
        <is>
          <t xml:space="preserve">Not Reported </t>
        </is>
      </c>
      <c r="T222" s="28" t="inlineStr">
        <is>
          <t>Not Reported</t>
        </is>
      </c>
      <c r="U222" s="28" t="inlineStr">
        <is>
          <t>Not Reported</t>
        </is>
      </c>
      <c r="V222" s="28" t="inlineStr">
        <is>
          <t>Not Reported</t>
        </is>
      </c>
      <c r="W222" s="28" t="inlineStr">
        <is>
          <t>Not Reported</t>
        </is>
      </c>
      <c r="X222" s="28" t="inlineStr">
        <is>
          <t>Not Reported</t>
        </is>
      </c>
      <c r="Y222" s="28" t="inlineStr">
        <is>
          <t>Not Reported</t>
        </is>
      </c>
      <c r="Z222" s="28" t="inlineStr">
        <is>
          <t>Not Reported</t>
        </is>
      </c>
      <c r="AA222" s="28" t="inlineStr">
        <is>
          <t>Not Reported</t>
        </is>
      </c>
      <c r="AB222" s="95" t="inlineStr">
        <is>
          <t>Not Reported</t>
        </is>
      </c>
      <c r="AC222" s="90" t="inlineStr">
        <is>
          <t>Not Reported</t>
        </is>
      </c>
      <c r="AD222" s="97" t="n">
        <v>45</v>
      </c>
      <c r="AE222" s="28" t="inlineStr">
        <is>
          <t>Met</t>
        </is>
      </c>
      <c r="AF222" s="95" t="inlineStr">
        <is>
          <t>Not Reported</t>
        </is>
      </c>
      <c r="AG222" s="149" t="inlineStr">
        <is>
          <t>Not Reported</t>
        </is>
      </c>
      <c r="AH222" s="285" t="n">
        <v>0</v>
      </c>
      <c r="AI222" s="285" t="inlineStr">
        <is>
          <t>Not Reported</t>
        </is>
      </c>
      <c r="AJ222" s="95" t="inlineStr">
        <is>
          <t>Not Reported</t>
        </is>
      </c>
      <c r="AK222" s="97" t="inlineStr">
        <is>
          <t>Not Reported</t>
        </is>
      </c>
    </row>
    <row r="223">
      <c r="A223" s="21" t="inlineStr">
        <is>
          <t>Mahindra Holidays</t>
        </is>
      </c>
      <c r="B223" s="5" t="inlineStr">
        <is>
          <t>West 1</t>
        </is>
      </c>
      <c r="C223" s="76" t="inlineStr">
        <is>
          <t>Geetu</t>
        </is>
      </c>
      <c r="D223" s="26" t="inlineStr">
        <is>
          <t>Sahil</t>
        </is>
      </c>
      <c r="E223" s="26" t="inlineStr">
        <is>
          <t>Category (B)</t>
        </is>
      </c>
      <c r="F223" s="21" t="inlineStr">
        <is>
          <t>Internal KPI</t>
        </is>
      </c>
      <c r="G223" s="21" t="inlineStr">
        <is>
          <t>No</t>
        </is>
      </c>
      <c r="H223" s="27" t="inlineStr">
        <is>
          <t>First Time Right Ratio</t>
        </is>
      </c>
      <c r="I223" s="14" t="inlineStr">
        <is>
          <t>&gt;75%</t>
        </is>
      </c>
      <c r="J223" s="17" t="inlineStr">
        <is>
          <t>Not Reported</t>
        </is>
      </c>
      <c r="K223" s="28" t="inlineStr">
        <is>
          <t>Not Reported</t>
        </is>
      </c>
      <c r="L223" s="17" t="inlineStr">
        <is>
          <t>Not Reported</t>
        </is>
      </c>
      <c r="M223" s="28" t="inlineStr">
        <is>
          <t>Not Reported</t>
        </is>
      </c>
      <c r="N223" s="17" t="inlineStr">
        <is>
          <t>Not Reported</t>
        </is>
      </c>
      <c r="O223" s="28" t="inlineStr">
        <is>
          <t>Not Reported</t>
        </is>
      </c>
      <c r="P223" s="17" t="inlineStr">
        <is>
          <t>Not Reported</t>
        </is>
      </c>
      <c r="Q223" s="28" t="inlineStr">
        <is>
          <t>Not Reported</t>
        </is>
      </c>
      <c r="R223" s="28" t="inlineStr">
        <is>
          <t>Not Reported</t>
        </is>
      </c>
      <c r="S223" s="28" t="inlineStr">
        <is>
          <t xml:space="preserve">Not Reported </t>
        </is>
      </c>
      <c r="T223" s="28" t="inlineStr">
        <is>
          <t>Not Reported</t>
        </is>
      </c>
      <c r="U223" s="28" t="inlineStr">
        <is>
          <t>Not Reported</t>
        </is>
      </c>
      <c r="V223" s="28" t="inlineStr">
        <is>
          <t>Not Reported</t>
        </is>
      </c>
      <c r="W223" s="28" t="inlineStr">
        <is>
          <t>Not Reported</t>
        </is>
      </c>
      <c r="X223" s="28" t="inlineStr">
        <is>
          <t>Not Reported</t>
        </is>
      </c>
      <c r="Y223" s="28" t="inlineStr">
        <is>
          <t>Not Reported</t>
        </is>
      </c>
      <c r="Z223" s="28" t="inlineStr">
        <is>
          <t>Not Reported</t>
        </is>
      </c>
      <c r="AA223" s="28" t="inlineStr">
        <is>
          <t>Not Reported</t>
        </is>
      </c>
      <c r="AB223" s="95" t="inlineStr">
        <is>
          <t>Not Reported</t>
        </is>
      </c>
      <c r="AC223" s="90" t="inlineStr">
        <is>
          <t>Not Reported</t>
        </is>
      </c>
      <c r="AD223" s="126" t="n">
        <v>0.3</v>
      </c>
      <c r="AE223" s="28" t="inlineStr">
        <is>
          <t>Not Met</t>
        </is>
      </c>
      <c r="AF223" s="95" t="inlineStr">
        <is>
          <t>Not Reported</t>
        </is>
      </c>
      <c r="AG223" s="149" t="inlineStr">
        <is>
          <t>Not Reported</t>
        </is>
      </c>
      <c r="AH223" s="285" t="n">
        <v>0</v>
      </c>
      <c r="AI223" s="285" t="inlineStr">
        <is>
          <t>Not Reported</t>
        </is>
      </c>
      <c r="AJ223" s="95" t="inlineStr">
        <is>
          <t>Not Reported</t>
        </is>
      </c>
      <c r="AK223" s="126" t="inlineStr">
        <is>
          <t>Not Reported</t>
        </is>
      </c>
    </row>
    <row r="224">
      <c r="A224" s="21" t="inlineStr">
        <is>
          <t>Mahindra Holidays</t>
        </is>
      </c>
      <c r="B224" s="5" t="inlineStr">
        <is>
          <t>West 1</t>
        </is>
      </c>
      <c r="C224" s="76" t="inlineStr">
        <is>
          <t>Geetu</t>
        </is>
      </c>
      <c r="D224" s="26" t="inlineStr">
        <is>
          <t>Sahil</t>
        </is>
      </c>
      <c r="E224" s="26" t="inlineStr">
        <is>
          <t>Category (B)</t>
        </is>
      </c>
      <c r="F224" s="21" t="inlineStr">
        <is>
          <t>Internal KPI</t>
        </is>
      </c>
      <c r="G224" s="21" t="inlineStr">
        <is>
          <t>No</t>
        </is>
      </c>
      <c r="H224" s="27" t="inlineStr">
        <is>
          <t>Hit Ratio</t>
        </is>
      </c>
      <c r="I224" s="20" t="n">
        <v>0.1</v>
      </c>
      <c r="J224" s="17" t="inlineStr">
        <is>
          <t>Not Reported</t>
        </is>
      </c>
      <c r="K224" s="28" t="inlineStr">
        <is>
          <t>Not Reported</t>
        </is>
      </c>
      <c r="L224" s="17" t="inlineStr">
        <is>
          <t>Not Reported</t>
        </is>
      </c>
      <c r="M224" s="28" t="inlineStr">
        <is>
          <t>Not Reported</t>
        </is>
      </c>
      <c r="N224" s="17" t="inlineStr">
        <is>
          <t>Not Reported</t>
        </is>
      </c>
      <c r="O224" s="28" t="inlineStr">
        <is>
          <t>Not Reported</t>
        </is>
      </c>
      <c r="P224" s="17" t="inlineStr">
        <is>
          <t>Not Reported</t>
        </is>
      </c>
      <c r="Q224" s="28" t="inlineStr">
        <is>
          <t>Not Reported</t>
        </is>
      </c>
      <c r="R224" s="28" t="inlineStr">
        <is>
          <t>Not Reported</t>
        </is>
      </c>
      <c r="S224" s="28" t="inlineStr">
        <is>
          <t xml:space="preserve">Not Reported </t>
        </is>
      </c>
      <c r="T224" s="28" t="inlineStr">
        <is>
          <t>Not Reported</t>
        </is>
      </c>
      <c r="U224" s="28" t="inlineStr">
        <is>
          <t>Not Reported</t>
        </is>
      </c>
      <c r="V224" s="28" t="inlineStr">
        <is>
          <t>Not Reported</t>
        </is>
      </c>
      <c r="W224" s="28" t="inlineStr">
        <is>
          <t>Not Reported</t>
        </is>
      </c>
      <c r="X224" s="28" t="inlineStr">
        <is>
          <t>Not Reported</t>
        </is>
      </c>
      <c r="Y224" s="28" t="inlineStr">
        <is>
          <t>Not Reported</t>
        </is>
      </c>
      <c r="Z224" s="28" t="inlineStr">
        <is>
          <t>Not Reported</t>
        </is>
      </c>
      <c r="AA224" s="28" t="inlineStr">
        <is>
          <t>Not Reported</t>
        </is>
      </c>
      <c r="AB224" s="95" t="inlineStr">
        <is>
          <t>Not Reported</t>
        </is>
      </c>
      <c r="AC224" s="90" t="inlineStr">
        <is>
          <t>Not Reported</t>
        </is>
      </c>
      <c r="AD224" s="128" t="n">
        <v>0.1</v>
      </c>
      <c r="AE224" s="28" t="inlineStr">
        <is>
          <t>Met</t>
        </is>
      </c>
      <c r="AF224" s="95" t="inlineStr">
        <is>
          <t>Not Reported</t>
        </is>
      </c>
      <c r="AG224" s="149" t="inlineStr">
        <is>
          <t>Not Reported</t>
        </is>
      </c>
      <c r="AH224" s="285" t="n">
        <v>0</v>
      </c>
      <c r="AI224" s="285" t="inlineStr">
        <is>
          <t>Not Reported</t>
        </is>
      </c>
      <c r="AJ224" s="95" t="inlineStr">
        <is>
          <t>Not Reported</t>
        </is>
      </c>
      <c r="AK224" s="127" t="inlineStr">
        <is>
          <t>Not Reported</t>
        </is>
      </c>
    </row>
    <row r="225">
      <c r="A225" s="21" t="inlineStr">
        <is>
          <t>Mahindra Holidays</t>
        </is>
      </c>
      <c r="B225" s="5" t="inlineStr">
        <is>
          <t>West 1</t>
        </is>
      </c>
      <c r="C225" s="76" t="inlineStr">
        <is>
          <t>Geetu</t>
        </is>
      </c>
      <c r="D225" s="26" t="inlineStr">
        <is>
          <t>Sahil</t>
        </is>
      </c>
      <c r="E225" s="26" t="inlineStr">
        <is>
          <t>Category (B)</t>
        </is>
      </c>
      <c r="F225" s="21" t="inlineStr">
        <is>
          <t>Internal KPI</t>
        </is>
      </c>
      <c r="G225" s="21" t="inlineStr">
        <is>
          <t>No</t>
        </is>
      </c>
      <c r="H225" s="21" t="inlineStr">
        <is>
          <t>Ageing</t>
        </is>
      </c>
      <c r="I225" s="20" t="n">
        <v>0.2</v>
      </c>
      <c r="J225" s="17" t="inlineStr">
        <is>
          <t>Not Reported</t>
        </is>
      </c>
      <c r="K225" s="28" t="inlineStr">
        <is>
          <t>Not Reported</t>
        </is>
      </c>
      <c r="L225" s="17" t="inlineStr">
        <is>
          <t>Not Reported</t>
        </is>
      </c>
      <c r="M225" s="28" t="inlineStr">
        <is>
          <t>Not Reported</t>
        </is>
      </c>
      <c r="N225" s="17" t="inlineStr">
        <is>
          <t>Not Reported</t>
        </is>
      </c>
      <c r="O225" s="28" t="inlineStr">
        <is>
          <t>Not Reported</t>
        </is>
      </c>
      <c r="P225" s="17" t="inlineStr">
        <is>
          <t>Not Reported</t>
        </is>
      </c>
      <c r="Q225" s="28" t="inlineStr">
        <is>
          <t>Not Reported</t>
        </is>
      </c>
      <c r="R225" s="28" t="inlineStr">
        <is>
          <t>Not Reported</t>
        </is>
      </c>
      <c r="S225" s="28" t="inlineStr">
        <is>
          <t xml:space="preserve">Not Reported </t>
        </is>
      </c>
      <c r="T225" s="28" t="inlineStr">
        <is>
          <t>Not Reported</t>
        </is>
      </c>
      <c r="U225" s="28" t="inlineStr">
        <is>
          <t>Not Reported</t>
        </is>
      </c>
      <c r="V225" s="28" t="inlineStr">
        <is>
          <t>Not Reported</t>
        </is>
      </c>
      <c r="W225" s="28" t="inlineStr">
        <is>
          <t>Not Reported</t>
        </is>
      </c>
      <c r="X225" s="28" t="inlineStr">
        <is>
          <t>Not Reported</t>
        </is>
      </c>
      <c r="Y225" s="28" t="inlineStr">
        <is>
          <t>Not Reported</t>
        </is>
      </c>
      <c r="Z225" s="28" t="inlineStr">
        <is>
          <t>Not Reported</t>
        </is>
      </c>
      <c r="AA225" s="28" t="inlineStr">
        <is>
          <t>Not Reported</t>
        </is>
      </c>
      <c r="AB225" s="95" t="inlineStr">
        <is>
          <t>Not Reported</t>
        </is>
      </c>
      <c r="AC225" s="90" t="inlineStr">
        <is>
          <t>Not Reported</t>
        </is>
      </c>
      <c r="AD225" s="128" t="n">
        <v>0.4</v>
      </c>
      <c r="AE225" s="28" t="inlineStr">
        <is>
          <t>Not Met</t>
        </is>
      </c>
      <c r="AF225" s="95" t="inlineStr">
        <is>
          <t>Not Reported</t>
        </is>
      </c>
      <c r="AG225" s="149" t="inlineStr">
        <is>
          <t>Not Reported</t>
        </is>
      </c>
      <c r="AH225" s="285" t="n">
        <v>0</v>
      </c>
      <c r="AI225" s="285" t="inlineStr">
        <is>
          <t>Not Reported</t>
        </is>
      </c>
      <c r="AJ225" s="95" t="inlineStr">
        <is>
          <t>Not Reported</t>
        </is>
      </c>
      <c r="AK225" s="127" t="inlineStr">
        <is>
          <t>Not Reported</t>
        </is>
      </c>
    </row>
    <row r="226">
      <c r="A226" s="21" t="inlineStr">
        <is>
          <t>Mahindra Holidays</t>
        </is>
      </c>
      <c r="B226" s="5" t="inlineStr">
        <is>
          <t>West 1</t>
        </is>
      </c>
      <c r="C226" s="76" t="inlineStr">
        <is>
          <t>Geetu</t>
        </is>
      </c>
      <c r="D226" s="26" t="inlineStr">
        <is>
          <t>Sahil</t>
        </is>
      </c>
      <c r="E226" s="26" t="inlineStr">
        <is>
          <t>Category (B)</t>
        </is>
      </c>
      <c r="F226" s="21" t="inlineStr">
        <is>
          <t>Internal KPI</t>
        </is>
      </c>
      <c r="G226" s="21" t="inlineStr">
        <is>
          <t>No</t>
        </is>
      </c>
      <c r="H226" s="21" t="inlineStr">
        <is>
          <t>Offer Drop</t>
        </is>
      </c>
      <c r="I226" s="20" t="n">
        <v>0.3</v>
      </c>
      <c r="J226" s="17" t="inlineStr">
        <is>
          <t>Not Reported</t>
        </is>
      </c>
      <c r="K226" s="28" t="inlineStr">
        <is>
          <t>Not Reported</t>
        </is>
      </c>
      <c r="L226" s="17" t="inlineStr">
        <is>
          <t>Not Reported</t>
        </is>
      </c>
      <c r="M226" s="28" t="inlineStr">
        <is>
          <t>Not Reported</t>
        </is>
      </c>
      <c r="N226" s="17" t="inlineStr">
        <is>
          <t>Not Reported</t>
        </is>
      </c>
      <c r="O226" s="28" t="inlineStr">
        <is>
          <t>Not Reported</t>
        </is>
      </c>
      <c r="P226" s="17" t="inlineStr">
        <is>
          <t>Not Reported</t>
        </is>
      </c>
      <c r="Q226" s="28" t="inlineStr">
        <is>
          <t>Not Reported</t>
        </is>
      </c>
      <c r="R226" s="28" t="inlineStr">
        <is>
          <t>Not Reported</t>
        </is>
      </c>
      <c r="S226" s="28" t="inlineStr">
        <is>
          <t xml:space="preserve">Not Reported </t>
        </is>
      </c>
      <c r="T226" s="28" t="inlineStr">
        <is>
          <t>Not Reported</t>
        </is>
      </c>
      <c r="U226" s="28" t="inlineStr">
        <is>
          <t>Not Reported</t>
        </is>
      </c>
      <c r="V226" s="28" t="inlineStr">
        <is>
          <t>Not Reported</t>
        </is>
      </c>
      <c r="W226" s="28" t="inlineStr">
        <is>
          <t>Not Reported</t>
        </is>
      </c>
      <c r="X226" s="28" t="inlineStr">
        <is>
          <t>Not Reported</t>
        </is>
      </c>
      <c r="Y226" s="28" t="inlineStr">
        <is>
          <t>Not Reported</t>
        </is>
      </c>
      <c r="Z226" s="28" t="inlineStr">
        <is>
          <t>Not Reported</t>
        </is>
      </c>
      <c r="AA226" s="28" t="inlineStr">
        <is>
          <t>Not Reported</t>
        </is>
      </c>
      <c r="AB226" s="95" t="inlineStr">
        <is>
          <t>Not Reported</t>
        </is>
      </c>
      <c r="AC226" s="90" t="inlineStr">
        <is>
          <t>Not Reported</t>
        </is>
      </c>
      <c r="AD226" s="126" t="n">
        <v>0.3</v>
      </c>
      <c r="AE226" s="28" t="inlineStr">
        <is>
          <t>Met</t>
        </is>
      </c>
      <c r="AF226" s="95" t="inlineStr">
        <is>
          <t>Not Reported</t>
        </is>
      </c>
      <c r="AG226" s="149" t="inlineStr">
        <is>
          <t>Not Reported</t>
        </is>
      </c>
      <c r="AH226" s="285" t="n">
        <v>0</v>
      </c>
      <c r="AI226" s="285" t="inlineStr">
        <is>
          <t>Not Reported</t>
        </is>
      </c>
      <c r="AJ226" s="95" t="inlineStr">
        <is>
          <t>Not Reported</t>
        </is>
      </c>
      <c r="AK226" s="126" t="inlineStr">
        <is>
          <t>Not Reported</t>
        </is>
      </c>
    </row>
    <row r="227">
      <c r="A227" s="21" t="inlineStr">
        <is>
          <t>Maruti Suzuki</t>
        </is>
      </c>
      <c r="B227" s="5" t="inlineStr">
        <is>
          <t>North</t>
        </is>
      </c>
      <c r="C227" s="277" t="inlineStr">
        <is>
          <t>Archana Trikha</t>
        </is>
      </c>
      <c r="D227" s="26" t="inlineStr">
        <is>
          <t>Rishab</t>
        </is>
      </c>
      <c r="E227" s="26" t="inlineStr">
        <is>
          <t>Category (A)</t>
        </is>
      </c>
      <c r="F227" s="21" t="inlineStr">
        <is>
          <t>Internal KPI</t>
        </is>
      </c>
      <c r="G227" s="21" t="inlineStr">
        <is>
          <t>No</t>
        </is>
      </c>
      <c r="H227" s="26" t="inlineStr">
        <is>
          <t>Time to Hire</t>
        </is>
      </c>
      <c r="I227" s="11" t="inlineStr">
        <is>
          <t>90 Days</t>
        </is>
      </c>
      <c r="J227" s="17" t="inlineStr">
        <is>
          <t>Not Reported</t>
        </is>
      </c>
      <c r="K227" s="28" t="inlineStr">
        <is>
          <t>Not Reported</t>
        </is>
      </c>
      <c r="L227" s="14" t="n">
        <v>215</v>
      </c>
      <c r="M227" s="28" t="inlineStr">
        <is>
          <t>Not Met</t>
        </is>
      </c>
      <c r="N227" s="28" t="inlineStr">
        <is>
          <t xml:space="preserve">Not Reported </t>
        </is>
      </c>
      <c r="O227" s="28" t="inlineStr">
        <is>
          <t>Not Reported</t>
        </is>
      </c>
      <c r="P227" s="28" t="inlineStr">
        <is>
          <t xml:space="preserve">Not Reported </t>
        </is>
      </c>
      <c r="Q227" s="28" t="inlineStr">
        <is>
          <t>Not Reported</t>
        </is>
      </c>
      <c r="R227" s="28" t="inlineStr">
        <is>
          <t>243 Days</t>
        </is>
      </c>
      <c r="S227" s="28" t="inlineStr">
        <is>
          <t>Not Met</t>
        </is>
      </c>
      <c r="T227" s="14" t="n">
        <v>243</v>
      </c>
      <c r="U227" s="28" t="inlineStr">
        <is>
          <t>Not Met</t>
        </is>
      </c>
      <c r="V227" s="14" t="n">
        <v>270</v>
      </c>
      <c r="W227" s="28" t="inlineStr">
        <is>
          <t>Not Met</t>
        </is>
      </c>
      <c r="X227" s="28" t="inlineStr">
        <is>
          <t xml:space="preserve">Not Reported </t>
        </is>
      </c>
      <c r="Y227" s="28" t="inlineStr">
        <is>
          <t>Not Reported</t>
        </is>
      </c>
      <c r="Z227" s="28" t="inlineStr">
        <is>
          <t xml:space="preserve">212 Days </t>
        </is>
      </c>
      <c r="AA227" s="28" t="inlineStr">
        <is>
          <t>Not Met</t>
        </is>
      </c>
      <c r="AB227" s="14" t="n">
        <v>226</v>
      </c>
      <c r="AC227" s="28" t="inlineStr">
        <is>
          <t>Not Met</t>
        </is>
      </c>
      <c r="AD227" s="95" t="n">
        <v>167</v>
      </c>
      <c r="AE227" s="28" t="inlineStr">
        <is>
          <t>Not Met</t>
        </is>
      </c>
      <c r="AF227" s="95" t="n">
        <v>230</v>
      </c>
      <c r="AG227" s="28" t="inlineStr">
        <is>
          <t>Not Met</t>
        </is>
      </c>
      <c r="AH227" s="285" t="n">
        <v>42</v>
      </c>
      <c r="AI227" s="285" t="inlineStr">
        <is>
          <t>Not Met</t>
        </is>
      </c>
      <c r="AJ227" s="9" t="n">
        <v>222</v>
      </c>
      <c r="AK227" s="28" t="inlineStr">
        <is>
          <t>Not Met</t>
        </is>
      </c>
    </row>
    <row r="228">
      <c r="A228" s="21" t="inlineStr">
        <is>
          <t>Maruti Suzuki</t>
        </is>
      </c>
      <c r="B228" s="5" t="inlineStr">
        <is>
          <t>North</t>
        </is>
      </c>
      <c r="C228" s="277" t="inlineStr">
        <is>
          <t>Archana Trikha</t>
        </is>
      </c>
      <c r="D228" s="26" t="inlineStr">
        <is>
          <t>Rishab</t>
        </is>
      </c>
      <c r="E228" s="26" t="inlineStr">
        <is>
          <t>Category (A)</t>
        </is>
      </c>
      <c r="F228" s="21" t="inlineStr">
        <is>
          <t>Internal KPI</t>
        </is>
      </c>
      <c r="G228" s="21" t="inlineStr">
        <is>
          <t>No</t>
        </is>
      </c>
      <c r="H228" s="26" t="inlineStr">
        <is>
          <t>Time to Fill</t>
        </is>
      </c>
      <c r="I228" s="11" t="inlineStr">
        <is>
          <t xml:space="preserve">45 Days </t>
        </is>
      </c>
      <c r="J228" s="17" t="inlineStr">
        <is>
          <t>Not Reported</t>
        </is>
      </c>
      <c r="K228" s="28" t="inlineStr">
        <is>
          <t>Not Reported</t>
        </is>
      </c>
      <c r="L228" s="14" t="n">
        <v>170</v>
      </c>
      <c r="M228" s="28" t="inlineStr">
        <is>
          <t>Not Met</t>
        </is>
      </c>
      <c r="N228" s="28" t="inlineStr">
        <is>
          <t xml:space="preserve">Not Reported </t>
        </is>
      </c>
      <c r="O228" s="28" t="inlineStr">
        <is>
          <t>Not Reported</t>
        </is>
      </c>
      <c r="P228" s="28" t="inlineStr">
        <is>
          <t xml:space="preserve">Not Reported </t>
        </is>
      </c>
      <c r="Q228" s="28" t="inlineStr">
        <is>
          <t>Not Reported</t>
        </is>
      </c>
      <c r="R228" s="28" t="inlineStr">
        <is>
          <t xml:space="preserve">144 Days </t>
        </is>
      </c>
      <c r="S228" s="28" t="inlineStr">
        <is>
          <t>Not Met</t>
        </is>
      </c>
      <c r="T228" s="14" t="n">
        <v>118</v>
      </c>
      <c r="U228" s="28" t="inlineStr">
        <is>
          <t>Not Met</t>
        </is>
      </c>
      <c r="V228" s="14" t="n">
        <v>113</v>
      </c>
      <c r="W228" s="28" t="inlineStr">
        <is>
          <t>Not Met</t>
        </is>
      </c>
      <c r="X228" s="28" t="inlineStr">
        <is>
          <t xml:space="preserve">Not Reported </t>
        </is>
      </c>
      <c r="Y228" s="28" t="inlineStr">
        <is>
          <t>Not Reported</t>
        </is>
      </c>
      <c r="Z228" s="28" t="inlineStr">
        <is>
          <t xml:space="preserve">140 Days </t>
        </is>
      </c>
      <c r="AA228" s="28" t="inlineStr">
        <is>
          <t>Not Met</t>
        </is>
      </c>
      <c r="AB228" s="14" t="n">
        <v>128</v>
      </c>
      <c r="AC228" s="28" t="inlineStr">
        <is>
          <t>Not Met</t>
        </is>
      </c>
      <c r="AD228" s="95" t="n">
        <v>113</v>
      </c>
      <c r="AE228" s="28" t="inlineStr">
        <is>
          <t>Not Met</t>
        </is>
      </c>
      <c r="AF228" s="95" t="n">
        <v>98</v>
      </c>
      <c r="AG228" s="28" t="inlineStr">
        <is>
          <t>Not Met</t>
        </is>
      </c>
      <c r="AH228" s="285" t="n">
        <v>42</v>
      </c>
      <c r="AI228" s="285" t="inlineStr">
        <is>
          <t>Not Met</t>
        </is>
      </c>
      <c r="AJ228" s="9" t="n">
        <v>133</v>
      </c>
      <c r="AK228" s="28" t="inlineStr">
        <is>
          <t>Not Met</t>
        </is>
      </c>
    </row>
    <row r="229">
      <c r="A229" s="21" t="inlineStr">
        <is>
          <t>Maruti Suzuki</t>
        </is>
      </c>
      <c r="B229" s="5" t="inlineStr">
        <is>
          <t>North</t>
        </is>
      </c>
      <c r="C229" s="277" t="inlineStr">
        <is>
          <t>Archana Trikha</t>
        </is>
      </c>
      <c r="D229" s="26" t="inlineStr">
        <is>
          <t>Rishab</t>
        </is>
      </c>
      <c r="E229" s="26" t="inlineStr">
        <is>
          <t>Category (A)</t>
        </is>
      </c>
      <c r="F229" s="21" t="inlineStr">
        <is>
          <t>Internal KPI</t>
        </is>
      </c>
      <c r="G229" s="21" t="inlineStr">
        <is>
          <t>No</t>
        </is>
      </c>
      <c r="H229" s="26" t="inlineStr">
        <is>
          <t>Ageing</t>
        </is>
      </c>
      <c r="I229" s="11" t="n">
        <v>0.2</v>
      </c>
      <c r="J229" s="17" t="inlineStr">
        <is>
          <t>Not Reported</t>
        </is>
      </c>
      <c r="K229" s="28" t="inlineStr">
        <is>
          <t>Not Reported</t>
        </is>
      </c>
      <c r="L229" s="11" t="n">
        <v>0.79</v>
      </c>
      <c r="M229" s="28" t="inlineStr">
        <is>
          <t>Not Met</t>
        </is>
      </c>
      <c r="N229" s="29" t="n">
        <v>0.85</v>
      </c>
      <c r="O229" s="28" t="inlineStr">
        <is>
          <t>Not Met</t>
        </is>
      </c>
      <c r="P229" s="29" t="n">
        <v>0.85</v>
      </c>
      <c r="Q229" s="28" t="inlineStr">
        <is>
          <t>Not Met</t>
        </is>
      </c>
      <c r="R229" s="29" t="n">
        <v>0.59</v>
      </c>
      <c r="S229" s="28" t="inlineStr">
        <is>
          <t>Not Met</t>
        </is>
      </c>
      <c r="T229" s="11" t="n">
        <v>0.75</v>
      </c>
      <c r="U229" s="28" t="inlineStr">
        <is>
          <t>Not Met</t>
        </is>
      </c>
      <c r="V229" s="11" t="n">
        <v>0.73</v>
      </c>
      <c r="W229" s="28" t="inlineStr">
        <is>
          <t>Not Met</t>
        </is>
      </c>
      <c r="X229" s="28" t="inlineStr">
        <is>
          <t xml:space="preserve">Not Reported </t>
        </is>
      </c>
      <c r="Y229" s="28" t="inlineStr">
        <is>
          <t>Not Reported</t>
        </is>
      </c>
      <c r="Z229" s="11" t="n">
        <v>0.64</v>
      </c>
      <c r="AA229" s="28" t="inlineStr">
        <is>
          <t>Not Met</t>
        </is>
      </c>
      <c r="AB229" s="11" t="n">
        <v>0.6683673469387755</v>
      </c>
      <c r="AC229" s="28" t="inlineStr">
        <is>
          <t>Not Met</t>
        </is>
      </c>
      <c r="AD229" s="102" t="n">
        <v>0.71</v>
      </c>
      <c r="AE229" s="28" t="inlineStr">
        <is>
          <t>Not Met</t>
        </is>
      </c>
      <c r="AF229" s="102" t="n">
        <v>0.72</v>
      </c>
      <c r="AG229" s="28" t="inlineStr">
        <is>
          <t>Not Met</t>
        </is>
      </c>
      <c r="AH229" s="285" t="n">
        <v>42</v>
      </c>
      <c r="AI229" s="285" t="inlineStr">
        <is>
          <t>Not Met</t>
        </is>
      </c>
      <c r="AJ229" s="102" t="n">
        <v>0.72</v>
      </c>
      <c r="AK229" s="28" t="inlineStr">
        <is>
          <t>Not Met</t>
        </is>
      </c>
    </row>
    <row r="230">
      <c r="A230" s="21" t="inlineStr">
        <is>
          <t>Maruti Suzuki</t>
        </is>
      </c>
      <c r="B230" s="5" t="inlineStr">
        <is>
          <t>North</t>
        </is>
      </c>
      <c r="C230" s="277" t="inlineStr">
        <is>
          <t>Archana Trikha</t>
        </is>
      </c>
      <c r="D230" s="26" t="inlineStr">
        <is>
          <t>Rishab</t>
        </is>
      </c>
      <c r="E230" s="26" t="inlineStr">
        <is>
          <t>Category (A)</t>
        </is>
      </c>
      <c r="F230" s="21" t="inlineStr">
        <is>
          <t>Internal KPI</t>
        </is>
      </c>
      <c r="G230" s="21" t="inlineStr">
        <is>
          <t>No</t>
        </is>
      </c>
      <c r="H230" s="26" t="inlineStr">
        <is>
          <t>First Time Right Ratio</t>
        </is>
      </c>
      <c r="I230" s="11" t="n">
        <v>0.6</v>
      </c>
      <c r="J230" s="17" t="inlineStr">
        <is>
          <t>Not Reported</t>
        </is>
      </c>
      <c r="K230" s="28" t="inlineStr">
        <is>
          <t>Not Reported</t>
        </is>
      </c>
      <c r="L230" s="11" t="n">
        <v>0.67</v>
      </c>
      <c r="M230" s="28" t="inlineStr">
        <is>
          <t>Met</t>
        </is>
      </c>
      <c r="N230" s="29" t="n">
        <v>0.73</v>
      </c>
      <c r="O230" s="28" t="inlineStr">
        <is>
          <t>Met</t>
        </is>
      </c>
      <c r="P230" s="29" t="n">
        <v>0.61</v>
      </c>
      <c r="Q230" s="28" t="inlineStr">
        <is>
          <t>Met</t>
        </is>
      </c>
      <c r="R230" s="29" t="n">
        <v>0.75</v>
      </c>
      <c r="S230" s="28" t="inlineStr">
        <is>
          <t>Met</t>
        </is>
      </c>
      <c r="T230" s="11" t="n">
        <v>0.66</v>
      </c>
      <c r="U230" s="28" t="inlineStr">
        <is>
          <t>Met</t>
        </is>
      </c>
      <c r="V230" s="11" t="n">
        <v>0.73</v>
      </c>
      <c r="W230" s="28" t="inlineStr">
        <is>
          <t>Met</t>
        </is>
      </c>
      <c r="X230" s="28" t="inlineStr">
        <is>
          <t xml:space="preserve">Not Reported </t>
        </is>
      </c>
      <c r="Y230" s="28" t="inlineStr">
        <is>
          <t>Not Reported</t>
        </is>
      </c>
      <c r="Z230" s="29" t="n">
        <v>0.6</v>
      </c>
      <c r="AA230" s="28" t="inlineStr">
        <is>
          <t>Met</t>
        </is>
      </c>
      <c r="AB230" s="11" t="n">
        <v>0.66</v>
      </c>
      <c r="AC230" s="28" t="inlineStr">
        <is>
          <t>Met</t>
        </is>
      </c>
      <c r="AD230" s="102" t="n">
        <v>0.57</v>
      </c>
      <c r="AE230" s="28" t="inlineStr">
        <is>
          <t>Not Met</t>
        </is>
      </c>
      <c r="AF230" s="102" t="n">
        <v>0.63</v>
      </c>
      <c r="AG230" s="202" t="inlineStr">
        <is>
          <t>Met</t>
        </is>
      </c>
      <c r="AH230" s="285" t="n">
        <v>42</v>
      </c>
      <c r="AI230" s="285" t="inlineStr">
        <is>
          <t>Not Met</t>
        </is>
      </c>
      <c r="AJ230" s="11" t="n">
        <v>0.61</v>
      </c>
      <c r="AK230" s="202" t="inlineStr">
        <is>
          <t>Met</t>
        </is>
      </c>
    </row>
    <row r="231">
      <c r="A231" s="21" t="inlineStr">
        <is>
          <t>Maruti Suzuki</t>
        </is>
      </c>
      <c r="B231" s="5" t="inlineStr">
        <is>
          <t>North</t>
        </is>
      </c>
      <c r="C231" s="277" t="inlineStr">
        <is>
          <t>Archana Trikha</t>
        </is>
      </c>
      <c r="D231" s="26" t="inlineStr">
        <is>
          <t>Rishab</t>
        </is>
      </c>
      <c r="E231" s="26" t="inlineStr">
        <is>
          <t>Category (A)</t>
        </is>
      </c>
      <c r="F231" s="21" t="inlineStr">
        <is>
          <t>Internal KPI</t>
        </is>
      </c>
      <c r="G231" s="21" t="inlineStr">
        <is>
          <t>No</t>
        </is>
      </c>
      <c r="H231" s="26" t="inlineStr">
        <is>
          <t>Hit Ratio</t>
        </is>
      </c>
      <c r="I231" s="30" t="inlineStr">
        <is>
          <t>1:10</t>
        </is>
      </c>
      <c r="J231" s="17" t="inlineStr">
        <is>
          <t>Not Reported</t>
        </is>
      </c>
      <c r="K231" s="28" t="inlineStr">
        <is>
          <t>Not Reported</t>
        </is>
      </c>
      <c r="L231" s="16" t="n">
        <v>0.04583333333333333</v>
      </c>
      <c r="M231" s="28" t="inlineStr">
        <is>
          <t>Met</t>
        </is>
      </c>
      <c r="N231" s="16" t="n">
        <v>0.04652777777777778</v>
      </c>
      <c r="O231" s="28" t="inlineStr">
        <is>
          <t>Met</t>
        </is>
      </c>
      <c r="P231" s="16" t="n">
        <v>0.04583333333333333</v>
      </c>
      <c r="Q231" s="28" t="inlineStr">
        <is>
          <t>Met</t>
        </is>
      </c>
      <c r="R231" s="16" t="n">
        <v>0.04583333333333333</v>
      </c>
      <c r="S231" s="28" t="inlineStr">
        <is>
          <t>Met</t>
        </is>
      </c>
      <c r="T231" s="16" t="n">
        <v>0.05208333333333334</v>
      </c>
      <c r="U231" s="28" t="inlineStr">
        <is>
          <t>Not Met</t>
        </is>
      </c>
      <c r="V231" s="16" t="n">
        <v>0.05625</v>
      </c>
      <c r="W231" s="28" t="inlineStr">
        <is>
          <t>Not Met</t>
        </is>
      </c>
      <c r="X231" s="28" t="inlineStr">
        <is>
          <t xml:space="preserve">Not Reported </t>
        </is>
      </c>
      <c r="Y231" s="28" t="inlineStr">
        <is>
          <t>Not Reported</t>
        </is>
      </c>
      <c r="Z231" s="30" t="inlineStr">
        <is>
          <t>1:10</t>
        </is>
      </c>
      <c r="AA231" s="28" t="inlineStr">
        <is>
          <t>Met</t>
        </is>
      </c>
      <c r="AB231" s="16" t="n">
        <v>0.05138888888888889</v>
      </c>
      <c r="AC231" s="28" t="inlineStr">
        <is>
          <t>Not Met</t>
        </is>
      </c>
      <c r="AD231" s="141" t="n">
        <v>0.05555555555555555</v>
      </c>
      <c r="AE231" s="28" t="inlineStr">
        <is>
          <t>Not Met</t>
        </is>
      </c>
      <c r="AF231" s="16" t="n">
        <v>0.05138888888888889</v>
      </c>
      <c r="AG231" s="28" t="inlineStr">
        <is>
          <t>Not Met</t>
        </is>
      </c>
      <c r="AH231" s="285" t="n">
        <v>42</v>
      </c>
      <c r="AI231" s="285" t="inlineStr">
        <is>
          <t>Not Met</t>
        </is>
      </c>
      <c r="AJ231" s="146" t="inlineStr">
        <is>
          <t>1:10</t>
        </is>
      </c>
      <c r="AK231" s="28" t="inlineStr">
        <is>
          <t>Not Met</t>
        </is>
      </c>
    </row>
    <row r="232">
      <c r="A232" s="21" t="inlineStr">
        <is>
          <t>Maruti Suzuki</t>
        </is>
      </c>
      <c r="B232" s="5" t="inlineStr">
        <is>
          <t>North</t>
        </is>
      </c>
      <c r="C232" s="277" t="inlineStr">
        <is>
          <t>Archana Trikha</t>
        </is>
      </c>
      <c r="D232" s="26" t="inlineStr">
        <is>
          <t>Rishab</t>
        </is>
      </c>
      <c r="E232" s="26" t="inlineStr">
        <is>
          <t>Category (A)</t>
        </is>
      </c>
      <c r="F232" s="21" t="inlineStr">
        <is>
          <t>Internal KPI</t>
        </is>
      </c>
      <c r="G232" s="21" t="inlineStr">
        <is>
          <t>No</t>
        </is>
      </c>
      <c r="H232" s="26" t="inlineStr">
        <is>
          <t>Offer Drop</t>
        </is>
      </c>
      <c r="I232" s="11" t="n">
        <v>0.2</v>
      </c>
      <c r="J232" s="17" t="inlineStr">
        <is>
          <t>Not Reported</t>
        </is>
      </c>
      <c r="K232" s="28" t="inlineStr">
        <is>
          <t>Not Reported</t>
        </is>
      </c>
      <c r="L232" s="29" t="n">
        <v>0.16</v>
      </c>
      <c r="M232" s="28" t="inlineStr">
        <is>
          <t>Met</t>
        </is>
      </c>
      <c r="N232" s="29" t="n">
        <v>0.08</v>
      </c>
      <c r="O232" s="28" t="inlineStr">
        <is>
          <t>Met</t>
        </is>
      </c>
      <c r="P232" s="29" t="n">
        <v>0.17</v>
      </c>
      <c r="Q232" s="28" t="inlineStr">
        <is>
          <t>Met</t>
        </is>
      </c>
      <c r="R232" s="29" t="n">
        <v>0.03</v>
      </c>
      <c r="S232" s="28" t="inlineStr">
        <is>
          <t>Met</t>
        </is>
      </c>
      <c r="T232" s="29" t="n">
        <v>0.05</v>
      </c>
      <c r="U232" s="28" t="inlineStr">
        <is>
          <t>Met</t>
        </is>
      </c>
      <c r="V232" s="29" t="n">
        <v>0.04</v>
      </c>
      <c r="W232" s="28" t="inlineStr">
        <is>
          <t>Met</t>
        </is>
      </c>
      <c r="X232" s="28" t="inlineStr">
        <is>
          <t xml:space="preserve">Not Reported </t>
        </is>
      </c>
      <c r="Y232" s="28" t="inlineStr">
        <is>
          <t>Not Reported</t>
        </is>
      </c>
      <c r="Z232" s="29" t="n">
        <v>0.05</v>
      </c>
      <c r="AA232" s="28" t="inlineStr">
        <is>
          <t>Met</t>
        </is>
      </c>
      <c r="AB232" s="102" t="n">
        <v>0.04</v>
      </c>
      <c r="AC232" s="28" t="inlineStr">
        <is>
          <t>Met</t>
        </is>
      </c>
      <c r="AD232" s="102" t="n">
        <v>0.02</v>
      </c>
      <c r="AE232" s="28" t="inlineStr">
        <is>
          <t>Met</t>
        </is>
      </c>
      <c r="AF232" s="102" t="n">
        <v>0.08</v>
      </c>
      <c r="AG232" s="202" t="inlineStr">
        <is>
          <t>Met</t>
        </is>
      </c>
      <c r="AH232" s="285" t="n">
        <v>42</v>
      </c>
      <c r="AI232" s="285" t="inlineStr">
        <is>
          <t>Not Met</t>
        </is>
      </c>
      <c r="AJ232" s="96" t="n">
        <v>0.18</v>
      </c>
      <c r="AK232" s="202" t="inlineStr">
        <is>
          <t>Met</t>
        </is>
      </c>
    </row>
    <row r="233">
      <c r="A233" s="21" t="inlineStr">
        <is>
          <t>Maruti Suzuki</t>
        </is>
      </c>
      <c r="B233" s="5" t="inlineStr">
        <is>
          <t>North</t>
        </is>
      </c>
      <c r="C233" s="277" t="inlineStr">
        <is>
          <t>Archana Trikha</t>
        </is>
      </c>
      <c r="D233" s="26" t="inlineStr">
        <is>
          <t>Rishab</t>
        </is>
      </c>
      <c r="E233" s="26" t="inlineStr">
        <is>
          <t>Category (A)</t>
        </is>
      </c>
      <c r="F233" s="21" t="inlineStr">
        <is>
          <t>Internal KPI</t>
        </is>
      </c>
      <c r="G233" s="21" t="inlineStr">
        <is>
          <t>No</t>
        </is>
      </c>
      <c r="H233" s="26" t="inlineStr">
        <is>
          <t xml:space="preserve">Fulfilment </t>
        </is>
      </c>
      <c r="I233" s="11" t="n">
        <v>0.85</v>
      </c>
      <c r="J233" s="17" t="inlineStr">
        <is>
          <t>Not Reported</t>
        </is>
      </c>
      <c r="K233" s="28" t="inlineStr">
        <is>
          <t>Not Reported</t>
        </is>
      </c>
      <c r="L233" s="28" t="inlineStr">
        <is>
          <t>Not Shared</t>
        </is>
      </c>
      <c r="M233" s="28" t="inlineStr">
        <is>
          <t>Not Shared</t>
        </is>
      </c>
      <c r="N233" s="28" t="inlineStr">
        <is>
          <t xml:space="preserve">Not Reported </t>
        </is>
      </c>
      <c r="O233" s="28" t="inlineStr">
        <is>
          <t>Not Reported</t>
        </is>
      </c>
      <c r="P233" s="28" t="inlineStr">
        <is>
          <t xml:space="preserve">Not Reported </t>
        </is>
      </c>
      <c r="Q233" s="28" t="inlineStr">
        <is>
          <t>Not Reported</t>
        </is>
      </c>
      <c r="R233" s="28" t="inlineStr">
        <is>
          <t>Not Reported</t>
        </is>
      </c>
      <c r="S233" s="28" t="inlineStr">
        <is>
          <t xml:space="preserve">Not Reported </t>
        </is>
      </c>
      <c r="T233" s="29" t="n">
        <v>0.22</v>
      </c>
      <c r="U233" s="28" t="inlineStr">
        <is>
          <t>Not Met</t>
        </is>
      </c>
      <c r="V233" s="29" t="n">
        <v>0.72</v>
      </c>
      <c r="W233" s="28" t="inlineStr">
        <is>
          <t>Not Met</t>
        </is>
      </c>
      <c r="X233" s="28" t="inlineStr">
        <is>
          <t xml:space="preserve">Not Reported </t>
        </is>
      </c>
      <c r="Y233" s="28" t="inlineStr">
        <is>
          <t>Not Reported</t>
        </is>
      </c>
      <c r="Z233" s="28" t="inlineStr">
        <is>
          <t xml:space="preserve">NA </t>
        </is>
      </c>
      <c r="AA233" s="20" t="inlineStr">
        <is>
          <t>NA</t>
        </is>
      </c>
      <c r="AB233" s="95" t="inlineStr">
        <is>
          <t xml:space="preserve">NA </t>
        </is>
      </c>
      <c r="AC233" s="28" t="inlineStr">
        <is>
          <t>Met</t>
        </is>
      </c>
      <c r="AD233" s="149" t="inlineStr">
        <is>
          <t>NA</t>
        </is>
      </c>
      <c r="AE233" s="126" t="inlineStr">
        <is>
          <t>NA</t>
        </is>
      </c>
      <c r="AF233" s="102" t="n">
        <v>0.87</v>
      </c>
      <c r="AG233" s="202" t="inlineStr">
        <is>
          <t>Met</t>
        </is>
      </c>
      <c r="AH233" s="285" t="n">
        <v>42</v>
      </c>
      <c r="AI233" s="285" t="inlineStr">
        <is>
          <t>Not Met</t>
        </is>
      </c>
      <c r="AJ233" s="102" t="n">
        <v>0.67</v>
      </c>
      <c r="AK233" s="28" t="inlineStr">
        <is>
          <t>Not Met</t>
        </is>
      </c>
    </row>
    <row r="234">
      <c r="A234" s="21" t="inlineStr">
        <is>
          <t>Maruti Suzuki</t>
        </is>
      </c>
      <c r="B234" s="5" t="inlineStr">
        <is>
          <t>North</t>
        </is>
      </c>
      <c r="C234" s="277" t="inlineStr">
        <is>
          <t>Archana Trikha</t>
        </is>
      </c>
      <c r="D234" s="26" t="inlineStr">
        <is>
          <t>Rishab</t>
        </is>
      </c>
      <c r="E234" s="26" t="inlineStr">
        <is>
          <t>Category (A)</t>
        </is>
      </c>
      <c r="F234" s="21" t="inlineStr">
        <is>
          <t>Internal KPI</t>
        </is>
      </c>
      <c r="G234" s="21" t="inlineStr">
        <is>
          <t>No</t>
        </is>
      </c>
      <c r="H234" s="26" t="inlineStr">
        <is>
          <t>diversity</t>
        </is>
      </c>
      <c r="I234" s="11" t="n">
        <v>0.1</v>
      </c>
      <c r="J234" s="17" t="inlineStr">
        <is>
          <t>Not Reported</t>
        </is>
      </c>
      <c r="K234" s="28" t="inlineStr">
        <is>
          <t>Not Reported</t>
        </is>
      </c>
      <c r="L234" s="11" t="n">
        <v>0.07000000000000001</v>
      </c>
      <c r="M234" s="28" t="inlineStr">
        <is>
          <t>Not Met</t>
        </is>
      </c>
      <c r="N234" s="29" t="n">
        <v>0.09</v>
      </c>
      <c r="O234" s="28" t="inlineStr">
        <is>
          <t>Not Met</t>
        </is>
      </c>
      <c r="P234" s="29" t="n">
        <v>0.08</v>
      </c>
      <c r="Q234" s="28" t="inlineStr">
        <is>
          <t>Not Met</t>
        </is>
      </c>
      <c r="R234" s="29" t="n">
        <v>0.1</v>
      </c>
      <c r="S234" s="28" t="inlineStr">
        <is>
          <t>Not Met</t>
        </is>
      </c>
      <c r="T234" s="29" t="n">
        <v>0.11</v>
      </c>
      <c r="U234" s="28" t="inlineStr">
        <is>
          <t>Not Met</t>
        </is>
      </c>
      <c r="V234" s="29" t="n">
        <v>0.09</v>
      </c>
      <c r="W234" s="28" t="inlineStr">
        <is>
          <t>Not Met</t>
        </is>
      </c>
      <c r="X234" s="28" t="inlineStr">
        <is>
          <t xml:space="preserve">Not Reported </t>
        </is>
      </c>
      <c r="Y234" s="28" t="inlineStr">
        <is>
          <t>Not Reported</t>
        </is>
      </c>
      <c r="Z234" s="29" t="n">
        <v>0.11</v>
      </c>
      <c r="AA234" s="28" t="inlineStr">
        <is>
          <t>Met</t>
        </is>
      </c>
      <c r="AB234" s="102" t="n">
        <v>0.06</v>
      </c>
      <c r="AC234" s="28" t="inlineStr">
        <is>
          <t>Not Met</t>
        </is>
      </c>
      <c r="AD234" s="95" t="inlineStr">
        <is>
          <t>NA</t>
        </is>
      </c>
      <c r="AE234" s="97" t="inlineStr">
        <is>
          <t>NA</t>
        </is>
      </c>
      <c r="AF234" s="149" t="inlineStr">
        <is>
          <t>NA</t>
        </is>
      </c>
      <c r="AG234" s="97" t="inlineStr">
        <is>
          <t>NA</t>
        </is>
      </c>
      <c r="AH234" s="285" t="n">
        <v>42</v>
      </c>
      <c r="AI234" s="285" t="inlineStr">
        <is>
          <t>Not Met</t>
        </is>
      </c>
      <c r="AJ234" s="102" t="inlineStr">
        <is>
          <t>NA</t>
        </is>
      </c>
      <c r="AK234" s="97" t="inlineStr">
        <is>
          <t>NA</t>
        </is>
      </c>
    </row>
    <row r="235">
      <c r="A235" s="26" t="inlineStr">
        <is>
          <t>P&amp;G</t>
        </is>
      </c>
      <c r="B235" s="5" t="inlineStr">
        <is>
          <t>South 2</t>
        </is>
      </c>
      <c r="C235" s="76" t="inlineStr">
        <is>
          <t>Krishna</t>
        </is>
      </c>
      <c r="D235" s="26" t="inlineStr">
        <is>
          <t>Himanshu Srivastava</t>
        </is>
      </c>
      <c r="E235" s="26" t="inlineStr">
        <is>
          <t>Category (B)</t>
        </is>
      </c>
      <c r="F235" s="26" t="inlineStr">
        <is>
          <t>Contractual SLA</t>
        </is>
      </c>
      <c r="G235" s="26" t="inlineStr">
        <is>
          <t>No</t>
        </is>
      </c>
      <c r="H235" s="26" t="inlineStr">
        <is>
          <t>Adherence to Post Offer Joining Formalities</t>
        </is>
      </c>
      <c r="I235" s="7" t="inlineStr">
        <is>
          <t>&gt; = 95%</t>
        </is>
      </c>
      <c r="J235" s="20" t="n">
        <v>1</v>
      </c>
      <c r="K235" s="28" t="inlineStr">
        <is>
          <t>Met</t>
        </is>
      </c>
      <c r="L235" s="20" t="n">
        <v>1</v>
      </c>
      <c r="M235" s="28" t="inlineStr">
        <is>
          <t>Met</t>
        </is>
      </c>
      <c r="N235" s="20" t="n">
        <v>1</v>
      </c>
      <c r="O235" s="28" t="inlineStr">
        <is>
          <t>Met</t>
        </is>
      </c>
      <c r="P235" s="20" t="n">
        <v>1</v>
      </c>
      <c r="Q235" s="28" t="inlineStr">
        <is>
          <t>Met</t>
        </is>
      </c>
      <c r="R235" s="20" t="n">
        <v>1</v>
      </c>
      <c r="S235" s="28" t="inlineStr">
        <is>
          <t>Met</t>
        </is>
      </c>
      <c r="T235" s="20" t="n">
        <v>1</v>
      </c>
      <c r="U235" s="28" t="inlineStr">
        <is>
          <t>Met</t>
        </is>
      </c>
      <c r="V235" s="20" t="n">
        <v>1</v>
      </c>
      <c r="W235" s="28" t="inlineStr">
        <is>
          <t>Met</t>
        </is>
      </c>
      <c r="X235" s="20" t="n">
        <v>1</v>
      </c>
      <c r="Y235" s="28" t="inlineStr">
        <is>
          <t>Met</t>
        </is>
      </c>
      <c r="Z235" s="20" t="n">
        <v>1</v>
      </c>
      <c r="AA235" s="28" t="inlineStr">
        <is>
          <t>Met</t>
        </is>
      </c>
      <c r="AB235" s="82" t="n">
        <v>1</v>
      </c>
      <c r="AC235" s="28" t="inlineStr">
        <is>
          <t>Met</t>
        </is>
      </c>
      <c r="AD235" s="149" t="n">
        <v>1</v>
      </c>
      <c r="AE235" s="28" t="inlineStr">
        <is>
          <t>Met</t>
        </is>
      </c>
      <c r="AF235" s="95" t="inlineStr">
        <is>
          <t>Not Reported</t>
        </is>
      </c>
      <c r="AG235" s="149" t="inlineStr">
        <is>
          <t>Not Reported</t>
        </is>
      </c>
      <c r="AH235" s="285" t="n">
        <v>0</v>
      </c>
      <c r="AI235" s="285" t="inlineStr">
        <is>
          <t>Not Reported</t>
        </is>
      </c>
      <c r="AJ235" s="95" t="inlineStr">
        <is>
          <t>Not Reported</t>
        </is>
      </c>
      <c r="AK235" s="97" t="inlineStr">
        <is>
          <t>Not Reported</t>
        </is>
      </c>
    </row>
    <row r="236">
      <c r="A236" s="26" t="inlineStr">
        <is>
          <t>P&amp;G</t>
        </is>
      </c>
      <c r="B236" s="5" t="inlineStr">
        <is>
          <t>South 2</t>
        </is>
      </c>
      <c r="C236" s="76" t="inlineStr">
        <is>
          <t>Krishna</t>
        </is>
      </c>
      <c r="D236" s="26" t="inlineStr">
        <is>
          <t>Himanshu Srivastava</t>
        </is>
      </c>
      <c r="E236" s="26" t="inlineStr">
        <is>
          <t>Category (B)</t>
        </is>
      </c>
      <c r="F236" s="26" t="inlineStr">
        <is>
          <t>Contractual SLA</t>
        </is>
      </c>
      <c r="G236" s="26" t="inlineStr">
        <is>
          <t>No</t>
        </is>
      </c>
      <c r="H236" s="26" t="inlineStr">
        <is>
          <t>Building Team's Capability</t>
        </is>
      </c>
      <c r="I236" s="52" t="n">
        <v>1</v>
      </c>
      <c r="J236" s="20" t="n">
        <v>1</v>
      </c>
      <c r="K236" s="28" t="inlineStr">
        <is>
          <t>Met</t>
        </is>
      </c>
      <c r="L236" s="20" t="n">
        <v>1</v>
      </c>
      <c r="M236" s="28" t="inlineStr">
        <is>
          <t>Met</t>
        </is>
      </c>
      <c r="N236" s="20" t="n">
        <v>1</v>
      </c>
      <c r="O236" s="28" t="inlineStr">
        <is>
          <t>Met</t>
        </is>
      </c>
      <c r="P236" s="20" t="n">
        <v>1</v>
      </c>
      <c r="Q236" s="28" t="inlineStr">
        <is>
          <t>Met</t>
        </is>
      </c>
      <c r="R236" s="20" t="n">
        <v>1</v>
      </c>
      <c r="S236" s="28" t="inlineStr">
        <is>
          <t>Met</t>
        </is>
      </c>
      <c r="T236" s="20" t="n">
        <v>1</v>
      </c>
      <c r="U236" s="28" t="inlineStr">
        <is>
          <t>Met</t>
        </is>
      </c>
      <c r="V236" s="20" t="n">
        <v>1</v>
      </c>
      <c r="W236" s="28" t="inlineStr">
        <is>
          <t>Met</t>
        </is>
      </c>
      <c r="X236" s="20" t="n">
        <v>1</v>
      </c>
      <c r="Y236" s="28" t="inlineStr">
        <is>
          <t>Met</t>
        </is>
      </c>
      <c r="Z236" s="20" t="n">
        <v>1</v>
      </c>
      <c r="AA236" s="28" t="inlineStr">
        <is>
          <t>Met</t>
        </is>
      </c>
      <c r="AB236" s="82" t="n">
        <v>1</v>
      </c>
      <c r="AC236" s="28" t="inlineStr">
        <is>
          <t>Met</t>
        </is>
      </c>
      <c r="AD236" s="142" t="n">
        <v>1</v>
      </c>
      <c r="AE236" s="28" t="inlineStr">
        <is>
          <t>Met</t>
        </is>
      </c>
      <c r="AF236" s="95" t="inlineStr">
        <is>
          <t>Not Reported</t>
        </is>
      </c>
      <c r="AG236" s="149" t="inlineStr">
        <is>
          <t>Not Reported</t>
        </is>
      </c>
      <c r="AH236" s="285" t="n">
        <v>0</v>
      </c>
      <c r="AI236" s="285" t="inlineStr">
        <is>
          <t>Not Reported</t>
        </is>
      </c>
      <c r="AJ236" s="95" t="inlineStr">
        <is>
          <t>Not Reported</t>
        </is>
      </c>
      <c r="AK236" s="97" t="inlineStr">
        <is>
          <t>Not Reported</t>
        </is>
      </c>
    </row>
    <row r="237">
      <c r="A237" s="26" t="inlineStr">
        <is>
          <t>P&amp;G</t>
        </is>
      </c>
      <c r="B237" s="5" t="inlineStr">
        <is>
          <t>South 2</t>
        </is>
      </c>
      <c r="C237" s="76" t="inlineStr">
        <is>
          <t>Krishna</t>
        </is>
      </c>
      <c r="D237" s="26" t="inlineStr">
        <is>
          <t>Himanshu Srivastava</t>
        </is>
      </c>
      <c r="E237" s="26" t="inlineStr">
        <is>
          <t>Category (B)</t>
        </is>
      </c>
      <c r="F237" s="26" t="inlineStr">
        <is>
          <t>Contractual SLA</t>
        </is>
      </c>
      <c r="G237" s="26" t="inlineStr">
        <is>
          <t>No</t>
        </is>
      </c>
      <c r="H237" s="26" t="inlineStr">
        <is>
          <t>Logistics Management</t>
        </is>
      </c>
      <c r="I237" s="7" t="inlineStr">
        <is>
          <t>Within Budget</t>
        </is>
      </c>
      <c r="J237" s="17" t="inlineStr">
        <is>
          <t>NA</t>
        </is>
      </c>
      <c r="K237" s="20" t="inlineStr">
        <is>
          <t>NA</t>
        </is>
      </c>
      <c r="L237" s="17" t="inlineStr">
        <is>
          <t>NA</t>
        </is>
      </c>
      <c r="M237" s="20" t="inlineStr">
        <is>
          <t>NA</t>
        </is>
      </c>
      <c r="N237" s="17" t="inlineStr">
        <is>
          <t>NA</t>
        </is>
      </c>
      <c r="O237" s="20" t="inlineStr">
        <is>
          <t>NA</t>
        </is>
      </c>
      <c r="P237" s="17" t="inlineStr">
        <is>
          <t>NA</t>
        </is>
      </c>
      <c r="Q237" s="20" t="inlineStr">
        <is>
          <t>NA</t>
        </is>
      </c>
      <c r="R237" s="17" t="inlineStr">
        <is>
          <t>NA</t>
        </is>
      </c>
      <c r="S237" s="20" t="inlineStr">
        <is>
          <t>NA</t>
        </is>
      </c>
      <c r="T237" s="17" t="inlineStr">
        <is>
          <t>NA</t>
        </is>
      </c>
      <c r="U237" s="20" t="inlineStr">
        <is>
          <t>NA</t>
        </is>
      </c>
      <c r="V237" s="17" t="inlineStr">
        <is>
          <t>NA</t>
        </is>
      </c>
      <c r="W237" s="20" t="inlineStr">
        <is>
          <t>NA</t>
        </is>
      </c>
      <c r="X237" s="17" t="inlineStr">
        <is>
          <t>NA</t>
        </is>
      </c>
      <c r="Y237" s="20" t="inlineStr">
        <is>
          <t>NA</t>
        </is>
      </c>
      <c r="Z237" s="17" t="inlineStr">
        <is>
          <t>NA</t>
        </is>
      </c>
      <c r="AA237" s="20" t="inlineStr">
        <is>
          <t>NA</t>
        </is>
      </c>
      <c r="AB237" s="93" t="inlineStr">
        <is>
          <t>NA</t>
        </is>
      </c>
      <c r="AC237" s="20" t="inlineStr">
        <is>
          <t>NA</t>
        </is>
      </c>
      <c r="AD237" s="143" t="inlineStr">
        <is>
          <t>NA</t>
        </is>
      </c>
      <c r="AE237" s="97" t="inlineStr">
        <is>
          <t>NA</t>
        </is>
      </c>
      <c r="AF237" s="95" t="inlineStr">
        <is>
          <t>Not Reported</t>
        </is>
      </c>
      <c r="AG237" s="149" t="inlineStr">
        <is>
          <t>Not Reported</t>
        </is>
      </c>
      <c r="AH237" s="285" t="n">
        <v>0</v>
      </c>
      <c r="AI237" s="285" t="inlineStr">
        <is>
          <t>Not Reported</t>
        </is>
      </c>
      <c r="AJ237" s="93" t="inlineStr">
        <is>
          <t>NA</t>
        </is>
      </c>
      <c r="AK237" s="97" t="inlineStr">
        <is>
          <t>NA</t>
        </is>
      </c>
    </row>
    <row r="238">
      <c r="A238" s="26" t="inlineStr">
        <is>
          <t>P&amp;G</t>
        </is>
      </c>
      <c r="B238" s="5" t="inlineStr">
        <is>
          <t>South 2</t>
        </is>
      </c>
      <c r="C238" s="76" t="inlineStr">
        <is>
          <t>Krishna</t>
        </is>
      </c>
      <c r="D238" s="26" t="inlineStr">
        <is>
          <t>Himanshu Srivastava</t>
        </is>
      </c>
      <c r="E238" s="26" t="inlineStr">
        <is>
          <t>Category (B)</t>
        </is>
      </c>
      <c r="F238" s="26" t="inlineStr">
        <is>
          <t>Contractual SLA</t>
        </is>
      </c>
      <c r="G238" s="26" t="inlineStr">
        <is>
          <t>No</t>
        </is>
      </c>
      <c r="H238" s="26" t="inlineStr">
        <is>
          <t>Process Compliances*</t>
        </is>
      </c>
      <c r="I238" s="7" t="inlineStr">
        <is>
          <t>&gt; 95%</t>
        </is>
      </c>
      <c r="J238" s="20" t="n">
        <v>1</v>
      </c>
      <c r="K238" s="28" t="inlineStr">
        <is>
          <t>Met</t>
        </is>
      </c>
      <c r="L238" s="20" t="n">
        <v>1</v>
      </c>
      <c r="M238" s="28" t="inlineStr">
        <is>
          <t>Met</t>
        </is>
      </c>
      <c r="N238" s="20" t="n">
        <v>1</v>
      </c>
      <c r="O238" s="28" t="inlineStr">
        <is>
          <t>Met</t>
        </is>
      </c>
      <c r="P238" s="20" t="n">
        <v>1</v>
      </c>
      <c r="Q238" s="28" t="inlineStr">
        <is>
          <t>Met</t>
        </is>
      </c>
      <c r="R238" s="20" t="n">
        <v>1</v>
      </c>
      <c r="S238" s="28" t="inlineStr">
        <is>
          <t>Met</t>
        </is>
      </c>
      <c r="T238" s="20" t="n">
        <v>1</v>
      </c>
      <c r="U238" s="28" t="inlineStr">
        <is>
          <t>Met</t>
        </is>
      </c>
      <c r="V238" s="20" t="n">
        <v>1</v>
      </c>
      <c r="W238" s="28" t="inlineStr">
        <is>
          <t>Met</t>
        </is>
      </c>
      <c r="X238" s="20" t="n">
        <v>1</v>
      </c>
      <c r="Y238" s="28" t="inlineStr">
        <is>
          <t>Met</t>
        </is>
      </c>
      <c r="Z238" s="20" t="n">
        <v>1</v>
      </c>
      <c r="AA238" s="28" t="inlineStr">
        <is>
          <t>Met</t>
        </is>
      </c>
      <c r="AB238" s="82" t="n">
        <v>1</v>
      </c>
      <c r="AC238" s="28" t="inlineStr">
        <is>
          <t>Met</t>
        </is>
      </c>
      <c r="AD238" s="142" t="n">
        <v>1</v>
      </c>
      <c r="AE238" s="28" t="inlineStr">
        <is>
          <t>Met</t>
        </is>
      </c>
      <c r="AF238" s="95" t="inlineStr">
        <is>
          <t>Not Reported</t>
        </is>
      </c>
      <c r="AG238" s="149" t="inlineStr">
        <is>
          <t>Not Reported</t>
        </is>
      </c>
      <c r="AH238" s="285" t="n">
        <v>0</v>
      </c>
      <c r="AI238" s="285" t="inlineStr">
        <is>
          <t>Not Reported</t>
        </is>
      </c>
      <c r="AJ238" s="95" t="inlineStr">
        <is>
          <t>Not Reported</t>
        </is>
      </c>
      <c r="AK238" s="97" t="inlineStr">
        <is>
          <t>Not Reported</t>
        </is>
      </c>
    </row>
    <row r="239">
      <c r="A239" s="26" t="inlineStr">
        <is>
          <t>P&amp;G</t>
        </is>
      </c>
      <c r="B239" s="5" t="inlineStr">
        <is>
          <t>South 2</t>
        </is>
      </c>
      <c r="C239" s="76" t="inlineStr">
        <is>
          <t>Krishna</t>
        </is>
      </c>
      <c r="D239" s="26" t="inlineStr">
        <is>
          <t>Himanshu Srivastava</t>
        </is>
      </c>
      <c r="E239" s="26" t="inlineStr">
        <is>
          <t>Category (B)</t>
        </is>
      </c>
      <c r="F239" s="26" t="inlineStr">
        <is>
          <t>Contractual SLA</t>
        </is>
      </c>
      <c r="G239" s="26" t="inlineStr">
        <is>
          <t>No</t>
        </is>
      </c>
      <c r="H239" s="26" t="inlineStr">
        <is>
          <t>Process Compliances*</t>
        </is>
      </c>
      <c r="I239" s="52" t="n">
        <v>1</v>
      </c>
      <c r="J239" s="20" t="n">
        <v>1</v>
      </c>
      <c r="K239" s="28" t="inlineStr">
        <is>
          <t>Met</t>
        </is>
      </c>
      <c r="L239" s="20" t="n">
        <v>1</v>
      </c>
      <c r="M239" s="28" t="inlineStr">
        <is>
          <t>Met</t>
        </is>
      </c>
      <c r="N239" s="20" t="n">
        <v>1</v>
      </c>
      <c r="O239" s="28" t="inlineStr">
        <is>
          <t>Met</t>
        </is>
      </c>
      <c r="P239" s="20" t="n">
        <v>1</v>
      </c>
      <c r="Q239" s="28" t="inlineStr">
        <is>
          <t>Met</t>
        </is>
      </c>
      <c r="R239" s="20" t="n">
        <v>1</v>
      </c>
      <c r="S239" s="28" t="inlineStr">
        <is>
          <t>Met</t>
        </is>
      </c>
      <c r="T239" s="20" t="n">
        <v>1</v>
      </c>
      <c r="U239" s="28" t="inlineStr">
        <is>
          <t>Met</t>
        </is>
      </c>
      <c r="V239" s="20" t="n">
        <v>1</v>
      </c>
      <c r="W239" s="28" t="inlineStr">
        <is>
          <t>Met</t>
        </is>
      </c>
      <c r="X239" s="20" t="n">
        <v>1</v>
      </c>
      <c r="Y239" s="28" t="inlineStr">
        <is>
          <t>Met</t>
        </is>
      </c>
      <c r="Z239" s="20" t="n">
        <v>1</v>
      </c>
      <c r="AA239" s="28" t="inlineStr">
        <is>
          <t>Met</t>
        </is>
      </c>
      <c r="AB239" s="82" t="n">
        <v>1</v>
      </c>
      <c r="AC239" s="28" t="inlineStr">
        <is>
          <t>Met</t>
        </is>
      </c>
      <c r="AD239" s="142" t="n">
        <v>1</v>
      </c>
      <c r="AE239" s="28" t="inlineStr">
        <is>
          <t>Met</t>
        </is>
      </c>
      <c r="AF239" s="95" t="inlineStr">
        <is>
          <t>Not Reported</t>
        </is>
      </c>
      <c r="AG239" s="149" t="inlineStr">
        <is>
          <t>Not Reported</t>
        </is>
      </c>
      <c r="AH239" s="285" t="n">
        <v>0</v>
      </c>
      <c r="AI239" s="285" t="inlineStr">
        <is>
          <t>Not Reported</t>
        </is>
      </c>
      <c r="AJ239" s="95" t="inlineStr">
        <is>
          <t>Not Reported</t>
        </is>
      </c>
      <c r="AK239" s="97" t="inlineStr">
        <is>
          <t>Not Reported</t>
        </is>
      </c>
    </row>
    <row r="240">
      <c r="A240" s="21" t="inlineStr">
        <is>
          <t xml:space="preserve">Pernod Ricard </t>
        </is>
      </c>
      <c r="B240" s="5" t="inlineStr">
        <is>
          <t>North</t>
        </is>
      </c>
      <c r="C240" s="277" t="inlineStr">
        <is>
          <t>Archana Trikha</t>
        </is>
      </c>
      <c r="D240" s="26" t="inlineStr">
        <is>
          <t>Rishab</t>
        </is>
      </c>
      <c r="E240" s="26" t="inlineStr">
        <is>
          <t>Category (A)</t>
        </is>
      </c>
      <c r="F240" s="21" t="inlineStr">
        <is>
          <t>Internal KPI</t>
        </is>
      </c>
      <c r="G240" s="21" t="inlineStr">
        <is>
          <t>No</t>
        </is>
      </c>
      <c r="H240" s="85" t="inlineStr">
        <is>
          <t>Time to Hire</t>
        </is>
      </c>
      <c r="I240" s="83" t="inlineStr">
        <is>
          <t>90 Days</t>
        </is>
      </c>
      <c r="J240" s="29" t="inlineStr">
        <is>
          <t xml:space="preserve">NA </t>
        </is>
      </c>
      <c r="K240" s="29" t="inlineStr">
        <is>
          <t xml:space="preserve">NA </t>
        </is>
      </c>
      <c r="L240" s="29" t="inlineStr">
        <is>
          <t xml:space="preserve">NA </t>
        </is>
      </c>
      <c r="M240" s="29" t="inlineStr">
        <is>
          <t xml:space="preserve">NA </t>
        </is>
      </c>
      <c r="N240" s="29" t="inlineStr">
        <is>
          <t xml:space="preserve">NA </t>
        </is>
      </c>
      <c r="O240" s="29" t="inlineStr">
        <is>
          <t xml:space="preserve">NA </t>
        </is>
      </c>
      <c r="P240" s="29" t="inlineStr">
        <is>
          <t xml:space="preserve">NA </t>
        </is>
      </c>
      <c r="Q240" s="29" t="inlineStr">
        <is>
          <t xml:space="preserve">NA </t>
        </is>
      </c>
      <c r="R240" s="29" t="inlineStr">
        <is>
          <t xml:space="preserve">NA </t>
        </is>
      </c>
      <c r="S240" s="29" t="inlineStr">
        <is>
          <t xml:space="preserve">NA </t>
        </is>
      </c>
      <c r="T240" s="29" t="inlineStr">
        <is>
          <t xml:space="preserve">NA </t>
        </is>
      </c>
      <c r="U240" s="29" t="inlineStr">
        <is>
          <t xml:space="preserve">NA </t>
        </is>
      </c>
      <c r="V240" s="29" t="inlineStr">
        <is>
          <t xml:space="preserve">NA </t>
        </is>
      </c>
      <c r="W240" s="29" t="inlineStr">
        <is>
          <t xml:space="preserve">NA </t>
        </is>
      </c>
      <c r="X240" s="29" t="inlineStr">
        <is>
          <t xml:space="preserve">NA </t>
        </is>
      </c>
      <c r="Y240" s="29" t="inlineStr">
        <is>
          <t xml:space="preserve">NA </t>
        </is>
      </c>
      <c r="Z240" s="29" t="inlineStr">
        <is>
          <t xml:space="preserve">NA </t>
        </is>
      </c>
      <c r="AA240" s="29" t="inlineStr">
        <is>
          <t xml:space="preserve">NA </t>
        </is>
      </c>
      <c r="AB240" s="90" t="n">
        <v>53</v>
      </c>
      <c r="AC240" s="28" t="inlineStr">
        <is>
          <t>Met</t>
        </is>
      </c>
      <c r="AD240" s="144" t="n">
        <v>53</v>
      </c>
      <c r="AE240" s="28" t="inlineStr">
        <is>
          <t>Met</t>
        </is>
      </c>
      <c r="AF240" s="147" t="n">
        <v>62</v>
      </c>
      <c r="AG240" s="202" t="inlineStr">
        <is>
          <t>Met</t>
        </is>
      </c>
      <c r="AH240" s="285" t="n">
        <v>0</v>
      </c>
      <c r="AI240" s="285" t="inlineStr">
        <is>
          <t>Not Reported</t>
        </is>
      </c>
      <c r="AJ240" s="9" t="n">
        <v>53</v>
      </c>
      <c r="AK240" s="202" t="inlineStr">
        <is>
          <t>Met</t>
        </is>
      </c>
    </row>
    <row r="241">
      <c r="A241" s="21" t="inlineStr">
        <is>
          <t xml:space="preserve">Pernod Ricard </t>
        </is>
      </c>
      <c r="B241" s="5" t="inlineStr">
        <is>
          <t>North</t>
        </is>
      </c>
      <c r="C241" s="277" t="inlineStr">
        <is>
          <t>Archana Trikha</t>
        </is>
      </c>
      <c r="D241" s="26" t="inlineStr">
        <is>
          <t>Rishab</t>
        </is>
      </c>
      <c r="E241" s="26" t="inlineStr">
        <is>
          <t>Category (A)</t>
        </is>
      </c>
      <c r="F241" s="21" t="inlineStr">
        <is>
          <t>Internal KPI</t>
        </is>
      </c>
      <c r="G241" s="21" t="inlineStr">
        <is>
          <t>No</t>
        </is>
      </c>
      <c r="H241" s="85" t="inlineStr">
        <is>
          <t>Time to Fill</t>
        </is>
      </c>
      <c r="I241" s="83" t="inlineStr">
        <is>
          <t xml:space="preserve">45 Days </t>
        </is>
      </c>
      <c r="J241" s="29" t="inlineStr">
        <is>
          <t xml:space="preserve">NA </t>
        </is>
      </c>
      <c r="K241" s="29" t="inlineStr">
        <is>
          <t xml:space="preserve">NA </t>
        </is>
      </c>
      <c r="L241" s="29" t="inlineStr">
        <is>
          <t xml:space="preserve">NA </t>
        </is>
      </c>
      <c r="M241" s="29" t="inlineStr">
        <is>
          <t xml:space="preserve">NA </t>
        </is>
      </c>
      <c r="N241" s="29" t="inlineStr">
        <is>
          <t xml:space="preserve">NA </t>
        </is>
      </c>
      <c r="O241" s="29" t="inlineStr">
        <is>
          <t xml:space="preserve">NA </t>
        </is>
      </c>
      <c r="P241" s="29" t="inlineStr">
        <is>
          <t xml:space="preserve">NA </t>
        </is>
      </c>
      <c r="Q241" s="29" t="inlineStr">
        <is>
          <t xml:space="preserve">NA </t>
        </is>
      </c>
      <c r="R241" s="29" t="inlineStr">
        <is>
          <t xml:space="preserve">NA </t>
        </is>
      </c>
      <c r="S241" s="29" t="inlineStr">
        <is>
          <t xml:space="preserve">NA </t>
        </is>
      </c>
      <c r="T241" s="29" t="inlineStr">
        <is>
          <t xml:space="preserve">NA </t>
        </is>
      </c>
      <c r="U241" s="29" t="inlineStr">
        <is>
          <t xml:space="preserve">NA </t>
        </is>
      </c>
      <c r="V241" s="29" t="inlineStr">
        <is>
          <t xml:space="preserve">NA </t>
        </is>
      </c>
      <c r="W241" s="29" t="inlineStr">
        <is>
          <t xml:space="preserve">NA </t>
        </is>
      </c>
      <c r="X241" s="29" t="inlineStr">
        <is>
          <t xml:space="preserve">NA </t>
        </is>
      </c>
      <c r="Y241" s="29" t="inlineStr">
        <is>
          <t xml:space="preserve">NA </t>
        </is>
      </c>
      <c r="Z241" s="29" t="inlineStr">
        <is>
          <t xml:space="preserve">NA </t>
        </is>
      </c>
      <c r="AA241" s="29" t="inlineStr">
        <is>
          <t xml:space="preserve">NA </t>
        </is>
      </c>
      <c r="AB241" s="14" t="n">
        <v>25</v>
      </c>
      <c r="AC241" s="28" t="inlineStr">
        <is>
          <t>Met</t>
        </is>
      </c>
      <c r="AD241" s="144" t="n">
        <v>25</v>
      </c>
      <c r="AE241" s="28" t="inlineStr">
        <is>
          <t>Met</t>
        </is>
      </c>
      <c r="AF241" s="147" t="n">
        <v>22</v>
      </c>
      <c r="AG241" s="202" t="inlineStr">
        <is>
          <t>Met</t>
        </is>
      </c>
      <c r="AH241" s="285" t="n">
        <v>0</v>
      </c>
      <c r="AI241" s="285" t="inlineStr">
        <is>
          <t>Not Reported</t>
        </is>
      </c>
      <c r="AJ241" s="9" t="n">
        <v>19</v>
      </c>
      <c r="AK241" s="202" t="inlineStr">
        <is>
          <t>Met</t>
        </is>
      </c>
    </row>
    <row r="242">
      <c r="A242" s="21" t="inlineStr">
        <is>
          <t xml:space="preserve">Pernod Ricard </t>
        </is>
      </c>
      <c r="B242" s="5" t="inlineStr">
        <is>
          <t>North</t>
        </is>
      </c>
      <c r="C242" s="277" t="inlineStr">
        <is>
          <t>Archana Trikha</t>
        </is>
      </c>
      <c r="D242" s="26" t="inlineStr">
        <is>
          <t>Rishab</t>
        </is>
      </c>
      <c r="E242" s="26" t="inlineStr">
        <is>
          <t>Category (A)</t>
        </is>
      </c>
      <c r="F242" s="21" t="inlineStr">
        <is>
          <t>Internal KPI</t>
        </is>
      </c>
      <c r="G242" s="21" t="inlineStr">
        <is>
          <t>No</t>
        </is>
      </c>
      <c r="H242" s="85" t="inlineStr">
        <is>
          <t>Ageing</t>
        </is>
      </c>
      <c r="I242" s="83" t="inlineStr">
        <is>
          <t>&lt;=20%</t>
        </is>
      </c>
      <c r="J242" s="29" t="inlineStr">
        <is>
          <t xml:space="preserve">NA </t>
        </is>
      </c>
      <c r="K242" s="29" t="inlineStr">
        <is>
          <t xml:space="preserve">NA </t>
        </is>
      </c>
      <c r="L242" s="29" t="inlineStr">
        <is>
          <t xml:space="preserve">NA </t>
        </is>
      </c>
      <c r="M242" s="29" t="inlineStr">
        <is>
          <t xml:space="preserve">NA </t>
        </is>
      </c>
      <c r="N242" s="29" t="inlineStr">
        <is>
          <t xml:space="preserve">NA </t>
        </is>
      </c>
      <c r="O242" s="29" t="inlineStr">
        <is>
          <t xml:space="preserve">NA </t>
        </is>
      </c>
      <c r="P242" s="29" t="inlineStr">
        <is>
          <t xml:space="preserve">NA </t>
        </is>
      </c>
      <c r="Q242" s="29" t="inlineStr">
        <is>
          <t xml:space="preserve">NA </t>
        </is>
      </c>
      <c r="R242" s="29" t="inlineStr">
        <is>
          <t xml:space="preserve">NA </t>
        </is>
      </c>
      <c r="S242" s="29" t="inlineStr">
        <is>
          <t xml:space="preserve">NA </t>
        </is>
      </c>
      <c r="T242" s="29" t="inlineStr">
        <is>
          <t xml:space="preserve">NA </t>
        </is>
      </c>
      <c r="U242" s="29" t="inlineStr">
        <is>
          <t xml:space="preserve">NA </t>
        </is>
      </c>
      <c r="V242" s="29" t="inlineStr">
        <is>
          <t xml:space="preserve">NA </t>
        </is>
      </c>
      <c r="W242" s="29" t="inlineStr">
        <is>
          <t xml:space="preserve">NA </t>
        </is>
      </c>
      <c r="X242" s="29" t="inlineStr">
        <is>
          <t xml:space="preserve">NA </t>
        </is>
      </c>
      <c r="Y242" s="29" t="inlineStr">
        <is>
          <t xml:space="preserve">NA </t>
        </is>
      </c>
      <c r="Z242" s="29" t="inlineStr">
        <is>
          <t xml:space="preserve">NA </t>
        </is>
      </c>
      <c r="AA242" s="29" t="inlineStr">
        <is>
          <t xml:space="preserve">NA </t>
        </is>
      </c>
      <c r="AB242" s="11" t="n">
        <v>0</v>
      </c>
      <c r="AC242" s="28" t="inlineStr">
        <is>
          <t>Met</t>
        </is>
      </c>
      <c r="AD242" s="145" t="n">
        <v>0</v>
      </c>
      <c r="AE242" s="28" t="inlineStr">
        <is>
          <t>Met</t>
        </is>
      </c>
      <c r="AF242" s="11" t="n">
        <v>0</v>
      </c>
      <c r="AG242" s="202" t="inlineStr">
        <is>
          <t>Met</t>
        </is>
      </c>
      <c r="AH242" s="285" t="n">
        <v>0</v>
      </c>
      <c r="AI242" s="285" t="inlineStr">
        <is>
          <t>Not Reported</t>
        </is>
      </c>
      <c r="AJ242" s="11" t="n">
        <v>0</v>
      </c>
      <c r="AK242" s="202" t="inlineStr">
        <is>
          <t>Met</t>
        </is>
      </c>
    </row>
    <row r="243">
      <c r="A243" s="21" t="inlineStr">
        <is>
          <t xml:space="preserve">Pernod Ricard </t>
        </is>
      </c>
      <c r="B243" s="5" t="inlineStr">
        <is>
          <t>North</t>
        </is>
      </c>
      <c r="C243" s="277" t="inlineStr">
        <is>
          <t>Archana Trikha</t>
        </is>
      </c>
      <c r="D243" s="26" t="inlineStr">
        <is>
          <t>Rishab</t>
        </is>
      </c>
      <c r="E243" s="26" t="inlineStr">
        <is>
          <t>Category (A)</t>
        </is>
      </c>
      <c r="F243" s="21" t="inlineStr">
        <is>
          <t>Internal KPI</t>
        </is>
      </c>
      <c r="G243" s="21" t="inlineStr">
        <is>
          <t>No</t>
        </is>
      </c>
      <c r="H243" s="85" t="inlineStr">
        <is>
          <t>First Time Right Ratio</t>
        </is>
      </c>
      <c r="I243" s="83" t="n">
        <v>0.6</v>
      </c>
      <c r="J243" s="29" t="inlineStr">
        <is>
          <t xml:space="preserve">NA </t>
        </is>
      </c>
      <c r="K243" s="29" t="inlineStr">
        <is>
          <t xml:space="preserve">NA </t>
        </is>
      </c>
      <c r="L243" s="29" t="inlineStr">
        <is>
          <t xml:space="preserve">NA </t>
        </is>
      </c>
      <c r="M243" s="29" t="inlineStr">
        <is>
          <t xml:space="preserve">NA </t>
        </is>
      </c>
      <c r="N243" s="29" t="inlineStr">
        <is>
          <t xml:space="preserve">NA </t>
        </is>
      </c>
      <c r="O243" s="29" t="inlineStr">
        <is>
          <t xml:space="preserve">NA </t>
        </is>
      </c>
      <c r="P243" s="29" t="inlineStr">
        <is>
          <t xml:space="preserve">NA </t>
        </is>
      </c>
      <c r="Q243" s="29" t="inlineStr">
        <is>
          <t xml:space="preserve">NA </t>
        </is>
      </c>
      <c r="R243" s="29" t="inlineStr">
        <is>
          <t xml:space="preserve">NA </t>
        </is>
      </c>
      <c r="S243" s="29" t="inlineStr">
        <is>
          <t xml:space="preserve">NA </t>
        </is>
      </c>
      <c r="T243" s="29" t="inlineStr">
        <is>
          <t xml:space="preserve">NA </t>
        </is>
      </c>
      <c r="U243" s="29" t="inlineStr">
        <is>
          <t xml:space="preserve">NA </t>
        </is>
      </c>
      <c r="V243" s="29" t="inlineStr">
        <is>
          <t xml:space="preserve">NA </t>
        </is>
      </c>
      <c r="W243" s="29" t="inlineStr">
        <is>
          <t xml:space="preserve">NA </t>
        </is>
      </c>
      <c r="X243" s="29" t="inlineStr">
        <is>
          <t xml:space="preserve">NA </t>
        </is>
      </c>
      <c r="Y243" s="29" t="inlineStr">
        <is>
          <t xml:space="preserve">NA </t>
        </is>
      </c>
      <c r="Z243" s="29" t="inlineStr">
        <is>
          <t xml:space="preserve">NA </t>
        </is>
      </c>
      <c r="AA243" s="29" t="inlineStr">
        <is>
          <t xml:space="preserve">NA </t>
        </is>
      </c>
      <c r="AB243" s="11" t="n">
        <v>0.99</v>
      </c>
      <c r="AC243" s="28" t="inlineStr">
        <is>
          <t>Met</t>
        </is>
      </c>
      <c r="AD243" s="135" t="n">
        <v>0.99</v>
      </c>
      <c r="AE243" s="28" t="inlineStr">
        <is>
          <t>Met</t>
        </is>
      </c>
      <c r="AF243" s="135" t="n">
        <v>0.91</v>
      </c>
      <c r="AG243" s="202" t="inlineStr">
        <is>
          <t>Met</t>
        </is>
      </c>
      <c r="AH243" s="285" t="n">
        <v>0</v>
      </c>
      <c r="AI243" s="285" t="inlineStr">
        <is>
          <t>Not Reported</t>
        </is>
      </c>
      <c r="AJ243" s="11" t="n">
        <v>0.93</v>
      </c>
      <c r="AK243" s="202" t="inlineStr">
        <is>
          <t>Met</t>
        </is>
      </c>
    </row>
    <row r="244">
      <c r="A244" s="21" t="inlineStr">
        <is>
          <t xml:space="preserve">Pernod Ricard </t>
        </is>
      </c>
      <c r="B244" s="5" t="inlineStr">
        <is>
          <t>North</t>
        </is>
      </c>
      <c r="C244" s="277" t="inlineStr">
        <is>
          <t>Archana Trikha</t>
        </is>
      </c>
      <c r="D244" s="26" t="inlineStr">
        <is>
          <t>Rishab</t>
        </is>
      </c>
      <c r="E244" s="26" t="inlineStr">
        <is>
          <t>Category (A)</t>
        </is>
      </c>
      <c r="F244" s="21" t="inlineStr">
        <is>
          <t>Internal KPI</t>
        </is>
      </c>
      <c r="G244" s="21" t="inlineStr">
        <is>
          <t>No</t>
        </is>
      </c>
      <c r="H244" s="85" t="inlineStr">
        <is>
          <t>Hit Ratio</t>
        </is>
      </c>
      <c r="I244" s="86" t="inlineStr">
        <is>
          <t>1:10</t>
        </is>
      </c>
      <c r="J244" s="29" t="inlineStr">
        <is>
          <t xml:space="preserve">NA </t>
        </is>
      </c>
      <c r="K244" s="29" t="inlineStr">
        <is>
          <t xml:space="preserve">NA </t>
        </is>
      </c>
      <c r="L244" s="29" t="inlineStr">
        <is>
          <t xml:space="preserve">NA </t>
        </is>
      </c>
      <c r="M244" s="29" t="inlineStr">
        <is>
          <t xml:space="preserve">NA </t>
        </is>
      </c>
      <c r="N244" s="29" t="inlineStr">
        <is>
          <t xml:space="preserve">NA </t>
        </is>
      </c>
      <c r="O244" s="29" t="inlineStr">
        <is>
          <t xml:space="preserve">NA </t>
        </is>
      </c>
      <c r="P244" s="29" t="inlineStr">
        <is>
          <t xml:space="preserve">NA </t>
        </is>
      </c>
      <c r="Q244" s="29" t="inlineStr">
        <is>
          <t xml:space="preserve">NA </t>
        </is>
      </c>
      <c r="R244" s="29" t="inlineStr">
        <is>
          <t xml:space="preserve">NA </t>
        </is>
      </c>
      <c r="S244" s="29" t="inlineStr">
        <is>
          <t xml:space="preserve">NA </t>
        </is>
      </c>
      <c r="T244" s="29" t="inlineStr">
        <is>
          <t xml:space="preserve">NA </t>
        </is>
      </c>
      <c r="U244" s="29" t="inlineStr">
        <is>
          <t xml:space="preserve">NA </t>
        </is>
      </c>
      <c r="V244" s="29" t="inlineStr">
        <is>
          <t xml:space="preserve">NA </t>
        </is>
      </c>
      <c r="W244" s="29" t="inlineStr">
        <is>
          <t xml:space="preserve">NA </t>
        </is>
      </c>
      <c r="X244" s="29" t="inlineStr">
        <is>
          <t xml:space="preserve">NA </t>
        </is>
      </c>
      <c r="Y244" s="29" t="inlineStr">
        <is>
          <t xml:space="preserve">NA </t>
        </is>
      </c>
      <c r="Z244" s="29" t="inlineStr">
        <is>
          <t xml:space="preserve">NA </t>
        </is>
      </c>
      <c r="AA244" s="29" t="inlineStr">
        <is>
          <t xml:space="preserve">NA </t>
        </is>
      </c>
      <c r="AB244" s="86" t="inlineStr">
        <is>
          <t>01:06</t>
        </is>
      </c>
      <c r="AC244" s="28" t="inlineStr">
        <is>
          <t>Met</t>
        </is>
      </c>
      <c r="AD244" s="146" t="inlineStr">
        <is>
          <t>01:03</t>
        </is>
      </c>
      <c r="AE244" s="28" t="inlineStr">
        <is>
          <t>Met</t>
        </is>
      </c>
      <c r="AF244" s="146" t="inlineStr">
        <is>
          <t>01:20</t>
        </is>
      </c>
      <c r="AG244" s="202" t="inlineStr">
        <is>
          <t>Met</t>
        </is>
      </c>
      <c r="AH244" s="285" t="n">
        <v>0</v>
      </c>
      <c r="AI244" s="285" t="inlineStr">
        <is>
          <t>Not Reported</t>
        </is>
      </c>
      <c r="AJ244" s="146" t="inlineStr">
        <is>
          <t>01:05</t>
        </is>
      </c>
      <c r="AK244" s="202" t="inlineStr">
        <is>
          <t>Met</t>
        </is>
      </c>
    </row>
    <row r="245">
      <c r="A245" s="21" t="inlineStr">
        <is>
          <t xml:space="preserve">Pernod Ricard </t>
        </is>
      </c>
      <c r="B245" s="5" t="inlineStr">
        <is>
          <t>North</t>
        </is>
      </c>
      <c r="C245" s="277" t="inlineStr">
        <is>
          <t>Archana Trikha</t>
        </is>
      </c>
      <c r="D245" s="26" t="inlineStr">
        <is>
          <t>Rishab</t>
        </is>
      </c>
      <c r="E245" s="26" t="inlineStr">
        <is>
          <t>Category (A)</t>
        </is>
      </c>
      <c r="F245" s="21" t="inlineStr">
        <is>
          <t>Internal KPI</t>
        </is>
      </c>
      <c r="G245" s="21" t="inlineStr">
        <is>
          <t>No</t>
        </is>
      </c>
      <c r="H245" s="85" t="inlineStr">
        <is>
          <t>Offer Drop</t>
        </is>
      </c>
      <c r="I245" s="83" t="n">
        <v>0.2</v>
      </c>
      <c r="J245" s="29" t="inlineStr">
        <is>
          <t xml:space="preserve">NA </t>
        </is>
      </c>
      <c r="K245" s="29" t="inlineStr">
        <is>
          <t xml:space="preserve">NA </t>
        </is>
      </c>
      <c r="L245" s="29" t="inlineStr">
        <is>
          <t xml:space="preserve">NA </t>
        </is>
      </c>
      <c r="M245" s="29" t="inlineStr">
        <is>
          <t xml:space="preserve">NA </t>
        </is>
      </c>
      <c r="N245" s="29" t="inlineStr">
        <is>
          <t xml:space="preserve">NA </t>
        </is>
      </c>
      <c r="O245" s="29" t="inlineStr">
        <is>
          <t xml:space="preserve">NA </t>
        </is>
      </c>
      <c r="P245" s="29" t="inlineStr">
        <is>
          <t xml:space="preserve">NA </t>
        </is>
      </c>
      <c r="Q245" s="29" t="inlineStr">
        <is>
          <t xml:space="preserve">NA </t>
        </is>
      </c>
      <c r="R245" s="29" t="inlineStr">
        <is>
          <t xml:space="preserve">NA </t>
        </is>
      </c>
      <c r="S245" s="29" t="inlineStr">
        <is>
          <t xml:space="preserve">NA </t>
        </is>
      </c>
      <c r="T245" s="29" t="inlineStr">
        <is>
          <t xml:space="preserve">NA </t>
        </is>
      </c>
      <c r="U245" s="29" t="inlineStr">
        <is>
          <t xml:space="preserve">NA </t>
        </is>
      </c>
      <c r="V245" s="29" t="inlineStr">
        <is>
          <t xml:space="preserve">NA </t>
        </is>
      </c>
      <c r="W245" s="29" t="inlineStr">
        <is>
          <t xml:space="preserve">NA </t>
        </is>
      </c>
      <c r="X245" s="29" t="inlineStr">
        <is>
          <t xml:space="preserve">NA </t>
        </is>
      </c>
      <c r="Y245" s="29" t="inlineStr">
        <is>
          <t xml:space="preserve">NA </t>
        </is>
      </c>
      <c r="Z245" s="29" t="inlineStr">
        <is>
          <t xml:space="preserve">NA </t>
        </is>
      </c>
      <c r="AA245" s="29" t="inlineStr">
        <is>
          <t xml:space="preserve">NA </t>
        </is>
      </c>
      <c r="AB245" s="83" t="n">
        <v>0</v>
      </c>
      <c r="AC245" s="28" t="inlineStr">
        <is>
          <t>Met</t>
        </is>
      </c>
      <c r="AD245" s="102" t="n">
        <v>0</v>
      </c>
      <c r="AE245" s="28" t="inlineStr">
        <is>
          <t>Met</t>
        </is>
      </c>
      <c r="AF245" s="135" t="n">
        <v>0.25</v>
      </c>
      <c r="AG245" s="28" t="inlineStr">
        <is>
          <t>Not Met</t>
        </is>
      </c>
      <c r="AH245" s="285" t="n">
        <v>0</v>
      </c>
      <c r="AI245" s="285" t="inlineStr">
        <is>
          <t>Not Reported</t>
        </is>
      </c>
      <c r="AJ245" s="135" t="n">
        <v>0.12</v>
      </c>
      <c r="AK245" s="202" t="inlineStr">
        <is>
          <t>Met</t>
        </is>
      </c>
    </row>
    <row r="246">
      <c r="A246" s="21" t="inlineStr">
        <is>
          <t xml:space="preserve">Pernod Ricard </t>
        </is>
      </c>
      <c r="B246" s="5" t="inlineStr">
        <is>
          <t>North</t>
        </is>
      </c>
      <c r="C246" s="277" t="inlineStr">
        <is>
          <t>Archana Trikha</t>
        </is>
      </c>
      <c r="D246" s="26" t="inlineStr">
        <is>
          <t>Rishab</t>
        </is>
      </c>
      <c r="E246" s="26" t="inlineStr">
        <is>
          <t>Category (A)</t>
        </is>
      </c>
      <c r="F246" s="21" t="inlineStr">
        <is>
          <t>Internal KPI</t>
        </is>
      </c>
      <c r="G246" s="21" t="inlineStr">
        <is>
          <t>No</t>
        </is>
      </c>
      <c r="H246" s="85" t="inlineStr">
        <is>
          <t xml:space="preserve">Fulfilment </t>
        </is>
      </c>
      <c r="I246" s="83" t="n">
        <v>0.85</v>
      </c>
      <c r="J246" s="29" t="inlineStr">
        <is>
          <t xml:space="preserve">NA </t>
        </is>
      </c>
      <c r="K246" s="29" t="inlineStr">
        <is>
          <t xml:space="preserve">NA </t>
        </is>
      </c>
      <c r="L246" s="29" t="inlineStr">
        <is>
          <t xml:space="preserve">NA </t>
        </is>
      </c>
      <c r="M246" s="29" t="inlineStr">
        <is>
          <t xml:space="preserve">NA </t>
        </is>
      </c>
      <c r="N246" s="29" t="inlineStr">
        <is>
          <t xml:space="preserve">NA </t>
        </is>
      </c>
      <c r="O246" s="29" t="inlineStr">
        <is>
          <t xml:space="preserve">NA </t>
        </is>
      </c>
      <c r="P246" s="29" t="inlineStr">
        <is>
          <t xml:space="preserve">NA </t>
        </is>
      </c>
      <c r="Q246" s="29" t="inlineStr">
        <is>
          <t xml:space="preserve">NA </t>
        </is>
      </c>
      <c r="R246" s="29" t="inlineStr">
        <is>
          <t xml:space="preserve">NA </t>
        </is>
      </c>
      <c r="S246" s="29" t="inlineStr">
        <is>
          <t xml:space="preserve">NA </t>
        </is>
      </c>
      <c r="T246" s="29" t="inlineStr">
        <is>
          <t xml:space="preserve">NA </t>
        </is>
      </c>
      <c r="U246" s="29" t="inlineStr">
        <is>
          <t xml:space="preserve">NA </t>
        </is>
      </c>
      <c r="V246" s="29" t="inlineStr">
        <is>
          <t xml:space="preserve">NA </t>
        </is>
      </c>
      <c r="W246" s="29" t="inlineStr">
        <is>
          <t xml:space="preserve">NA </t>
        </is>
      </c>
      <c r="X246" s="29" t="inlineStr">
        <is>
          <t xml:space="preserve">NA </t>
        </is>
      </c>
      <c r="Y246" s="29" t="inlineStr">
        <is>
          <t xml:space="preserve">NA </t>
        </is>
      </c>
      <c r="Z246" s="29" t="inlineStr">
        <is>
          <t xml:space="preserve">NA </t>
        </is>
      </c>
      <c r="AA246" s="29" t="inlineStr">
        <is>
          <t xml:space="preserve">NA </t>
        </is>
      </c>
      <c r="AB246" s="83" t="n">
        <v>0.4</v>
      </c>
      <c r="AC246" s="28" t="inlineStr">
        <is>
          <t>Not Met</t>
        </is>
      </c>
      <c r="AD246" s="102" t="n">
        <v>0.4</v>
      </c>
      <c r="AE246" s="28" t="inlineStr">
        <is>
          <t>Not Met</t>
        </is>
      </c>
      <c r="AF246" s="135" t="n">
        <v>0.4</v>
      </c>
      <c r="AG246" s="28" t="inlineStr">
        <is>
          <t>Not Met</t>
        </is>
      </c>
      <c r="AH246" s="285" t="n">
        <v>0</v>
      </c>
      <c r="AI246" s="285" t="inlineStr">
        <is>
          <t>Not Reported</t>
        </is>
      </c>
      <c r="AJ246" s="135" t="n">
        <v>0.5</v>
      </c>
      <c r="AK246" s="28" t="inlineStr">
        <is>
          <t>Not Met</t>
        </is>
      </c>
    </row>
    <row r="247">
      <c r="A247" s="164" t="inlineStr">
        <is>
          <t xml:space="preserve">Pernod Ricard </t>
        </is>
      </c>
      <c r="B247" s="165" t="inlineStr">
        <is>
          <t>North</t>
        </is>
      </c>
      <c r="C247" s="277" t="inlineStr">
        <is>
          <t>Archana Trikha</t>
        </is>
      </c>
      <c r="D247" s="166" t="inlineStr">
        <is>
          <t>Rishab</t>
        </is>
      </c>
      <c r="E247" s="166" t="inlineStr">
        <is>
          <t>Category (A)</t>
        </is>
      </c>
      <c r="F247" s="164" t="inlineStr">
        <is>
          <t>Internal KPI</t>
        </is>
      </c>
      <c r="G247" s="164" t="inlineStr">
        <is>
          <t>No</t>
        </is>
      </c>
      <c r="H247" s="183" t="inlineStr">
        <is>
          <t>Diversity</t>
        </is>
      </c>
      <c r="I247" s="184" t="n">
        <v>0.2</v>
      </c>
      <c r="J247" s="169" t="inlineStr">
        <is>
          <t xml:space="preserve">NA </t>
        </is>
      </c>
      <c r="K247" s="169" t="inlineStr">
        <is>
          <t xml:space="preserve">NA </t>
        </is>
      </c>
      <c r="L247" s="169" t="inlineStr">
        <is>
          <t xml:space="preserve">NA </t>
        </is>
      </c>
      <c r="M247" s="169" t="inlineStr">
        <is>
          <t xml:space="preserve">NA </t>
        </is>
      </c>
      <c r="N247" s="169" t="inlineStr">
        <is>
          <t xml:space="preserve">NA </t>
        </is>
      </c>
      <c r="O247" s="169" t="inlineStr">
        <is>
          <t xml:space="preserve">NA </t>
        </is>
      </c>
      <c r="P247" s="169" t="inlineStr">
        <is>
          <t xml:space="preserve">NA </t>
        </is>
      </c>
      <c r="Q247" s="169" t="inlineStr">
        <is>
          <t xml:space="preserve">NA </t>
        </is>
      </c>
      <c r="R247" s="169" t="inlineStr">
        <is>
          <t xml:space="preserve">NA </t>
        </is>
      </c>
      <c r="S247" s="169" t="inlineStr">
        <is>
          <t xml:space="preserve">NA </t>
        </is>
      </c>
      <c r="T247" s="169" t="inlineStr">
        <is>
          <t xml:space="preserve">NA </t>
        </is>
      </c>
      <c r="U247" s="169" t="inlineStr">
        <is>
          <t xml:space="preserve">NA </t>
        </is>
      </c>
      <c r="V247" s="169" t="inlineStr">
        <is>
          <t xml:space="preserve">NA </t>
        </is>
      </c>
      <c r="W247" s="169" t="inlineStr">
        <is>
          <t xml:space="preserve">NA </t>
        </is>
      </c>
      <c r="X247" s="169" t="inlineStr">
        <is>
          <t xml:space="preserve">NA </t>
        </is>
      </c>
      <c r="Y247" s="169" t="inlineStr">
        <is>
          <t xml:space="preserve">NA </t>
        </is>
      </c>
      <c r="Z247" s="169" t="inlineStr">
        <is>
          <t xml:space="preserve">NA </t>
        </is>
      </c>
      <c r="AA247" s="169" t="inlineStr">
        <is>
          <t xml:space="preserve">NA </t>
        </is>
      </c>
      <c r="AB247" s="178" t="inlineStr">
        <is>
          <t>NA</t>
        </is>
      </c>
      <c r="AC247" s="191" t="inlineStr">
        <is>
          <t>NA</t>
        </is>
      </c>
      <c r="AD247" s="185" t="inlineStr">
        <is>
          <t>NA</t>
        </is>
      </c>
      <c r="AE247" s="177" t="inlineStr">
        <is>
          <t>NA</t>
        </is>
      </c>
      <c r="AF247" s="147" t="inlineStr">
        <is>
          <t xml:space="preserve">NA </t>
        </is>
      </c>
      <c r="AG247" s="202" t="inlineStr">
        <is>
          <t>Met</t>
        </is>
      </c>
      <c r="AH247" s="285" t="n">
        <v>0</v>
      </c>
      <c r="AI247" s="285" t="inlineStr">
        <is>
          <t>Not Reported</t>
        </is>
      </c>
      <c r="AJ247" s="147" t="inlineStr">
        <is>
          <t xml:space="preserve">NA </t>
        </is>
      </c>
      <c r="AK247" s="202" t="inlineStr">
        <is>
          <t>Met</t>
        </is>
      </c>
    </row>
    <row r="248">
      <c r="A248" s="26" t="inlineStr">
        <is>
          <t>Pfizer (FLM/RBM)</t>
        </is>
      </c>
      <c r="B248" s="5" t="inlineStr">
        <is>
          <t>West 1</t>
        </is>
      </c>
      <c r="C248" s="76" t="inlineStr">
        <is>
          <t>Usha</t>
        </is>
      </c>
      <c r="D248" s="26" t="inlineStr">
        <is>
          <t>Himanshu Srivastava</t>
        </is>
      </c>
      <c r="E248" s="26" t="inlineStr">
        <is>
          <t>Category (B)</t>
        </is>
      </c>
      <c r="F248" s="26" t="inlineStr">
        <is>
          <t>Contractual SLA</t>
        </is>
      </c>
      <c r="G248" s="26" t="inlineStr">
        <is>
          <t>No</t>
        </is>
      </c>
      <c r="H248" s="26" t="inlineStr">
        <is>
          <t>Sourcing</t>
        </is>
      </c>
      <c r="I248" s="28" t="inlineStr">
        <is>
          <t>&lt; = 5 Days</t>
        </is>
      </c>
      <c r="J248" s="20" t="inlineStr">
        <is>
          <t>Not Reported</t>
        </is>
      </c>
      <c r="K248" s="20" t="inlineStr">
        <is>
          <t>Not Reported</t>
        </is>
      </c>
      <c r="L248" s="20" t="inlineStr">
        <is>
          <t>Not Reported</t>
        </is>
      </c>
      <c r="M248" s="28" t="inlineStr">
        <is>
          <t>Not Reported</t>
        </is>
      </c>
      <c r="N248" s="20" t="inlineStr">
        <is>
          <t>Not Reported</t>
        </is>
      </c>
      <c r="O248" s="28" t="inlineStr">
        <is>
          <t>Not Reported</t>
        </is>
      </c>
      <c r="P248" s="20" t="inlineStr">
        <is>
          <t>Not Reported</t>
        </is>
      </c>
      <c r="Q248" s="28" t="inlineStr">
        <is>
          <t>Not Reported</t>
        </is>
      </c>
      <c r="R248" s="28" t="inlineStr">
        <is>
          <t>Not Reported</t>
        </is>
      </c>
      <c r="S248" s="28" t="inlineStr">
        <is>
          <t xml:space="preserve">Not Reported </t>
        </is>
      </c>
      <c r="T248" s="28" t="inlineStr">
        <is>
          <t>Not Reported</t>
        </is>
      </c>
      <c r="U248" s="28" t="inlineStr">
        <is>
          <t>Not Reported</t>
        </is>
      </c>
      <c r="V248" s="20" t="inlineStr">
        <is>
          <t>NA</t>
        </is>
      </c>
      <c r="W248" s="20" t="inlineStr">
        <is>
          <t>NA</t>
        </is>
      </c>
      <c r="X248" s="20" t="inlineStr">
        <is>
          <t>Not Reported</t>
        </is>
      </c>
      <c r="Y248" s="28" t="inlineStr">
        <is>
          <t>Not Reported</t>
        </is>
      </c>
      <c r="Z248" s="28" t="inlineStr">
        <is>
          <t>Not Reported</t>
        </is>
      </c>
      <c r="AA248" s="28" t="inlineStr">
        <is>
          <t>Not Reported</t>
        </is>
      </c>
      <c r="AB248" s="95" t="inlineStr">
        <is>
          <t>Not Reported</t>
        </is>
      </c>
      <c r="AC248" s="90" t="inlineStr">
        <is>
          <t>Not Reported</t>
        </is>
      </c>
      <c r="AD248" s="97" t="inlineStr">
        <is>
          <t>Not Reported</t>
        </is>
      </c>
      <c r="AE248" s="97" t="inlineStr">
        <is>
          <t>Not Reported</t>
        </is>
      </c>
      <c r="AF248" s="95" t="inlineStr">
        <is>
          <t>Not Reported</t>
        </is>
      </c>
      <c r="AG248" s="149" t="inlineStr">
        <is>
          <t>Not Reported</t>
        </is>
      </c>
      <c r="AH248" s="285" t="n">
        <v>0</v>
      </c>
      <c r="AI248" s="285" t="inlineStr">
        <is>
          <t>Not Reported</t>
        </is>
      </c>
      <c r="AJ248" s="95" t="inlineStr">
        <is>
          <t>Not Reported</t>
        </is>
      </c>
      <c r="AK248" s="97" t="inlineStr">
        <is>
          <t>Not Reported</t>
        </is>
      </c>
    </row>
    <row r="249">
      <c r="A249" s="26" t="inlineStr">
        <is>
          <t>Pfizer (FLM/RBM)</t>
        </is>
      </c>
      <c r="B249" s="5" t="inlineStr">
        <is>
          <t>West 1</t>
        </is>
      </c>
      <c r="C249" s="76" t="inlineStr">
        <is>
          <t>Usha</t>
        </is>
      </c>
      <c r="D249" s="26" t="inlineStr">
        <is>
          <t>Himanshu Srivastava</t>
        </is>
      </c>
      <c r="E249" s="26" t="inlineStr">
        <is>
          <t>Category (B)</t>
        </is>
      </c>
      <c r="F249" s="26" t="inlineStr">
        <is>
          <t>Contractual SLA</t>
        </is>
      </c>
      <c r="G249" s="26" t="inlineStr">
        <is>
          <t>No</t>
        </is>
      </c>
      <c r="H249" s="26" t="inlineStr">
        <is>
          <t>Level 1 Interview</t>
        </is>
      </c>
      <c r="I249" s="28" t="inlineStr">
        <is>
          <t>&lt; = 5 Days</t>
        </is>
      </c>
      <c r="J249" s="20" t="inlineStr">
        <is>
          <t>Not Reported</t>
        </is>
      </c>
      <c r="K249" s="20" t="inlineStr">
        <is>
          <t>Not Reported</t>
        </is>
      </c>
      <c r="L249" s="20" t="inlineStr">
        <is>
          <t>Not Reported</t>
        </is>
      </c>
      <c r="M249" s="28" t="inlineStr">
        <is>
          <t>Not Reported</t>
        </is>
      </c>
      <c r="N249" s="20" t="inlineStr">
        <is>
          <t>Not Reported</t>
        </is>
      </c>
      <c r="O249" s="28" t="inlineStr">
        <is>
          <t>Not Reported</t>
        </is>
      </c>
      <c r="P249" s="20" t="inlineStr">
        <is>
          <t>Not Reported</t>
        </is>
      </c>
      <c r="Q249" s="28" t="inlineStr">
        <is>
          <t>Not Reported</t>
        </is>
      </c>
      <c r="R249" s="28" t="inlineStr">
        <is>
          <t>Not Reported</t>
        </is>
      </c>
      <c r="S249" s="28" t="inlineStr">
        <is>
          <t xml:space="preserve">Not Reported </t>
        </is>
      </c>
      <c r="T249" s="28" t="inlineStr">
        <is>
          <t>Not Reported</t>
        </is>
      </c>
      <c r="U249" s="28" t="inlineStr">
        <is>
          <t>Not Reported</t>
        </is>
      </c>
      <c r="V249" s="20" t="inlineStr">
        <is>
          <t>NA</t>
        </is>
      </c>
      <c r="W249" s="20" t="inlineStr">
        <is>
          <t>NA</t>
        </is>
      </c>
      <c r="X249" s="20" t="inlineStr">
        <is>
          <t>Not Reported</t>
        </is>
      </c>
      <c r="Y249" s="28" t="inlineStr">
        <is>
          <t>Not Reported</t>
        </is>
      </c>
      <c r="Z249" s="28" t="inlineStr">
        <is>
          <t>Not Reported</t>
        </is>
      </c>
      <c r="AA249" s="28" t="inlineStr">
        <is>
          <t>Not Reported</t>
        </is>
      </c>
      <c r="AB249" s="95" t="inlineStr">
        <is>
          <t>Not Reported</t>
        </is>
      </c>
      <c r="AC249" s="90" t="inlineStr">
        <is>
          <t>Not Reported</t>
        </is>
      </c>
      <c r="AD249" s="97" t="inlineStr">
        <is>
          <t>Not Reported</t>
        </is>
      </c>
      <c r="AE249" s="97" t="inlineStr">
        <is>
          <t>Not Reported</t>
        </is>
      </c>
      <c r="AF249" s="95" t="inlineStr">
        <is>
          <t>Not Reported</t>
        </is>
      </c>
      <c r="AG249" s="149" t="inlineStr">
        <is>
          <t>Not Reported</t>
        </is>
      </c>
      <c r="AH249" s="285" t="n">
        <v>0</v>
      </c>
      <c r="AI249" s="285" t="inlineStr">
        <is>
          <t>Not Reported</t>
        </is>
      </c>
      <c r="AJ249" s="95" t="inlineStr">
        <is>
          <t>Not Reported</t>
        </is>
      </c>
      <c r="AK249" s="97" t="inlineStr">
        <is>
          <t>Not Reported</t>
        </is>
      </c>
    </row>
    <row r="250">
      <c r="A250" s="26" t="inlineStr">
        <is>
          <t>Pfizer (FLM/RBM)</t>
        </is>
      </c>
      <c r="B250" s="5" t="inlineStr">
        <is>
          <t>West 1</t>
        </is>
      </c>
      <c r="C250" s="76" t="inlineStr">
        <is>
          <t>Usha</t>
        </is>
      </c>
      <c r="D250" s="26" t="inlineStr">
        <is>
          <t>Himanshu Srivastava</t>
        </is>
      </c>
      <c r="E250" s="26" t="inlineStr">
        <is>
          <t>Category (B)</t>
        </is>
      </c>
      <c r="F250" s="26" t="inlineStr">
        <is>
          <t>Contractual SLA</t>
        </is>
      </c>
      <c r="G250" s="26" t="inlineStr">
        <is>
          <t>No</t>
        </is>
      </c>
      <c r="H250" s="26" t="inlineStr">
        <is>
          <t>Level 2 Interview</t>
        </is>
      </c>
      <c r="I250" s="28" t="inlineStr">
        <is>
          <t>&lt; = 5 Days</t>
        </is>
      </c>
      <c r="J250" s="20" t="inlineStr">
        <is>
          <t>Not Reported</t>
        </is>
      </c>
      <c r="K250" s="20" t="inlineStr">
        <is>
          <t>Not Reported</t>
        </is>
      </c>
      <c r="L250" s="20" t="inlineStr">
        <is>
          <t>Not Reported</t>
        </is>
      </c>
      <c r="M250" s="28" t="inlineStr">
        <is>
          <t>Not Reported</t>
        </is>
      </c>
      <c r="N250" s="20" t="inlineStr">
        <is>
          <t>Not Reported</t>
        </is>
      </c>
      <c r="O250" s="28" t="inlineStr">
        <is>
          <t>Not Reported</t>
        </is>
      </c>
      <c r="P250" s="20" t="inlineStr">
        <is>
          <t>Not Reported</t>
        </is>
      </c>
      <c r="Q250" s="28" t="inlineStr">
        <is>
          <t>Not Reported</t>
        </is>
      </c>
      <c r="R250" s="28" t="inlineStr">
        <is>
          <t>Not Reported</t>
        </is>
      </c>
      <c r="S250" s="28" t="inlineStr">
        <is>
          <t xml:space="preserve">Not Reported </t>
        </is>
      </c>
      <c r="T250" s="28" t="inlineStr">
        <is>
          <t>Not Reported</t>
        </is>
      </c>
      <c r="U250" s="28" t="inlineStr">
        <is>
          <t>Not Reported</t>
        </is>
      </c>
      <c r="V250" s="20" t="inlineStr">
        <is>
          <t>NA</t>
        </is>
      </c>
      <c r="W250" s="20" t="inlineStr">
        <is>
          <t>NA</t>
        </is>
      </c>
      <c r="X250" s="20" t="inlineStr">
        <is>
          <t>Not Reported</t>
        </is>
      </c>
      <c r="Y250" s="28" t="inlineStr">
        <is>
          <t>Not Reported</t>
        </is>
      </c>
      <c r="Z250" s="28" t="inlineStr">
        <is>
          <t>Not Reported</t>
        </is>
      </c>
      <c r="AA250" s="28" t="inlineStr">
        <is>
          <t>Not Reported</t>
        </is>
      </c>
      <c r="AB250" s="95" t="inlineStr">
        <is>
          <t>Not Reported</t>
        </is>
      </c>
      <c r="AC250" s="90" t="inlineStr">
        <is>
          <t>Not Reported</t>
        </is>
      </c>
      <c r="AD250" s="97" t="inlineStr">
        <is>
          <t>Not Reported</t>
        </is>
      </c>
      <c r="AE250" s="97" t="inlineStr">
        <is>
          <t>Not Reported</t>
        </is>
      </c>
      <c r="AF250" s="95" t="inlineStr">
        <is>
          <t>Not Reported</t>
        </is>
      </c>
      <c r="AG250" s="149" t="inlineStr">
        <is>
          <t>Not Reported</t>
        </is>
      </c>
      <c r="AH250" s="285" t="n">
        <v>0</v>
      </c>
      <c r="AI250" s="285" t="inlineStr">
        <is>
          <t>Not Reported</t>
        </is>
      </c>
      <c r="AJ250" s="95" t="inlineStr">
        <is>
          <t>Not Reported</t>
        </is>
      </c>
      <c r="AK250" s="97" t="inlineStr">
        <is>
          <t>Not Reported</t>
        </is>
      </c>
    </row>
    <row r="251">
      <c r="A251" s="26" t="inlineStr">
        <is>
          <t>Pfizer (FLM/RBM)</t>
        </is>
      </c>
      <c r="B251" s="5" t="inlineStr">
        <is>
          <t>West 1</t>
        </is>
      </c>
      <c r="C251" s="76" t="inlineStr">
        <is>
          <t>Usha</t>
        </is>
      </c>
      <c r="D251" s="26" t="inlineStr">
        <is>
          <t>Himanshu Srivastava</t>
        </is>
      </c>
      <c r="E251" s="26" t="inlineStr">
        <is>
          <t>Category (B)</t>
        </is>
      </c>
      <c r="F251" s="26" t="inlineStr">
        <is>
          <t>Contractual SLA</t>
        </is>
      </c>
      <c r="G251" s="26" t="inlineStr">
        <is>
          <t>No</t>
        </is>
      </c>
      <c r="H251" s="26" t="inlineStr">
        <is>
          <t>Selection to Offer (Offer Roll out, Negotiation &amp; Acceptance )</t>
        </is>
      </c>
      <c r="I251" s="28" t="inlineStr">
        <is>
          <t>&lt; = 5 days</t>
        </is>
      </c>
      <c r="J251" s="20" t="inlineStr">
        <is>
          <t>Not Reported</t>
        </is>
      </c>
      <c r="K251" s="20" t="inlineStr">
        <is>
          <t>Not Reported</t>
        </is>
      </c>
      <c r="L251" s="20" t="inlineStr">
        <is>
          <t>Not Reported</t>
        </is>
      </c>
      <c r="M251" s="28" t="inlineStr">
        <is>
          <t>Not Reported</t>
        </is>
      </c>
      <c r="N251" s="20" t="inlineStr">
        <is>
          <t>Not Reported</t>
        </is>
      </c>
      <c r="O251" s="28" t="inlineStr">
        <is>
          <t>Not Reported</t>
        </is>
      </c>
      <c r="P251" s="20" t="inlineStr">
        <is>
          <t>Not Reported</t>
        </is>
      </c>
      <c r="Q251" s="28" t="inlineStr">
        <is>
          <t>Not Reported</t>
        </is>
      </c>
      <c r="R251" s="28" t="inlineStr">
        <is>
          <t>Not Reported</t>
        </is>
      </c>
      <c r="S251" s="28" t="inlineStr">
        <is>
          <t xml:space="preserve">Not Reported </t>
        </is>
      </c>
      <c r="T251" s="28" t="inlineStr">
        <is>
          <t>Not Reported</t>
        </is>
      </c>
      <c r="U251" s="28" t="inlineStr">
        <is>
          <t>Not Reported</t>
        </is>
      </c>
      <c r="V251" s="20" t="inlineStr">
        <is>
          <t>NA</t>
        </is>
      </c>
      <c r="W251" s="20" t="inlineStr">
        <is>
          <t>NA</t>
        </is>
      </c>
      <c r="X251" s="20" t="inlineStr">
        <is>
          <t>Not Reported</t>
        </is>
      </c>
      <c r="Y251" s="28" t="inlineStr">
        <is>
          <t>Not Reported</t>
        </is>
      </c>
      <c r="Z251" s="28" t="inlineStr">
        <is>
          <t>Not Reported</t>
        </is>
      </c>
      <c r="AA251" s="28" t="inlineStr">
        <is>
          <t>Not Reported</t>
        </is>
      </c>
      <c r="AB251" s="95" t="inlineStr">
        <is>
          <t>Not Reported</t>
        </is>
      </c>
      <c r="AC251" s="90" t="inlineStr">
        <is>
          <t>Not Reported</t>
        </is>
      </c>
      <c r="AD251" s="97" t="inlineStr">
        <is>
          <t>Not Reported</t>
        </is>
      </c>
      <c r="AE251" s="97" t="inlineStr">
        <is>
          <t>Not Reported</t>
        </is>
      </c>
      <c r="AF251" s="95" t="inlineStr">
        <is>
          <t>Not Reported</t>
        </is>
      </c>
      <c r="AG251" s="149" t="inlineStr">
        <is>
          <t>Not Reported</t>
        </is>
      </c>
      <c r="AH251" s="285" t="n">
        <v>0</v>
      </c>
      <c r="AI251" s="285" t="inlineStr">
        <is>
          <t>Not Reported</t>
        </is>
      </c>
      <c r="AJ251" s="95" t="inlineStr">
        <is>
          <t>Not Reported</t>
        </is>
      </c>
      <c r="AK251" s="97" t="inlineStr">
        <is>
          <t>Not Reported</t>
        </is>
      </c>
    </row>
    <row r="252">
      <c r="A252" s="26" t="inlineStr">
        <is>
          <t>Pfizer (FLM/RBM)</t>
        </is>
      </c>
      <c r="B252" s="5" t="inlineStr">
        <is>
          <t>West 1</t>
        </is>
      </c>
      <c r="C252" s="76" t="inlineStr">
        <is>
          <t>Usha</t>
        </is>
      </c>
      <c r="D252" s="26" t="inlineStr">
        <is>
          <t>Himanshu Srivastava</t>
        </is>
      </c>
      <c r="E252" s="26" t="inlineStr">
        <is>
          <t>Category (B)</t>
        </is>
      </c>
      <c r="F252" s="26" t="inlineStr">
        <is>
          <t>Contractual SLA</t>
        </is>
      </c>
      <c r="G252" s="26" t="inlineStr">
        <is>
          <t>No</t>
        </is>
      </c>
      <c r="H252" s="26" t="inlineStr">
        <is>
          <t>Prejoining (Medical Test + Reference Checks)</t>
        </is>
      </c>
      <c r="I252" s="28" t="inlineStr">
        <is>
          <t>&lt; = 9 Days</t>
        </is>
      </c>
      <c r="J252" s="20" t="inlineStr">
        <is>
          <t>Not Reported</t>
        </is>
      </c>
      <c r="K252" s="20" t="inlineStr">
        <is>
          <t>Not Reported</t>
        </is>
      </c>
      <c r="L252" s="20" t="inlineStr">
        <is>
          <t>Not Reported</t>
        </is>
      </c>
      <c r="M252" s="28" t="inlineStr">
        <is>
          <t>Not Reported</t>
        </is>
      </c>
      <c r="N252" s="20" t="inlineStr">
        <is>
          <t>Not Reported</t>
        </is>
      </c>
      <c r="O252" s="28" t="inlineStr">
        <is>
          <t>Not Reported</t>
        </is>
      </c>
      <c r="P252" s="20" t="inlineStr">
        <is>
          <t>Not Reported</t>
        </is>
      </c>
      <c r="Q252" s="28" t="inlineStr">
        <is>
          <t>Not Reported</t>
        </is>
      </c>
      <c r="R252" s="28" t="inlineStr">
        <is>
          <t>Not Reported</t>
        </is>
      </c>
      <c r="S252" s="28" t="inlineStr">
        <is>
          <t xml:space="preserve">Not Reported </t>
        </is>
      </c>
      <c r="T252" s="28" t="inlineStr">
        <is>
          <t>Not Reported</t>
        </is>
      </c>
      <c r="U252" s="28" t="inlineStr">
        <is>
          <t>Not Reported</t>
        </is>
      </c>
      <c r="V252" s="20" t="inlineStr">
        <is>
          <t>NA</t>
        </is>
      </c>
      <c r="W252" s="20" t="inlineStr">
        <is>
          <t>NA</t>
        </is>
      </c>
      <c r="X252" s="20" t="inlineStr">
        <is>
          <t>Not Reported</t>
        </is>
      </c>
      <c r="Y252" s="28" t="inlineStr">
        <is>
          <t>Not Reported</t>
        </is>
      </c>
      <c r="Z252" s="28" t="inlineStr">
        <is>
          <t>Not Reported</t>
        </is>
      </c>
      <c r="AA252" s="28" t="inlineStr">
        <is>
          <t>Not Reported</t>
        </is>
      </c>
      <c r="AB252" s="95" t="inlineStr">
        <is>
          <t>Not Reported</t>
        </is>
      </c>
      <c r="AC252" s="90" t="inlineStr">
        <is>
          <t>Not Reported</t>
        </is>
      </c>
      <c r="AD252" s="97" t="inlineStr">
        <is>
          <t>Not Reported</t>
        </is>
      </c>
      <c r="AE252" s="97" t="inlineStr">
        <is>
          <t>Not Reported</t>
        </is>
      </c>
      <c r="AF252" s="95" t="inlineStr">
        <is>
          <t>Not Reported</t>
        </is>
      </c>
      <c r="AG252" s="149" t="inlineStr">
        <is>
          <t>Not Reported</t>
        </is>
      </c>
      <c r="AH252" s="285" t="n">
        <v>0</v>
      </c>
      <c r="AI252" s="285" t="inlineStr">
        <is>
          <t>Not Reported</t>
        </is>
      </c>
      <c r="AJ252" s="95" t="inlineStr">
        <is>
          <t>Not Reported</t>
        </is>
      </c>
      <c r="AK252" s="97" t="inlineStr">
        <is>
          <t>Not Reported</t>
        </is>
      </c>
    </row>
    <row r="253">
      <c r="A253" s="26" t="inlineStr">
        <is>
          <t>Pfizer (FLM/RBM)</t>
        </is>
      </c>
      <c r="B253" s="5" t="inlineStr">
        <is>
          <t>West 1</t>
        </is>
      </c>
      <c r="C253" s="76" t="inlineStr">
        <is>
          <t>Usha</t>
        </is>
      </c>
      <c r="D253" s="26" t="inlineStr">
        <is>
          <t>Himanshu Srivastava</t>
        </is>
      </c>
      <c r="E253" s="26" t="inlineStr">
        <is>
          <t>Category (B)</t>
        </is>
      </c>
      <c r="F253" s="26" t="inlineStr">
        <is>
          <t>Contractual SLA</t>
        </is>
      </c>
      <c r="G253" s="26" t="inlineStr">
        <is>
          <t>No</t>
        </is>
      </c>
      <c r="H253" s="26" t="inlineStr">
        <is>
          <t>Hiring Cycle (Overall Offer)</t>
        </is>
      </c>
      <c r="I253" s="28" t="inlineStr">
        <is>
          <t>&lt;= 45 Days</t>
        </is>
      </c>
      <c r="J253" s="20" t="inlineStr">
        <is>
          <t>Not Reported</t>
        </is>
      </c>
      <c r="K253" s="20" t="inlineStr">
        <is>
          <t>Not Reported</t>
        </is>
      </c>
      <c r="L253" s="20" t="inlineStr">
        <is>
          <t>Not Reported</t>
        </is>
      </c>
      <c r="M253" s="28" t="inlineStr">
        <is>
          <t>Not Reported</t>
        </is>
      </c>
      <c r="N253" s="20" t="inlineStr">
        <is>
          <t>Not Reported</t>
        </is>
      </c>
      <c r="O253" s="28" t="inlineStr">
        <is>
          <t>Not Reported</t>
        </is>
      </c>
      <c r="P253" s="20" t="inlineStr">
        <is>
          <t>Not Reported</t>
        </is>
      </c>
      <c r="Q253" s="28" t="inlineStr">
        <is>
          <t>Not Reported</t>
        </is>
      </c>
      <c r="R253" s="28" t="inlineStr">
        <is>
          <t>Not Reported</t>
        </is>
      </c>
      <c r="S253" s="28" t="inlineStr">
        <is>
          <t xml:space="preserve">Not Reported </t>
        </is>
      </c>
      <c r="T253" s="28" t="inlineStr">
        <is>
          <t>Not Reported</t>
        </is>
      </c>
      <c r="U253" s="28" t="inlineStr">
        <is>
          <t>Not Reported</t>
        </is>
      </c>
      <c r="V253" s="20" t="inlineStr">
        <is>
          <t>NA</t>
        </is>
      </c>
      <c r="W253" s="20" t="inlineStr">
        <is>
          <t>NA</t>
        </is>
      </c>
      <c r="X253" s="20" t="inlineStr">
        <is>
          <t>Not Reported</t>
        </is>
      </c>
      <c r="Y253" s="28" t="inlineStr">
        <is>
          <t>Not Reported</t>
        </is>
      </c>
      <c r="Z253" s="28" t="inlineStr">
        <is>
          <t>Not Reported</t>
        </is>
      </c>
      <c r="AA253" s="28" t="inlineStr">
        <is>
          <t>Not Reported</t>
        </is>
      </c>
      <c r="AB253" s="95" t="inlineStr">
        <is>
          <t>Not Reported</t>
        </is>
      </c>
      <c r="AC253" s="90" t="inlineStr">
        <is>
          <t>Not Reported</t>
        </is>
      </c>
      <c r="AD253" s="97" t="inlineStr">
        <is>
          <t>Not Reported</t>
        </is>
      </c>
      <c r="AE253" s="97" t="inlineStr">
        <is>
          <t>Not Reported</t>
        </is>
      </c>
      <c r="AF253" s="95" t="inlineStr">
        <is>
          <t>Not Reported</t>
        </is>
      </c>
      <c r="AG253" s="149" t="inlineStr">
        <is>
          <t>Not Reported</t>
        </is>
      </c>
      <c r="AH253" s="285" t="n">
        <v>0</v>
      </c>
      <c r="AI253" s="285" t="inlineStr">
        <is>
          <t>Not Reported</t>
        </is>
      </c>
      <c r="AJ253" s="95" t="inlineStr">
        <is>
          <t>Not Reported</t>
        </is>
      </c>
      <c r="AK253" s="97" t="inlineStr">
        <is>
          <t>Not Reported</t>
        </is>
      </c>
    </row>
    <row r="254">
      <c r="A254" s="21" t="inlineStr">
        <is>
          <t>Pfizer (FS &amp; FLM)</t>
        </is>
      </c>
      <c r="B254" s="5" t="inlineStr">
        <is>
          <t>West 1</t>
        </is>
      </c>
      <c r="C254" s="76" t="inlineStr">
        <is>
          <t>Usha</t>
        </is>
      </c>
      <c r="D254" s="26" t="inlineStr">
        <is>
          <t>Himanshu Srivastava</t>
        </is>
      </c>
      <c r="E254" s="26" t="inlineStr">
        <is>
          <t>Category (B)</t>
        </is>
      </c>
      <c r="F254" s="21" t="inlineStr">
        <is>
          <t>Internal KPI</t>
        </is>
      </c>
      <c r="G254" s="21" t="inlineStr">
        <is>
          <t>No</t>
        </is>
      </c>
      <c r="H254" s="27" t="inlineStr">
        <is>
          <t>Hit Ratio</t>
        </is>
      </c>
      <c r="I254" s="11" t="n">
        <v>0.2</v>
      </c>
      <c r="J254" s="11" t="inlineStr">
        <is>
          <t>Not Reported</t>
        </is>
      </c>
      <c r="K254" s="11" t="inlineStr">
        <is>
          <t>Not Reported</t>
        </is>
      </c>
      <c r="L254" s="11" t="inlineStr">
        <is>
          <t>Not Reported</t>
        </is>
      </c>
      <c r="M254" s="28" t="inlineStr">
        <is>
          <t>Not Reported</t>
        </is>
      </c>
      <c r="N254" s="11" t="inlineStr">
        <is>
          <t>Not Reported</t>
        </is>
      </c>
      <c r="O254" s="28" t="inlineStr">
        <is>
          <t>Not Reported</t>
        </is>
      </c>
      <c r="P254" s="11" t="inlineStr">
        <is>
          <t>Not Reported</t>
        </is>
      </c>
      <c r="Q254" s="28" t="inlineStr">
        <is>
          <t>Not Reported</t>
        </is>
      </c>
      <c r="R254" s="28" t="inlineStr">
        <is>
          <t>Not Reported</t>
        </is>
      </c>
      <c r="S254" s="28" t="inlineStr">
        <is>
          <t xml:space="preserve">Not Reported </t>
        </is>
      </c>
      <c r="T254" s="20" t="inlineStr">
        <is>
          <t>Not Reported</t>
        </is>
      </c>
      <c r="U254" s="28" t="inlineStr">
        <is>
          <t>Not Reported</t>
        </is>
      </c>
      <c r="V254" s="20" t="inlineStr">
        <is>
          <t>NA</t>
        </is>
      </c>
      <c r="W254" s="20" t="inlineStr">
        <is>
          <t>NA</t>
        </is>
      </c>
      <c r="X254" s="20" t="inlineStr">
        <is>
          <t>Not Reported</t>
        </is>
      </c>
      <c r="Y254" s="28" t="inlineStr">
        <is>
          <t>Not Reported</t>
        </is>
      </c>
      <c r="Z254" s="28" t="inlineStr">
        <is>
          <t>Not Reported</t>
        </is>
      </c>
      <c r="AA254" s="28" t="inlineStr">
        <is>
          <t>Not Reported</t>
        </is>
      </c>
      <c r="AB254" s="95" t="inlineStr">
        <is>
          <t>Not Reported</t>
        </is>
      </c>
      <c r="AC254" s="90" t="inlineStr">
        <is>
          <t>Not Reported</t>
        </is>
      </c>
      <c r="AD254" s="97" t="inlineStr">
        <is>
          <t>Not Reported</t>
        </is>
      </c>
      <c r="AE254" s="97" t="inlineStr">
        <is>
          <t>Not Reported</t>
        </is>
      </c>
      <c r="AF254" s="95" t="inlineStr">
        <is>
          <t>Not Reported</t>
        </is>
      </c>
      <c r="AG254" s="149" t="inlineStr">
        <is>
          <t>Not Reported</t>
        </is>
      </c>
      <c r="AH254" s="285" t="n">
        <v>0</v>
      </c>
      <c r="AI254" s="285" t="inlineStr">
        <is>
          <t>Not Reported</t>
        </is>
      </c>
      <c r="AJ254" s="135" t="inlineStr">
        <is>
          <t>Not Reported</t>
        </is>
      </c>
      <c r="AK254" s="97" t="inlineStr">
        <is>
          <t>Not Reported</t>
        </is>
      </c>
    </row>
    <row r="255">
      <c r="A255" s="21" t="inlineStr">
        <is>
          <t>Pfizer (FS &amp; FLM)</t>
        </is>
      </c>
      <c r="B255" s="5" t="inlineStr">
        <is>
          <t>West 1</t>
        </is>
      </c>
      <c r="C255" s="76" t="inlineStr">
        <is>
          <t>Usha</t>
        </is>
      </c>
      <c r="D255" s="26" t="inlineStr">
        <is>
          <t>Himanshu Srivastava</t>
        </is>
      </c>
      <c r="E255" s="26" t="inlineStr">
        <is>
          <t>Category (B)</t>
        </is>
      </c>
      <c r="F255" s="21" t="inlineStr">
        <is>
          <t>Internal KPI</t>
        </is>
      </c>
      <c r="G255" s="21" t="inlineStr">
        <is>
          <t>No</t>
        </is>
      </c>
      <c r="H255" s="21" t="inlineStr">
        <is>
          <t>Offer Drop</t>
        </is>
      </c>
      <c r="I255" s="11" t="n">
        <v>0.1</v>
      </c>
      <c r="J255" s="11" t="inlineStr">
        <is>
          <t>Not Reported</t>
        </is>
      </c>
      <c r="K255" s="11" t="inlineStr">
        <is>
          <t>Not Reported</t>
        </is>
      </c>
      <c r="L255" s="11" t="inlineStr">
        <is>
          <t>Not Reported</t>
        </is>
      </c>
      <c r="M255" s="28" t="inlineStr">
        <is>
          <t>Not Reported</t>
        </is>
      </c>
      <c r="N255" s="11" t="inlineStr">
        <is>
          <t>Not Reported</t>
        </is>
      </c>
      <c r="O255" s="28" t="inlineStr">
        <is>
          <t>Not Reported</t>
        </is>
      </c>
      <c r="P255" s="11" t="inlineStr">
        <is>
          <t>Not Reported</t>
        </is>
      </c>
      <c r="Q255" s="28" t="inlineStr">
        <is>
          <t>Not Reported</t>
        </is>
      </c>
      <c r="R255" s="28" t="inlineStr">
        <is>
          <t>Not Reported</t>
        </is>
      </c>
      <c r="S255" s="28" t="inlineStr">
        <is>
          <t xml:space="preserve">Not Reported </t>
        </is>
      </c>
      <c r="T255" s="29" t="n">
        <v>0.07000000000000001</v>
      </c>
      <c r="U255" s="28" t="inlineStr">
        <is>
          <t>Met</t>
        </is>
      </c>
      <c r="V255" s="20" t="inlineStr">
        <is>
          <t>NA</t>
        </is>
      </c>
      <c r="W255" s="20" t="inlineStr">
        <is>
          <t>NA</t>
        </is>
      </c>
      <c r="X255" s="20" t="inlineStr">
        <is>
          <t>Not Reported</t>
        </is>
      </c>
      <c r="Y255" s="28" t="inlineStr">
        <is>
          <t>Not Reported</t>
        </is>
      </c>
      <c r="Z255" s="28" t="inlineStr">
        <is>
          <t>Not Reported</t>
        </is>
      </c>
      <c r="AA255" s="28" t="inlineStr">
        <is>
          <t>Not Reported</t>
        </is>
      </c>
      <c r="AB255" s="95" t="inlineStr">
        <is>
          <t>Not Reported</t>
        </is>
      </c>
      <c r="AC255" s="90" t="inlineStr">
        <is>
          <t>Not Reported</t>
        </is>
      </c>
      <c r="AD255" s="97" t="inlineStr">
        <is>
          <t>Not Reported</t>
        </is>
      </c>
      <c r="AE255" s="126" t="inlineStr">
        <is>
          <t>Not Reported</t>
        </is>
      </c>
      <c r="AF255" s="95" t="inlineStr">
        <is>
          <t>Not Reported</t>
        </is>
      </c>
      <c r="AG255" s="149" t="inlineStr">
        <is>
          <t>Not Reported</t>
        </is>
      </c>
      <c r="AH255" s="285" t="n">
        <v>0</v>
      </c>
      <c r="AI255" s="285" t="inlineStr">
        <is>
          <t>Not Reported</t>
        </is>
      </c>
      <c r="AJ255" s="135" t="inlineStr">
        <is>
          <t>Not Reported</t>
        </is>
      </c>
      <c r="AK255" s="126" t="inlineStr">
        <is>
          <t>Not Reported</t>
        </is>
      </c>
    </row>
    <row r="256">
      <c r="A256" s="204" t="inlineStr">
        <is>
          <t>Pfizer (FS &amp; FLM) (Chennai)</t>
        </is>
      </c>
      <c r="B256" s="205" t="inlineStr">
        <is>
          <t>West 1</t>
        </is>
      </c>
      <c r="C256" s="279" t="inlineStr">
        <is>
          <t>Usha</t>
        </is>
      </c>
      <c r="D256" s="206" t="inlineStr">
        <is>
          <t>Himanshu Srivastava</t>
        </is>
      </c>
      <c r="E256" s="206" t="inlineStr">
        <is>
          <t>Category (B)</t>
        </is>
      </c>
      <c r="F256" s="206" t="inlineStr">
        <is>
          <t>Internal KPI</t>
        </is>
      </c>
      <c r="G256" s="206" t="inlineStr">
        <is>
          <t>No</t>
        </is>
      </c>
      <c r="H256" s="210" t="inlineStr">
        <is>
          <t>Time to Hire</t>
        </is>
      </c>
      <c r="I256" s="202" t="inlineStr">
        <is>
          <t xml:space="preserve">90 Days </t>
        </is>
      </c>
      <c r="J256" s="232" t="n">
        <v>115</v>
      </c>
      <c r="K256" s="233" t="inlineStr">
        <is>
          <t>Not Met</t>
        </is>
      </c>
      <c r="L256" s="233" t="n">
        <v>110</v>
      </c>
      <c r="M256" s="233" t="inlineStr">
        <is>
          <t>Not Met</t>
        </is>
      </c>
      <c r="N256" s="233" t="n">
        <v>93</v>
      </c>
      <c r="O256" s="233" t="inlineStr">
        <is>
          <t>Not Met</t>
        </is>
      </c>
      <c r="P256" s="233" t="n">
        <v>98</v>
      </c>
      <c r="Q256" s="233" t="inlineStr">
        <is>
          <t>Not Met</t>
        </is>
      </c>
      <c r="R256" s="234" t="inlineStr">
        <is>
          <t>NA</t>
        </is>
      </c>
      <c r="S256" s="235" t="inlineStr">
        <is>
          <t>NA</t>
        </is>
      </c>
      <c r="T256" s="233" t="n">
        <v>115</v>
      </c>
      <c r="U256" s="233" t="inlineStr">
        <is>
          <t>Not Met</t>
        </is>
      </c>
      <c r="V256" s="236" t="n">
        <v>92</v>
      </c>
      <c r="W256" s="233" t="inlineStr">
        <is>
          <t>Not Met</t>
        </is>
      </c>
      <c r="X256" s="233" t="inlineStr">
        <is>
          <t>Not Reported</t>
        </is>
      </c>
      <c r="Y256" s="233" t="inlineStr">
        <is>
          <t>Not Reported</t>
        </is>
      </c>
      <c r="Z256" s="237" t="n">
        <v>83</v>
      </c>
      <c r="AA256" s="202" t="inlineStr">
        <is>
          <t>Met</t>
        </is>
      </c>
      <c r="AB256" s="209" t="n">
        <v>106</v>
      </c>
      <c r="AC256" s="202" t="inlineStr">
        <is>
          <t>Not Met</t>
        </is>
      </c>
      <c r="AD256" s="163" t="n">
        <v>105</v>
      </c>
      <c r="AE256" s="202" t="inlineStr">
        <is>
          <t>Not Met</t>
        </is>
      </c>
      <c r="AF256" s="257" t="n">
        <v>102</v>
      </c>
      <c r="AG256" s="28" t="inlineStr">
        <is>
          <t>Not Met</t>
        </is>
      </c>
      <c r="AH256" s="285" t="n">
        <v>0</v>
      </c>
      <c r="AI256" s="285" t="inlineStr">
        <is>
          <t>Not Reported</t>
        </is>
      </c>
      <c r="AJ256" s="270" t="n">
        <v>101</v>
      </c>
      <c r="AK256" s="28" t="inlineStr">
        <is>
          <t>Not Met</t>
        </is>
      </c>
    </row>
    <row r="257">
      <c r="A257" s="164" t="inlineStr">
        <is>
          <t>Pfizer (FS &amp; FLM) (Chennai)</t>
        </is>
      </c>
      <c r="B257" s="165" t="inlineStr">
        <is>
          <t>West 1</t>
        </is>
      </c>
      <c r="C257" s="278" t="inlineStr">
        <is>
          <t>Usha</t>
        </is>
      </c>
      <c r="D257" s="166" t="inlineStr">
        <is>
          <t>Himanshu Srivastava</t>
        </is>
      </c>
      <c r="E257" s="166" t="inlineStr">
        <is>
          <t>Category (B)</t>
        </is>
      </c>
      <c r="F257" s="166" t="inlineStr">
        <is>
          <t>Internal KPI</t>
        </is>
      </c>
      <c r="G257" s="166" t="inlineStr">
        <is>
          <t>No</t>
        </is>
      </c>
      <c r="H257" s="167" t="inlineStr">
        <is>
          <t>Time to Fill</t>
        </is>
      </c>
      <c r="I257" s="170" t="inlineStr">
        <is>
          <t xml:space="preserve">45 Days </t>
        </is>
      </c>
      <c r="J257" s="174" t="n">
        <v>18</v>
      </c>
      <c r="K257" s="170" t="inlineStr">
        <is>
          <t>Met</t>
        </is>
      </c>
      <c r="L257" s="170" t="inlineStr">
        <is>
          <t>NA</t>
        </is>
      </c>
      <c r="M257" s="191" t="inlineStr">
        <is>
          <t>NA</t>
        </is>
      </c>
      <c r="N257" s="186" t="n">
        <v>25</v>
      </c>
      <c r="O257" s="170" t="inlineStr">
        <is>
          <t>Met</t>
        </is>
      </c>
      <c r="P257" s="186" t="n">
        <v>19</v>
      </c>
      <c r="Q257" s="170" t="inlineStr">
        <is>
          <t>Met</t>
        </is>
      </c>
      <c r="R257" s="170" t="n">
        <v>44</v>
      </c>
      <c r="S257" s="170" t="inlineStr">
        <is>
          <t>Met</t>
        </is>
      </c>
      <c r="T257" s="170" t="n">
        <v>18</v>
      </c>
      <c r="U257" s="170" t="inlineStr">
        <is>
          <t>Met</t>
        </is>
      </c>
      <c r="V257" s="187" t="n">
        <v>14</v>
      </c>
      <c r="W257" s="170" t="inlineStr">
        <is>
          <t>Met</t>
        </is>
      </c>
      <c r="X257" s="170" t="inlineStr">
        <is>
          <t>Not Reported</t>
        </is>
      </c>
      <c r="Y257" s="170" t="inlineStr">
        <is>
          <t>Not Reported</t>
        </is>
      </c>
      <c r="Z257" s="187" t="n">
        <v>12</v>
      </c>
      <c r="AA257" s="170" t="inlineStr">
        <is>
          <t>Met</t>
        </is>
      </c>
      <c r="AB257" s="172" t="n">
        <v>51</v>
      </c>
      <c r="AC257" s="170" t="inlineStr">
        <is>
          <t>Not Met</t>
        </is>
      </c>
      <c r="AD257" s="156" t="n">
        <v>17</v>
      </c>
      <c r="AE257" s="170" t="inlineStr">
        <is>
          <t>Met</t>
        </is>
      </c>
      <c r="AF257" s="95" t="n">
        <v>37</v>
      </c>
      <c r="AG257" s="202" t="inlineStr">
        <is>
          <t>Met</t>
        </is>
      </c>
      <c r="AH257" s="285" t="n">
        <v>0</v>
      </c>
      <c r="AI257" s="285" t="inlineStr">
        <is>
          <t>Not Reported</t>
        </is>
      </c>
      <c r="AJ257" s="270" t="n">
        <v>26</v>
      </c>
      <c r="AK257" s="202" t="inlineStr">
        <is>
          <t>Met</t>
        </is>
      </c>
    </row>
    <row r="258">
      <c r="A258" s="26" t="inlineStr">
        <is>
          <t>Pfizer (FS)</t>
        </is>
      </c>
      <c r="B258" s="5" t="inlineStr">
        <is>
          <t>West 1</t>
        </is>
      </c>
      <c r="C258" s="76" t="inlineStr">
        <is>
          <t>Usha</t>
        </is>
      </c>
      <c r="D258" s="26" t="inlineStr">
        <is>
          <t>Himanshu Srivastava</t>
        </is>
      </c>
      <c r="E258" s="26" t="inlineStr">
        <is>
          <t>Category (B)</t>
        </is>
      </c>
      <c r="F258" s="26" t="inlineStr">
        <is>
          <t>Contractual SLA</t>
        </is>
      </c>
      <c r="G258" s="26" t="inlineStr">
        <is>
          <t>No</t>
        </is>
      </c>
      <c r="H258" s="26" t="inlineStr">
        <is>
          <t>Sourcing</t>
        </is>
      </c>
      <c r="I258" s="28" t="inlineStr">
        <is>
          <t>&lt; = 3 days</t>
        </is>
      </c>
      <c r="J258" s="14" t="inlineStr">
        <is>
          <t>Not Reported</t>
        </is>
      </c>
      <c r="K258" s="14" t="inlineStr">
        <is>
          <t>Not Reported</t>
        </is>
      </c>
      <c r="L258" s="14" t="inlineStr">
        <is>
          <t>Not Reported</t>
        </is>
      </c>
      <c r="M258" s="14" t="inlineStr">
        <is>
          <t>Not Reported</t>
        </is>
      </c>
      <c r="N258" s="28" t="inlineStr">
        <is>
          <t>Not Reported</t>
        </is>
      </c>
      <c r="O258" s="28" t="inlineStr">
        <is>
          <t>Not Reported</t>
        </is>
      </c>
      <c r="P258" s="28" t="inlineStr">
        <is>
          <t>Not Reported</t>
        </is>
      </c>
      <c r="Q258" s="28" t="inlineStr">
        <is>
          <t>Not Reported</t>
        </is>
      </c>
      <c r="R258" s="28" t="inlineStr">
        <is>
          <t>Not Reported</t>
        </is>
      </c>
      <c r="S258" s="28" t="inlineStr">
        <is>
          <t xml:space="preserve">Not Reported </t>
        </is>
      </c>
      <c r="T258" s="28" t="inlineStr">
        <is>
          <t>2 Days</t>
        </is>
      </c>
      <c r="U258" s="28" t="inlineStr">
        <is>
          <t>Met</t>
        </is>
      </c>
      <c r="V258" s="20" t="inlineStr">
        <is>
          <t>NA</t>
        </is>
      </c>
      <c r="W258" s="20" t="inlineStr">
        <is>
          <t>NA</t>
        </is>
      </c>
      <c r="X258" s="20" t="inlineStr">
        <is>
          <t>Not Reported</t>
        </is>
      </c>
      <c r="Y258" s="28" t="inlineStr">
        <is>
          <t>Not Reported</t>
        </is>
      </c>
      <c r="Z258" s="28" t="inlineStr">
        <is>
          <t>Not Reported</t>
        </is>
      </c>
      <c r="AA258" s="28" t="inlineStr">
        <is>
          <t>Not Reported</t>
        </is>
      </c>
      <c r="AB258" s="95" t="inlineStr">
        <is>
          <t>Not Reported</t>
        </is>
      </c>
      <c r="AC258" s="90" t="inlineStr">
        <is>
          <t>Not Reported</t>
        </is>
      </c>
      <c r="AD258" s="97" t="inlineStr">
        <is>
          <t>Not Reported</t>
        </is>
      </c>
      <c r="AE258" s="97" t="inlineStr">
        <is>
          <t>Not Reported</t>
        </is>
      </c>
      <c r="AF258" s="95" t="inlineStr">
        <is>
          <t>Not Reported</t>
        </is>
      </c>
      <c r="AG258" s="149" t="inlineStr">
        <is>
          <t>Not Reported</t>
        </is>
      </c>
      <c r="AH258" s="285" t="n">
        <v>0</v>
      </c>
      <c r="AI258" s="285" t="inlineStr">
        <is>
          <t>Not Reported</t>
        </is>
      </c>
      <c r="AJ258" s="135" t="inlineStr">
        <is>
          <t>Not Reported</t>
        </is>
      </c>
      <c r="AK258" s="97" t="inlineStr">
        <is>
          <t>Not Reported</t>
        </is>
      </c>
    </row>
    <row r="259">
      <c r="A259" s="26" t="inlineStr">
        <is>
          <t>Pfizer (FS)</t>
        </is>
      </c>
      <c r="B259" s="5" t="inlineStr">
        <is>
          <t>West 1</t>
        </is>
      </c>
      <c r="C259" s="76" t="inlineStr">
        <is>
          <t>Usha</t>
        </is>
      </c>
      <c r="D259" s="26" t="inlineStr">
        <is>
          <t>Himanshu Srivastava</t>
        </is>
      </c>
      <c r="E259" s="26" t="inlineStr">
        <is>
          <t>Category (B)</t>
        </is>
      </c>
      <c r="F259" s="26" t="inlineStr">
        <is>
          <t>Contractual SLA</t>
        </is>
      </c>
      <c r="G259" s="26" t="inlineStr">
        <is>
          <t>No</t>
        </is>
      </c>
      <c r="H259" s="26" t="inlineStr">
        <is>
          <t>Level 1 Interview</t>
        </is>
      </c>
      <c r="I259" s="28" t="inlineStr">
        <is>
          <t>&lt; = 3 days</t>
        </is>
      </c>
      <c r="J259" s="14" t="inlineStr">
        <is>
          <t>Not Reported</t>
        </is>
      </c>
      <c r="K259" s="14" t="inlineStr">
        <is>
          <t>Not Reported</t>
        </is>
      </c>
      <c r="L259" s="14" t="inlineStr">
        <is>
          <t>Not Reported</t>
        </is>
      </c>
      <c r="M259" s="28" t="inlineStr">
        <is>
          <t>Not Reported</t>
        </is>
      </c>
      <c r="N259" s="28" t="inlineStr">
        <is>
          <t>Not Reported</t>
        </is>
      </c>
      <c r="O259" s="28" t="inlineStr">
        <is>
          <t>Not Reported</t>
        </is>
      </c>
      <c r="P259" s="28" t="inlineStr">
        <is>
          <t>Not Reported</t>
        </is>
      </c>
      <c r="Q259" s="28" t="inlineStr">
        <is>
          <t>Not Reported</t>
        </is>
      </c>
      <c r="R259" s="28" t="inlineStr">
        <is>
          <t>Not Reported</t>
        </is>
      </c>
      <c r="S259" s="28" t="inlineStr">
        <is>
          <t xml:space="preserve">Not Reported </t>
        </is>
      </c>
      <c r="T259" s="28" t="inlineStr">
        <is>
          <t>2 Days</t>
        </is>
      </c>
      <c r="U259" s="28" t="inlineStr">
        <is>
          <t>Met</t>
        </is>
      </c>
      <c r="V259" s="20" t="inlineStr">
        <is>
          <t>NA</t>
        </is>
      </c>
      <c r="W259" s="20" t="inlineStr">
        <is>
          <t>NA</t>
        </is>
      </c>
      <c r="X259" s="20" t="inlineStr">
        <is>
          <t>Not Reported</t>
        </is>
      </c>
      <c r="Y259" s="28" t="inlineStr">
        <is>
          <t>Not Reported</t>
        </is>
      </c>
      <c r="Z259" s="28" t="inlineStr">
        <is>
          <t>Not Reported</t>
        </is>
      </c>
      <c r="AA259" s="28" t="inlineStr">
        <is>
          <t>Not Reported</t>
        </is>
      </c>
      <c r="AB259" s="95" t="inlineStr">
        <is>
          <t>Not Reported</t>
        </is>
      </c>
      <c r="AC259" s="90" t="inlineStr">
        <is>
          <t>Not Reported</t>
        </is>
      </c>
      <c r="AD259" s="97" t="inlineStr">
        <is>
          <t>Not Reported</t>
        </is>
      </c>
      <c r="AE259" s="97" t="inlineStr">
        <is>
          <t>Not Reported</t>
        </is>
      </c>
      <c r="AF259" s="95" t="inlineStr">
        <is>
          <t>Not Reported</t>
        </is>
      </c>
      <c r="AG259" s="149" t="inlineStr">
        <is>
          <t>Not Reported</t>
        </is>
      </c>
      <c r="AH259" s="285" t="n">
        <v>0</v>
      </c>
      <c r="AI259" s="285" t="inlineStr">
        <is>
          <t>Not Reported</t>
        </is>
      </c>
      <c r="AJ259" s="135" t="inlineStr">
        <is>
          <t>Not Reported</t>
        </is>
      </c>
      <c r="AK259" s="97" t="inlineStr">
        <is>
          <t>Not Reported</t>
        </is>
      </c>
    </row>
    <row r="260">
      <c r="A260" s="26" t="inlineStr">
        <is>
          <t>Pfizer (FS)</t>
        </is>
      </c>
      <c r="B260" s="5" t="inlineStr">
        <is>
          <t>West 1</t>
        </is>
      </c>
      <c r="C260" s="76" t="inlineStr">
        <is>
          <t>Usha</t>
        </is>
      </c>
      <c r="D260" s="26" t="inlineStr">
        <is>
          <t>Himanshu Srivastava</t>
        </is>
      </c>
      <c r="E260" s="26" t="inlineStr">
        <is>
          <t>Category (B)</t>
        </is>
      </c>
      <c r="F260" s="26" t="inlineStr">
        <is>
          <t>Contractual SLA</t>
        </is>
      </c>
      <c r="G260" s="26" t="inlineStr">
        <is>
          <t>No</t>
        </is>
      </c>
      <c r="H260" s="26" t="inlineStr">
        <is>
          <t>Level 2 Interview</t>
        </is>
      </c>
      <c r="I260" s="28" t="inlineStr">
        <is>
          <t>&lt; = 3 days</t>
        </is>
      </c>
      <c r="J260" s="14" t="inlineStr">
        <is>
          <t>Not Reported</t>
        </is>
      </c>
      <c r="K260" s="14" t="inlineStr">
        <is>
          <t>Not Reported</t>
        </is>
      </c>
      <c r="L260" s="14" t="inlineStr">
        <is>
          <t>Not Reported</t>
        </is>
      </c>
      <c r="M260" s="28" t="inlineStr">
        <is>
          <t>Not Reported</t>
        </is>
      </c>
      <c r="N260" s="28" t="inlineStr">
        <is>
          <t>Not Reported</t>
        </is>
      </c>
      <c r="O260" s="28" t="inlineStr">
        <is>
          <t>Not Reported</t>
        </is>
      </c>
      <c r="P260" s="28" t="inlineStr">
        <is>
          <t>Not Reported</t>
        </is>
      </c>
      <c r="Q260" s="28" t="inlineStr">
        <is>
          <t>Not Reported</t>
        </is>
      </c>
      <c r="R260" s="28" t="inlineStr">
        <is>
          <t>Not Reported</t>
        </is>
      </c>
      <c r="S260" s="28" t="inlineStr">
        <is>
          <t xml:space="preserve">Not Reported </t>
        </is>
      </c>
      <c r="T260" s="28" t="inlineStr">
        <is>
          <t>2 Days</t>
        </is>
      </c>
      <c r="U260" s="28" t="inlineStr">
        <is>
          <t>Met</t>
        </is>
      </c>
      <c r="V260" s="20" t="inlineStr">
        <is>
          <t>NA</t>
        </is>
      </c>
      <c r="W260" s="20" t="inlineStr">
        <is>
          <t>NA</t>
        </is>
      </c>
      <c r="X260" s="20" t="inlineStr">
        <is>
          <t>Not Reported</t>
        </is>
      </c>
      <c r="Y260" s="28" t="inlineStr">
        <is>
          <t>Not Reported</t>
        </is>
      </c>
      <c r="Z260" s="28" t="inlineStr">
        <is>
          <t>Not Reported</t>
        </is>
      </c>
      <c r="AA260" s="28" t="inlineStr">
        <is>
          <t>Not Reported</t>
        </is>
      </c>
      <c r="AB260" s="95" t="inlineStr">
        <is>
          <t>Not Reported</t>
        </is>
      </c>
      <c r="AC260" s="90" t="inlineStr">
        <is>
          <t>Not Reported</t>
        </is>
      </c>
      <c r="AD260" s="97" t="inlineStr">
        <is>
          <t>Not Reported</t>
        </is>
      </c>
      <c r="AE260" s="97" t="inlineStr">
        <is>
          <t>Not Reported</t>
        </is>
      </c>
      <c r="AF260" s="95" t="inlineStr">
        <is>
          <t>Not Reported</t>
        </is>
      </c>
      <c r="AG260" s="149" t="inlineStr">
        <is>
          <t>Not Reported</t>
        </is>
      </c>
      <c r="AH260" s="285" t="n">
        <v>0</v>
      </c>
      <c r="AI260" s="285" t="inlineStr">
        <is>
          <t>Not Reported</t>
        </is>
      </c>
      <c r="AJ260" s="135" t="inlineStr">
        <is>
          <t>Not Reported</t>
        </is>
      </c>
      <c r="AK260" s="97" t="inlineStr">
        <is>
          <t>Not Reported</t>
        </is>
      </c>
    </row>
    <row r="261">
      <c r="A261" s="26" t="inlineStr">
        <is>
          <t>Pfizer (FS)</t>
        </is>
      </c>
      <c r="B261" s="5" t="inlineStr">
        <is>
          <t>West 1</t>
        </is>
      </c>
      <c r="C261" s="76" t="inlineStr">
        <is>
          <t>Usha</t>
        </is>
      </c>
      <c r="D261" s="26" t="inlineStr">
        <is>
          <t>Himanshu Srivastava</t>
        </is>
      </c>
      <c r="E261" s="26" t="inlineStr">
        <is>
          <t>Category (B)</t>
        </is>
      </c>
      <c r="F261" s="26" t="inlineStr">
        <is>
          <t>Contractual SLA</t>
        </is>
      </c>
      <c r="G261" s="26" t="inlineStr">
        <is>
          <t>No</t>
        </is>
      </c>
      <c r="H261" s="26" t="inlineStr">
        <is>
          <t>Selection to Offer (Offer Roll out, Negotiation &amp; Acceptance )</t>
        </is>
      </c>
      <c r="I261" s="28" t="inlineStr">
        <is>
          <t>&lt; = 3 days</t>
        </is>
      </c>
      <c r="J261" s="14" t="inlineStr">
        <is>
          <t>Not Reported</t>
        </is>
      </c>
      <c r="K261" s="14" t="inlineStr">
        <is>
          <t>Not Reported</t>
        </is>
      </c>
      <c r="L261" s="14" t="inlineStr">
        <is>
          <t>Not Reported</t>
        </is>
      </c>
      <c r="M261" s="28" t="inlineStr">
        <is>
          <t>Not Reported</t>
        </is>
      </c>
      <c r="N261" s="28" t="inlineStr">
        <is>
          <t>Not Reported</t>
        </is>
      </c>
      <c r="O261" s="28" t="inlineStr">
        <is>
          <t>Not Reported</t>
        </is>
      </c>
      <c r="P261" s="28" t="inlineStr">
        <is>
          <t>Not Reported</t>
        </is>
      </c>
      <c r="Q261" s="28" t="inlineStr">
        <is>
          <t>Not Reported</t>
        </is>
      </c>
      <c r="R261" s="28" t="inlineStr">
        <is>
          <t>Not Reported</t>
        </is>
      </c>
      <c r="S261" s="28" t="inlineStr">
        <is>
          <t xml:space="preserve">Not Reported </t>
        </is>
      </c>
      <c r="T261" s="28" t="n">
        <v>1</v>
      </c>
      <c r="U261" s="28" t="inlineStr">
        <is>
          <t>Met</t>
        </is>
      </c>
      <c r="V261" s="20" t="inlineStr">
        <is>
          <t>NA</t>
        </is>
      </c>
      <c r="W261" s="20" t="inlineStr">
        <is>
          <t>NA</t>
        </is>
      </c>
      <c r="X261" s="20" t="inlineStr">
        <is>
          <t>Not Reported</t>
        </is>
      </c>
      <c r="Y261" s="28" t="inlineStr">
        <is>
          <t>Not Reported</t>
        </is>
      </c>
      <c r="Z261" s="28" t="inlineStr">
        <is>
          <t>Not Reported</t>
        </is>
      </c>
      <c r="AA261" s="28" t="inlineStr">
        <is>
          <t>Not Reported</t>
        </is>
      </c>
      <c r="AB261" s="95" t="inlineStr">
        <is>
          <t>Not Reported</t>
        </is>
      </c>
      <c r="AC261" s="90" t="inlineStr">
        <is>
          <t>Not Reported</t>
        </is>
      </c>
      <c r="AD261" s="97" t="inlineStr">
        <is>
          <t>Not Reported</t>
        </is>
      </c>
      <c r="AE261" s="97" t="inlineStr">
        <is>
          <t>Not Reported</t>
        </is>
      </c>
      <c r="AF261" s="95" t="inlineStr">
        <is>
          <t>Not Reported</t>
        </is>
      </c>
      <c r="AG261" s="149" t="inlineStr">
        <is>
          <t>Not Reported</t>
        </is>
      </c>
      <c r="AH261" s="285" t="n">
        <v>0</v>
      </c>
      <c r="AI261" s="285" t="inlineStr">
        <is>
          <t>Not Reported</t>
        </is>
      </c>
      <c r="AJ261" s="135" t="inlineStr">
        <is>
          <t>Not Reported</t>
        </is>
      </c>
      <c r="AK261" s="97" t="inlineStr">
        <is>
          <t>Not Reported</t>
        </is>
      </c>
    </row>
    <row r="262">
      <c r="A262" s="26" t="inlineStr">
        <is>
          <t>Pfizer (FS)</t>
        </is>
      </c>
      <c r="B262" s="5" t="inlineStr">
        <is>
          <t>West 1</t>
        </is>
      </c>
      <c r="C262" s="76" t="inlineStr">
        <is>
          <t>Usha</t>
        </is>
      </c>
      <c r="D262" s="26" t="inlineStr">
        <is>
          <t>Himanshu Srivastava</t>
        </is>
      </c>
      <c r="E262" s="26" t="inlineStr">
        <is>
          <t>Category (B)</t>
        </is>
      </c>
      <c r="F262" s="26" t="inlineStr">
        <is>
          <t>Contractual SLA</t>
        </is>
      </c>
      <c r="G262" s="26" t="inlineStr">
        <is>
          <t>No</t>
        </is>
      </c>
      <c r="H262" s="26" t="inlineStr">
        <is>
          <t>Prejoining (Medical Test + Reference Checks + Pre joining time)</t>
        </is>
      </c>
      <c r="I262" s="28" t="inlineStr">
        <is>
          <t>&lt; = 10 days</t>
        </is>
      </c>
      <c r="J262" s="14" t="inlineStr">
        <is>
          <t>Not Reported</t>
        </is>
      </c>
      <c r="K262" s="14" t="inlineStr">
        <is>
          <t>Not Reported</t>
        </is>
      </c>
      <c r="L262" s="14" t="inlineStr">
        <is>
          <t>Not Reported</t>
        </is>
      </c>
      <c r="M262" s="28" t="inlineStr">
        <is>
          <t>Not Reported</t>
        </is>
      </c>
      <c r="N262" s="28" t="inlineStr">
        <is>
          <t>Not Reported</t>
        </is>
      </c>
      <c r="O262" s="28" t="inlineStr">
        <is>
          <t>Not Reported</t>
        </is>
      </c>
      <c r="P262" s="28" t="inlineStr">
        <is>
          <t>Not Reported</t>
        </is>
      </c>
      <c r="Q262" s="28" t="inlineStr">
        <is>
          <t>Not Reported</t>
        </is>
      </c>
      <c r="R262" s="28" t="inlineStr">
        <is>
          <t>Not Reported</t>
        </is>
      </c>
      <c r="S262" s="28" t="inlineStr">
        <is>
          <t xml:space="preserve">Not Reported </t>
        </is>
      </c>
      <c r="T262" s="28" t="inlineStr">
        <is>
          <t>11 Days</t>
        </is>
      </c>
      <c r="U262" s="28" t="inlineStr">
        <is>
          <t>Not Met</t>
        </is>
      </c>
      <c r="V262" s="20" t="inlineStr">
        <is>
          <t>NA</t>
        </is>
      </c>
      <c r="W262" s="20" t="inlineStr">
        <is>
          <t>NA</t>
        </is>
      </c>
      <c r="X262" s="20" t="inlineStr">
        <is>
          <t>Not Reported</t>
        </is>
      </c>
      <c r="Y262" s="28" t="inlineStr">
        <is>
          <t>Not Reported</t>
        </is>
      </c>
      <c r="Z262" s="28" t="inlineStr">
        <is>
          <t>Not Reported</t>
        </is>
      </c>
      <c r="AA262" s="28" t="inlineStr">
        <is>
          <t>Not Reported</t>
        </is>
      </c>
      <c r="AB262" s="95" t="inlineStr">
        <is>
          <t>Not Reported</t>
        </is>
      </c>
      <c r="AC262" s="90" t="inlineStr">
        <is>
          <t>Not Reported</t>
        </is>
      </c>
      <c r="AD262" s="97" t="inlineStr">
        <is>
          <t>Not Reported</t>
        </is>
      </c>
      <c r="AE262" s="97" t="inlineStr">
        <is>
          <t>Not Reported</t>
        </is>
      </c>
      <c r="AF262" s="95" t="inlineStr">
        <is>
          <t>Not Reported</t>
        </is>
      </c>
      <c r="AG262" s="149" t="inlineStr">
        <is>
          <t>Not Reported</t>
        </is>
      </c>
      <c r="AH262" s="285" t="n">
        <v>0</v>
      </c>
      <c r="AI262" s="285" t="inlineStr">
        <is>
          <t>Not Reported</t>
        </is>
      </c>
      <c r="AJ262" s="135" t="inlineStr">
        <is>
          <t>Not Reported</t>
        </is>
      </c>
      <c r="AK262" s="97" t="inlineStr">
        <is>
          <t>Not Reported</t>
        </is>
      </c>
    </row>
    <row r="263">
      <c r="A263" s="26" t="inlineStr">
        <is>
          <t>Pfizer (FS)</t>
        </is>
      </c>
      <c r="B263" s="5" t="inlineStr">
        <is>
          <t>West 1</t>
        </is>
      </c>
      <c r="C263" s="76" t="inlineStr">
        <is>
          <t>Usha</t>
        </is>
      </c>
      <c r="D263" s="26" t="inlineStr">
        <is>
          <t>Himanshu Srivastava</t>
        </is>
      </c>
      <c r="E263" s="26" t="inlineStr">
        <is>
          <t>Category (B)</t>
        </is>
      </c>
      <c r="F263" s="26" t="inlineStr">
        <is>
          <t>Contractual SLA</t>
        </is>
      </c>
      <c r="G263" s="26" t="inlineStr">
        <is>
          <t>No</t>
        </is>
      </c>
      <c r="H263" s="26" t="inlineStr">
        <is>
          <t>Recruitment Cycle (Overall Joining)</t>
        </is>
      </c>
      <c r="I263" s="28" t="inlineStr">
        <is>
          <t>&lt; = 30 days</t>
        </is>
      </c>
      <c r="J263" s="14" t="inlineStr">
        <is>
          <t>Not Reported</t>
        </is>
      </c>
      <c r="K263" s="14" t="inlineStr">
        <is>
          <t>Not Reported</t>
        </is>
      </c>
      <c r="L263" s="14" t="inlineStr">
        <is>
          <t>Not Reported</t>
        </is>
      </c>
      <c r="M263" s="28" t="inlineStr">
        <is>
          <t>Not Reported</t>
        </is>
      </c>
      <c r="N263" s="28" t="inlineStr">
        <is>
          <t>Not Reported</t>
        </is>
      </c>
      <c r="O263" s="28" t="inlineStr">
        <is>
          <t>Not Reported</t>
        </is>
      </c>
      <c r="P263" s="28" t="inlineStr">
        <is>
          <t>Not Reported</t>
        </is>
      </c>
      <c r="Q263" s="28" t="inlineStr">
        <is>
          <t>Not Reported</t>
        </is>
      </c>
      <c r="R263" s="28" t="inlineStr">
        <is>
          <t>Not Reported</t>
        </is>
      </c>
      <c r="S263" s="28" t="inlineStr">
        <is>
          <t xml:space="preserve">Not Reported </t>
        </is>
      </c>
      <c r="T263" s="28" t="n">
        <v>29</v>
      </c>
      <c r="U263" s="28" t="inlineStr">
        <is>
          <t>Met</t>
        </is>
      </c>
      <c r="V263" s="20" t="inlineStr">
        <is>
          <t>NA</t>
        </is>
      </c>
      <c r="W263" s="20" t="inlineStr">
        <is>
          <t>NA</t>
        </is>
      </c>
      <c r="X263" s="20" t="inlineStr">
        <is>
          <t>Not Reported</t>
        </is>
      </c>
      <c r="Y263" s="28" t="inlineStr">
        <is>
          <t>Not Reported</t>
        </is>
      </c>
      <c r="Z263" s="28" t="inlineStr">
        <is>
          <t>Not Reported</t>
        </is>
      </c>
      <c r="AA263" s="28" t="inlineStr">
        <is>
          <t>Not Reported</t>
        </is>
      </c>
      <c r="AB263" s="95" t="inlineStr">
        <is>
          <t>Not Reported</t>
        </is>
      </c>
      <c r="AC263" s="90" t="inlineStr">
        <is>
          <t>Not Reported</t>
        </is>
      </c>
      <c r="AD263" s="97" t="inlineStr">
        <is>
          <t>Not Reported</t>
        </is>
      </c>
      <c r="AE263" s="97" t="inlineStr">
        <is>
          <t>Not Reported</t>
        </is>
      </c>
      <c r="AF263" s="95" t="inlineStr">
        <is>
          <t>Not Reported</t>
        </is>
      </c>
      <c r="AG263" s="149" t="inlineStr">
        <is>
          <t>Not Reported</t>
        </is>
      </c>
      <c r="AH263" s="285" t="n">
        <v>0</v>
      </c>
      <c r="AI263" s="285" t="inlineStr">
        <is>
          <t>Not Reported</t>
        </is>
      </c>
      <c r="AJ263" s="135" t="inlineStr">
        <is>
          <t>Not Reported</t>
        </is>
      </c>
      <c r="AK263" s="97" t="inlineStr">
        <is>
          <t>Not Reported</t>
        </is>
      </c>
    </row>
    <row r="264">
      <c r="A264" s="26" t="inlineStr">
        <is>
          <t>Pfizer (FS)</t>
        </is>
      </c>
      <c r="B264" s="5" t="inlineStr">
        <is>
          <t>West 1</t>
        </is>
      </c>
      <c r="C264" s="76" t="inlineStr">
        <is>
          <t>Usha</t>
        </is>
      </c>
      <c r="D264" s="26" t="inlineStr">
        <is>
          <t>Himanshu Srivastava</t>
        </is>
      </c>
      <c r="E264" s="26" t="inlineStr">
        <is>
          <t>Category (B)</t>
        </is>
      </c>
      <c r="F264" s="26" t="inlineStr">
        <is>
          <t>Contractual SLA</t>
        </is>
      </c>
      <c r="G264" s="26" t="inlineStr">
        <is>
          <t>No</t>
        </is>
      </c>
      <c r="H264" s="26" t="inlineStr">
        <is>
          <t>Hiring Cycle (Overall Offer)</t>
        </is>
      </c>
      <c r="I264" s="28" t="inlineStr">
        <is>
          <t>&lt; = 25 Days</t>
        </is>
      </c>
      <c r="J264" s="14" t="inlineStr">
        <is>
          <t>Not Reported</t>
        </is>
      </c>
      <c r="K264" s="14" t="inlineStr">
        <is>
          <t>Not Reported</t>
        </is>
      </c>
      <c r="L264" s="14" t="inlineStr">
        <is>
          <t>Not Reported</t>
        </is>
      </c>
      <c r="M264" s="28" t="inlineStr">
        <is>
          <t>Not Reported</t>
        </is>
      </c>
      <c r="N264" s="28" t="inlineStr">
        <is>
          <t>Not Reported</t>
        </is>
      </c>
      <c r="O264" s="28" t="inlineStr">
        <is>
          <t>Not Reported</t>
        </is>
      </c>
      <c r="P264" s="28" t="inlineStr">
        <is>
          <t>Not Reported</t>
        </is>
      </c>
      <c r="Q264" s="28" t="inlineStr">
        <is>
          <t>Not Reported</t>
        </is>
      </c>
      <c r="R264" s="28" t="inlineStr">
        <is>
          <t>Not Reported</t>
        </is>
      </c>
      <c r="S264" s="28" t="inlineStr">
        <is>
          <t xml:space="preserve">Not Reported </t>
        </is>
      </c>
      <c r="T264" s="28" t="n">
        <v>11</v>
      </c>
      <c r="U264" s="28" t="inlineStr">
        <is>
          <t>Met</t>
        </is>
      </c>
      <c r="V264" s="20" t="inlineStr">
        <is>
          <t>NA</t>
        </is>
      </c>
      <c r="W264" s="20" t="inlineStr">
        <is>
          <t>NA</t>
        </is>
      </c>
      <c r="X264" s="20" t="inlineStr">
        <is>
          <t>Not Reported</t>
        </is>
      </c>
      <c r="Y264" s="28" t="inlineStr">
        <is>
          <t>Not Reported</t>
        </is>
      </c>
      <c r="Z264" s="28" t="inlineStr">
        <is>
          <t>Not Reported</t>
        </is>
      </c>
      <c r="AA264" s="28" t="inlineStr">
        <is>
          <t>Not Reported</t>
        </is>
      </c>
      <c r="AB264" s="95" t="inlineStr">
        <is>
          <t>Not Reported</t>
        </is>
      </c>
      <c r="AC264" s="90" t="inlineStr">
        <is>
          <t>Not Reported</t>
        </is>
      </c>
      <c r="AD264" s="97" t="inlineStr">
        <is>
          <t>Not Reported</t>
        </is>
      </c>
      <c r="AE264" s="97" t="inlineStr">
        <is>
          <t>Not Reported</t>
        </is>
      </c>
      <c r="AF264" s="95" t="inlineStr">
        <is>
          <t>Not Reported</t>
        </is>
      </c>
      <c r="AG264" s="149" t="inlineStr">
        <is>
          <t>Not Reported</t>
        </is>
      </c>
      <c r="AH264" s="285" t="n">
        <v>0</v>
      </c>
      <c r="AI264" s="285" t="inlineStr">
        <is>
          <t>Not Reported</t>
        </is>
      </c>
      <c r="AJ264" s="135" t="inlineStr">
        <is>
          <t>Not Reported</t>
        </is>
      </c>
      <c r="AK264" s="97" t="inlineStr">
        <is>
          <t>Not Reported</t>
        </is>
      </c>
    </row>
    <row r="265">
      <c r="A265" s="26" t="inlineStr">
        <is>
          <t>Pfizer (FS/FLM/RBM)</t>
        </is>
      </c>
      <c r="B265" s="5" t="inlineStr">
        <is>
          <t>West 1</t>
        </is>
      </c>
      <c r="C265" s="76" t="inlineStr">
        <is>
          <t>Usha</t>
        </is>
      </c>
      <c r="D265" s="26" t="inlineStr">
        <is>
          <t>Himanshu Srivastava</t>
        </is>
      </c>
      <c r="E265" s="26" t="inlineStr">
        <is>
          <t>Category (B)</t>
        </is>
      </c>
      <c r="F265" s="21" t="inlineStr">
        <is>
          <t>Internal KPI</t>
        </is>
      </c>
      <c r="G265" s="21" t="inlineStr">
        <is>
          <t>No</t>
        </is>
      </c>
      <c r="H265" s="27" t="inlineStr">
        <is>
          <t>Time to Fill</t>
        </is>
      </c>
      <c r="I265" s="14" t="inlineStr">
        <is>
          <t xml:space="preserve">25 Days </t>
        </is>
      </c>
      <c r="J265" s="20" t="inlineStr">
        <is>
          <t>Not Reported</t>
        </is>
      </c>
      <c r="K265" s="20" t="inlineStr">
        <is>
          <t>Not Reported</t>
        </is>
      </c>
      <c r="L265" s="20" t="inlineStr">
        <is>
          <t>Not Reported</t>
        </is>
      </c>
      <c r="M265" s="28" t="inlineStr">
        <is>
          <t>Not Reported</t>
        </is>
      </c>
      <c r="N265" s="20" t="inlineStr">
        <is>
          <t>Not Reported</t>
        </is>
      </c>
      <c r="O265" s="28" t="inlineStr">
        <is>
          <t>Not Reported</t>
        </is>
      </c>
      <c r="P265" s="20" t="inlineStr">
        <is>
          <t>Not Reported</t>
        </is>
      </c>
      <c r="Q265" s="28" t="inlineStr">
        <is>
          <t>Not Reported</t>
        </is>
      </c>
      <c r="R265" s="28" t="inlineStr">
        <is>
          <t>Not Reported</t>
        </is>
      </c>
      <c r="S265" s="28" t="inlineStr">
        <is>
          <t xml:space="preserve">Not Reported </t>
        </is>
      </c>
      <c r="T265" s="28" t="n">
        <v>13</v>
      </c>
      <c r="U265" s="28" t="inlineStr">
        <is>
          <t>Met</t>
        </is>
      </c>
      <c r="V265" s="20" t="inlineStr">
        <is>
          <t>NA</t>
        </is>
      </c>
      <c r="W265" s="20" t="inlineStr">
        <is>
          <t>NA</t>
        </is>
      </c>
      <c r="X265" s="20" t="inlineStr">
        <is>
          <t>Not Reported</t>
        </is>
      </c>
      <c r="Y265" s="28" t="inlineStr">
        <is>
          <t>Not Reported</t>
        </is>
      </c>
      <c r="Z265" s="28" t="inlineStr">
        <is>
          <t>Not Reported</t>
        </is>
      </c>
      <c r="AA265" s="28" t="inlineStr">
        <is>
          <t>Not Reported</t>
        </is>
      </c>
      <c r="AB265" s="95" t="inlineStr">
        <is>
          <t>Not Reported</t>
        </is>
      </c>
      <c r="AC265" s="90" t="inlineStr">
        <is>
          <t>Not Reported</t>
        </is>
      </c>
      <c r="AD265" s="97" t="inlineStr">
        <is>
          <t>Not Reported</t>
        </is>
      </c>
      <c r="AE265" s="97" t="inlineStr">
        <is>
          <t>Not Reported</t>
        </is>
      </c>
      <c r="AF265" s="95" t="inlineStr">
        <is>
          <t>Not Reported</t>
        </is>
      </c>
      <c r="AG265" s="149" t="inlineStr">
        <is>
          <t>Not Reported</t>
        </is>
      </c>
      <c r="AH265" s="285" t="n">
        <v>0</v>
      </c>
      <c r="AI265" s="285" t="inlineStr">
        <is>
          <t>Not Reported</t>
        </is>
      </c>
      <c r="AJ265" s="95" t="inlineStr">
        <is>
          <t>Not Reported</t>
        </is>
      </c>
      <c r="AK265" s="97" t="inlineStr">
        <is>
          <t>Not Reported</t>
        </is>
      </c>
    </row>
    <row r="266">
      <c r="A266" s="26" t="inlineStr">
        <is>
          <t>Pfizer (FS/FLM/RBM)</t>
        </is>
      </c>
      <c r="B266" s="5" t="inlineStr">
        <is>
          <t>West 1</t>
        </is>
      </c>
      <c r="C266" s="76" t="inlineStr">
        <is>
          <t>Usha</t>
        </is>
      </c>
      <c r="D266" s="26" t="inlineStr">
        <is>
          <t>Himanshu Srivastava</t>
        </is>
      </c>
      <c r="E266" s="26" t="inlineStr">
        <is>
          <t>Category (B)</t>
        </is>
      </c>
      <c r="F266" s="21" t="inlineStr">
        <is>
          <t>Internal KPI</t>
        </is>
      </c>
      <c r="G266" s="26" t="inlineStr">
        <is>
          <t>No</t>
        </is>
      </c>
      <c r="H266" s="27" t="inlineStr">
        <is>
          <t>Time to Hire</t>
        </is>
      </c>
      <c r="I266" s="28" t="inlineStr">
        <is>
          <t xml:space="preserve">30 Days </t>
        </is>
      </c>
      <c r="J266" s="20" t="inlineStr">
        <is>
          <t>Not Reported</t>
        </is>
      </c>
      <c r="K266" s="20" t="inlineStr">
        <is>
          <t>Not Reported</t>
        </is>
      </c>
      <c r="L266" s="20" t="inlineStr">
        <is>
          <t>Not Reported</t>
        </is>
      </c>
      <c r="M266" s="28" t="inlineStr">
        <is>
          <t>Not Reported</t>
        </is>
      </c>
      <c r="N266" s="20" t="inlineStr">
        <is>
          <t>Not Reported</t>
        </is>
      </c>
      <c r="O266" s="28" t="inlineStr">
        <is>
          <t>Not Reported</t>
        </is>
      </c>
      <c r="P266" s="20" t="inlineStr">
        <is>
          <t>Not Reported</t>
        </is>
      </c>
      <c r="Q266" s="28" t="inlineStr">
        <is>
          <t>Not Reported</t>
        </is>
      </c>
      <c r="R266" s="28" t="inlineStr">
        <is>
          <t>Not Reported</t>
        </is>
      </c>
      <c r="S266" s="28" t="inlineStr">
        <is>
          <t xml:space="preserve">Not Reported </t>
        </is>
      </c>
      <c r="T266" s="28" t="inlineStr">
        <is>
          <t>Not Reported</t>
        </is>
      </c>
      <c r="U266" s="28" t="inlineStr">
        <is>
          <t>Not Reported</t>
        </is>
      </c>
      <c r="V266" s="20" t="inlineStr">
        <is>
          <t>NA</t>
        </is>
      </c>
      <c r="W266" s="20" t="inlineStr">
        <is>
          <t>NA</t>
        </is>
      </c>
      <c r="X266" s="20" t="inlineStr">
        <is>
          <t>Not Reported</t>
        </is>
      </c>
      <c r="Y266" s="28" t="inlineStr">
        <is>
          <t>Not Reported</t>
        </is>
      </c>
      <c r="Z266" s="28" t="inlineStr">
        <is>
          <t>Not Reported</t>
        </is>
      </c>
      <c r="AA266" s="28" t="inlineStr">
        <is>
          <t>Not Reported</t>
        </is>
      </c>
      <c r="AB266" s="95" t="inlineStr">
        <is>
          <t>Not Reported</t>
        </is>
      </c>
      <c r="AC266" s="90" t="inlineStr">
        <is>
          <t>Not Reported</t>
        </is>
      </c>
      <c r="AD266" s="97" t="inlineStr">
        <is>
          <t>Not Reported</t>
        </is>
      </c>
      <c r="AE266" s="97" t="inlineStr">
        <is>
          <t>Not Reported</t>
        </is>
      </c>
      <c r="AF266" s="95" t="inlineStr">
        <is>
          <t>Not Reported</t>
        </is>
      </c>
      <c r="AG266" s="149" t="inlineStr">
        <is>
          <t>Not Reported</t>
        </is>
      </c>
      <c r="AH266" s="285" t="n">
        <v>0</v>
      </c>
      <c r="AI266" s="285" t="inlineStr">
        <is>
          <t>Not Reported</t>
        </is>
      </c>
      <c r="AJ266" s="95" t="inlineStr">
        <is>
          <t>Not Reported</t>
        </is>
      </c>
      <c r="AK266" s="97" t="inlineStr">
        <is>
          <t>Not Reported</t>
        </is>
      </c>
    </row>
    <row r="267">
      <c r="A267" s="26" t="inlineStr">
        <is>
          <t>Pfizer (FS/FLM/RBM)</t>
        </is>
      </c>
      <c r="B267" s="5" t="inlineStr">
        <is>
          <t>West 1</t>
        </is>
      </c>
      <c r="C267" s="76" t="inlineStr">
        <is>
          <t>Usha</t>
        </is>
      </c>
      <c r="D267" s="26" t="inlineStr">
        <is>
          <t>Himanshu Srivastava</t>
        </is>
      </c>
      <c r="E267" s="26" t="inlineStr">
        <is>
          <t>Category (B)</t>
        </is>
      </c>
      <c r="F267" s="26" t="inlineStr">
        <is>
          <t>Contractual SLA</t>
        </is>
      </c>
      <c r="G267" s="26" t="inlineStr">
        <is>
          <t>No</t>
        </is>
      </c>
      <c r="H267" s="27" t="inlineStr">
        <is>
          <t>Time to Fill</t>
        </is>
      </c>
      <c r="I267" s="28" t="inlineStr">
        <is>
          <t>&lt; = 40 days</t>
        </is>
      </c>
      <c r="J267" s="20" t="inlineStr">
        <is>
          <t>Not Reported</t>
        </is>
      </c>
      <c r="K267" s="20" t="inlineStr">
        <is>
          <t>Not Reported</t>
        </is>
      </c>
      <c r="L267" s="20" t="inlineStr">
        <is>
          <t>Not Reported</t>
        </is>
      </c>
      <c r="M267" s="28" t="inlineStr">
        <is>
          <t>Not Reported</t>
        </is>
      </c>
      <c r="N267" s="20" t="inlineStr">
        <is>
          <t>Not Reported</t>
        </is>
      </c>
      <c r="O267" s="28" t="inlineStr">
        <is>
          <t>Not Reported</t>
        </is>
      </c>
      <c r="P267" s="20" t="inlineStr">
        <is>
          <t>Not Reported</t>
        </is>
      </c>
      <c r="Q267" s="28" t="inlineStr">
        <is>
          <t>Not Reported</t>
        </is>
      </c>
      <c r="R267" s="28" t="inlineStr">
        <is>
          <t>Not Reported</t>
        </is>
      </c>
      <c r="S267" s="28" t="inlineStr">
        <is>
          <t xml:space="preserve">Not Reported </t>
        </is>
      </c>
      <c r="T267" s="28" t="inlineStr">
        <is>
          <t>Not Reported</t>
        </is>
      </c>
      <c r="U267" s="28" t="inlineStr">
        <is>
          <t>Not Reported</t>
        </is>
      </c>
      <c r="V267" s="20" t="inlineStr">
        <is>
          <t>NA</t>
        </is>
      </c>
      <c r="W267" s="20" t="inlineStr">
        <is>
          <t>NA</t>
        </is>
      </c>
      <c r="X267" s="20" t="inlineStr">
        <is>
          <t>Not Reported</t>
        </is>
      </c>
      <c r="Y267" s="28" t="inlineStr">
        <is>
          <t>Not Reported</t>
        </is>
      </c>
      <c r="Z267" s="28" t="inlineStr">
        <is>
          <t>Not Reported</t>
        </is>
      </c>
      <c r="AA267" s="28" t="inlineStr">
        <is>
          <t>Not Reported</t>
        </is>
      </c>
      <c r="AB267" s="95" t="inlineStr">
        <is>
          <t>Not Reported</t>
        </is>
      </c>
      <c r="AC267" s="90" t="inlineStr">
        <is>
          <t>Not Reported</t>
        </is>
      </c>
      <c r="AD267" s="97" t="inlineStr">
        <is>
          <t>Not Reported</t>
        </is>
      </c>
      <c r="AE267" s="97" t="inlineStr">
        <is>
          <t>Not Reported</t>
        </is>
      </c>
      <c r="AF267" s="95" t="inlineStr">
        <is>
          <t>Not Reported</t>
        </is>
      </c>
      <c r="AG267" s="149" t="inlineStr">
        <is>
          <t>Not Reported</t>
        </is>
      </c>
      <c r="AH267" s="285" t="n">
        <v>0</v>
      </c>
      <c r="AI267" s="285" t="inlineStr">
        <is>
          <t>Not Reported</t>
        </is>
      </c>
      <c r="AJ267" s="95" t="inlineStr">
        <is>
          <t>Not Reported</t>
        </is>
      </c>
      <c r="AK267" s="97" t="inlineStr">
        <is>
          <t>Not Reported</t>
        </is>
      </c>
    </row>
    <row r="268">
      <c r="A268" s="26" t="inlineStr">
        <is>
          <t>Pfizer (FS/FLM/RBM)</t>
        </is>
      </c>
      <c r="B268" s="5" t="inlineStr">
        <is>
          <t>West 1</t>
        </is>
      </c>
      <c r="C268" s="76" t="inlineStr">
        <is>
          <t>Usha</t>
        </is>
      </c>
      <c r="D268" s="26" t="inlineStr">
        <is>
          <t>Himanshu Srivastava</t>
        </is>
      </c>
      <c r="E268" s="26" t="inlineStr">
        <is>
          <t>Category (B)</t>
        </is>
      </c>
      <c r="F268" s="21" t="inlineStr">
        <is>
          <t>Internal KPI</t>
        </is>
      </c>
      <c r="G268" s="21" t="inlineStr">
        <is>
          <t>No</t>
        </is>
      </c>
      <c r="H268" s="26" t="inlineStr">
        <is>
          <t>Diversity</t>
        </is>
      </c>
      <c r="I268" s="29" t="inlineStr">
        <is>
          <t>Mumbai - 7%</t>
        </is>
      </c>
      <c r="J268" s="20" t="inlineStr">
        <is>
          <t>Not Reported</t>
        </is>
      </c>
      <c r="K268" s="20" t="inlineStr">
        <is>
          <t>Not Reported</t>
        </is>
      </c>
      <c r="L268" s="20" t="inlineStr">
        <is>
          <t>Not Reported</t>
        </is>
      </c>
      <c r="M268" s="28" t="inlineStr">
        <is>
          <t>Not Reported</t>
        </is>
      </c>
      <c r="N268" s="20" t="inlineStr">
        <is>
          <t>Not Reported</t>
        </is>
      </c>
      <c r="O268" s="28" t="inlineStr">
        <is>
          <t>Not Reported</t>
        </is>
      </c>
      <c r="P268" s="20" t="inlineStr">
        <is>
          <t>Not Reported</t>
        </is>
      </c>
      <c r="Q268" s="28" t="inlineStr">
        <is>
          <t>Not Reported</t>
        </is>
      </c>
      <c r="R268" s="28" t="inlineStr">
        <is>
          <t>Not Reported</t>
        </is>
      </c>
      <c r="S268" s="28" t="inlineStr">
        <is>
          <t xml:space="preserve">Not Reported </t>
        </is>
      </c>
      <c r="T268" s="29" t="n">
        <v>0</v>
      </c>
      <c r="U268" s="28" t="inlineStr">
        <is>
          <t>Not Met</t>
        </is>
      </c>
      <c r="V268" s="20" t="inlineStr">
        <is>
          <t>NA</t>
        </is>
      </c>
      <c r="W268" s="20" t="inlineStr">
        <is>
          <t>NA</t>
        </is>
      </c>
      <c r="X268" s="20" t="inlineStr">
        <is>
          <t>Not Reported</t>
        </is>
      </c>
      <c r="Y268" s="28" t="inlineStr">
        <is>
          <t>Not Reported</t>
        </is>
      </c>
      <c r="Z268" s="28" t="inlineStr">
        <is>
          <t>Not Reported</t>
        </is>
      </c>
      <c r="AA268" s="28" t="inlineStr">
        <is>
          <t>Not Reported</t>
        </is>
      </c>
      <c r="AB268" s="95" t="inlineStr">
        <is>
          <t>Not Reported</t>
        </is>
      </c>
      <c r="AC268" s="90" t="inlineStr">
        <is>
          <t>Not Reported</t>
        </is>
      </c>
      <c r="AD268" s="97" t="inlineStr">
        <is>
          <t>Not Reported</t>
        </is>
      </c>
      <c r="AE268" s="97" t="inlineStr">
        <is>
          <t>Not Reported</t>
        </is>
      </c>
      <c r="AF268" s="95" t="inlineStr">
        <is>
          <t>Not Reported</t>
        </is>
      </c>
      <c r="AG268" s="149" t="inlineStr">
        <is>
          <t>Not Reported</t>
        </is>
      </c>
      <c r="AH268" s="285" t="n">
        <v>0</v>
      </c>
      <c r="AI268" s="285" t="inlineStr">
        <is>
          <t>Not Reported</t>
        </is>
      </c>
      <c r="AJ268" s="95" t="inlineStr">
        <is>
          <t>Not Reported</t>
        </is>
      </c>
      <c r="AK268" s="97" t="inlineStr">
        <is>
          <t>Not Reported</t>
        </is>
      </c>
    </row>
    <row r="269">
      <c r="A269" s="26" t="inlineStr">
        <is>
          <t>Pfizer (FS/FLM/RBM)</t>
        </is>
      </c>
      <c r="B269" s="5" t="inlineStr">
        <is>
          <t>West 1</t>
        </is>
      </c>
      <c r="C269" s="76" t="inlineStr">
        <is>
          <t>Usha</t>
        </is>
      </c>
      <c r="D269" s="26" t="inlineStr">
        <is>
          <t>Himanshu Srivastava</t>
        </is>
      </c>
      <c r="E269" s="26" t="inlineStr">
        <is>
          <t>Category (B)</t>
        </is>
      </c>
      <c r="F269" s="21" t="inlineStr">
        <is>
          <t>Internal KPI</t>
        </is>
      </c>
      <c r="G269" s="21" t="inlineStr">
        <is>
          <t>No</t>
        </is>
      </c>
      <c r="H269" s="21" t="inlineStr">
        <is>
          <t>Ageing</t>
        </is>
      </c>
      <c r="I269" s="20" t="n">
        <v>0.2</v>
      </c>
      <c r="J269" s="20" t="inlineStr">
        <is>
          <t>Not Reported</t>
        </is>
      </c>
      <c r="K269" s="20" t="inlineStr">
        <is>
          <t>Not Reported</t>
        </is>
      </c>
      <c r="L269" s="20" t="inlineStr">
        <is>
          <t>Not Reported</t>
        </is>
      </c>
      <c r="M269" s="28" t="inlineStr">
        <is>
          <t>Not Reported</t>
        </is>
      </c>
      <c r="N269" s="20" t="inlineStr">
        <is>
          <t>Not Reported</t>
        </is>
      </c>
      <c r="O269" s="28" t="inlineStr">
        <is>
          <t>Not Reported</t>
        </is>
      </c>
      <c r="P269" s="20" t="inlineStr">
        <is>
          <t>Not Reported</t>
        </is>
      </c>
      <c r="Q269" s="28" t="inlineStr">
        <is>
          <t>Not Reported</t>
        </is>
      </c>
      <c r="R269" s="28" t="inlineStr">
        <is>
          <t>Not Reported</t>
        </is>
      </c>
      <c r="S269" s="28" t="inlineStr">
        <is>
          <t xml:space="preserve">Not Reported </t>
        </is>
      </c>
      <c r="T269" s="29" t="inlineStr">
        <is>
          <t>Not Reported</t>
        </is>
      </c>
      <c r="U269" s="28" t="inlineStr">
        <is>
          <t>Not Reported</t>
        </is>
      </c>
      <c r="V269" s="20" t="inlineStr">
        <is>
          <t>NA</t>
        </is>
      </c>
      <c r="W269" s="20" t="inlineStr">
        <is>
          <t>NA</t>
        </is>
      </c>
      <c r="X269" s="20" t="inlineStr">
        <is>
          <t>Not Reported</t>
        </is>
      </c>
      <c r="Y269" s="28" t="inlineStr">
        <is>
          <t>Not Reported</t>
        </is>
      </c>
      <c r="Z269" s="28" t="inlineStr">
        <is>
          <t>Not Reported</t>
        </is>
      </c>
      <c r="AA269" s="28" t="inlineStr">
        <is>
          <t>Not Reported</t>
        </is>
      </c>
      <c r="AB269" s="95" t="inlineStr">
        <is>
          <t>Not Reported</t>
        </is>
      </c>
      <c r="AC269" s="90" t="inlineStr">
        <is>
          <t>Not Reported</t>
        </is>
      </c>
      <c r="AD269" s="97" t="inlineStr">
        <is>
          <t>Not Reported</t>
        </is>
      </c>
      <c r="AE269" s="127" t="inlineStr">
        <is>
          <t>Not Reported</t>
        </is>
      </c>
      <c r="AF269" s="95" t="inlineStr">
        <is>
          <t>Not Reported</t>
        </is>
      </c>
      <c r="AG269" s="149" t="inlineStr">
        <is>
          <t>Not Reported</t>
        </is>
      </c>
      <c r="AH269" s="285" t="n">
        <v>0</v>
      </c>
      <c r="AI269" s="285" t="inlineStr">
        <is>
          <t>Not Reported</t>
        </is>
      </c>
      <c r="AJ269" s="102" t="inlineStr">
        <is>
          <t>Not Reported</t>
        </is>
      </c>
      <c r="AK269" s="127" t="inlineStr">
        <is>
          <t>Not Reported</t>
        </is>
      </c>
    </row>
    <row r="270">
      <c r="A270" s="26" t="inlineStr">
        <is>
          <t>Pfizer (FS/FLM/RBM)</t>
        </is>
      </c>
      <c r="B270" s="5" t="inlineStr">
        <is>
          <t>West 1</t>
        </is>
      </c>
      <c r="C270" s="76" t="inlineStr">
        <is>
          <t>Usha</t>
        </is>
      </c>
      <c r="D270" s="26" t="inlineStr">
        <is>
          <t>Himanshu Srivastava</t>
        </is>
      </c>
      <c r="E270" s="26" t="inlineStr">
        <is>
          <t>Category (B)</t>
        </is>
      </c>
      <c r="F270" s="21" t="inlineStr">
        <is>
          <t>Internal KPI</t>
        </is>
      </c>
      <c r="G270" s="21" t="inlineStr">
        <is>
          <t>No</t>
        </is>
      </c>
      <c r="H270" s="27" t="inlineStr">
        <is>
          <t>First Time Right Ratio</t>
        </is>
      </c>
      <c r="I270" s="20" t="n">
        <v>0.75</v>
      </c>
      <c r="J270" s="20" t="inlineStr">
        <is>
          <t>Not Reported</t>
        </is>
      </c>
      <c r="K270" s="20" t="inlineStr">
        <is>
          <t>Not Reported</t>
        </is>
      </c>
      <c r="L270" s="20" t="inlineStr">
        <is>
          <t>Not Reported</t>
        </is>
      </c>
      <c r="M270" s="28" t="inlineStr">
        <is>
          <t>Not Reported</t>
        </is>
      </c>
      <c r="N270" s="20" t="inlineStr">
        <is>
          <t>Not Reported</t>
        </is>
      </c>
      <c r="O270" s="28" t="inlineStr">
        <is>
          <t>Not Reported</t>
        </is>
      </c>
      <c r="P270" s="20" t="inlineStr">
        <is>
          <t>Not Reported</t>
        </is>
      </c>
      <c r="Q270" s="28" t="inlineStr">
        <is>
          <t>Not Reported</t>
        </is>
      </c>
      <c r="R270" s="28" t="inlineStr">
        <is>
          <t>Not Reported</t>
        </is>
      </c>
      <c r="S270" s="28" t="inlineStr">
        <is>
          <t xml:space="preserve">Not Reported </t>
        </is>
      </c>
      <c r="T270" s="28" t="inlineStr">
        <is>
          <t>Not Reported</t>
        </is>
      </c>
      <c r="U270" s="28" t="inlineStr">
        <is>
          <t>Not Reported</t>
        </is>
      </c>
      <c r="V270" s="20" t="inlineStr">
        <is>
          <t>NA</t>
        </is>
      </c>
      <c r="W270" s="20" t="inlineStr">
        <is>
          <t>NA</t>
        </is>
      </c>
      <c r="X270" s="20" t="inlineStr">
        <is>
          <t>Not Reported</t>
        </is>
      </c>
      <c r="Y270" s="28" t="inlineStr">
        <is>
          <t>Not Reported</t>
        </is>
      </c>
      <c r="Z270" s="28" t="inlineStr">
        <is>
          <t>Not Reported</t>
        </is>
      </c>
      <c r="AA270" s="28" t="inlineStr">
        <is>
          <t>Not Reported</t>
        </is>
      </c>
      <c r="AB270" s="95" t="inlineStr">
        <is>
          <t>Not Reported</t>
        </is>
      </c>
      <c r="AC270" s="90" t="inlineStr">
        <is>
          <t>Not Reported</t>
        </is>
      </c>
      <c r="AD270" s="97" t="inlineStr">
        <is>
          <t>Not Reported</t>
        </is>
      </c>
      <c r="AE270" s="126" t="inlineStr">
        <is>
          <t>Not Reported</t>
        </is>
      </c>
      <c r="AF270" s="95" t="inlineStr">
        <is>
          <t>Not Reported</t>
        </is>
      </c>
      <c r="AG270" s="149" t="inlineStr">
        <is>
          <t>Not Reported</t>
        </is>
      </c>
      <c r="AH270" s="285" t="n">
        <v>0</v>
      </c>
      <c r="AI270" s="285" t="inlineStr">
        <is>
          <t>Not Reported</t>
        </is>
      </c>
      <c r="AJ270" s="95" t="inlineStr">
        <is>
          <t>Not Reported</t>
        </is>
      </c>
      <c r="AK270" s="126" t="inlineStr">
        <is>
          <t>Not Reported</t>
        </is>
      </c>
    </row>
    <row r="271">
      <c r="A271" s="220" t="inlineStr">
        <is>
          <t>Pfizer (FS/FLM/RBM)</t>
        </is>
      </c>
      <c r="B271" s="219" t="inlineStr">
        <is>
          <t>West 1</t>
        </is>
      </c>
      <c r="C271" s="280" t="inlineStr">
        <is>
          <t>Usha</t>
        </is>
      </c>
      <c r="D271" s="220" t="inlineStr">
        <is>
          <t>Himanshu Srivastava</t>
        </is>
      </c>
      <c r="E271" s="220" t="inlineStr">
        <is>
          <t>Category (B)</t>
        </is>
      </c>
      <c r="F271" s="84" t="inlineStr">
        <is>
          <t>Internal KPI</t>
        </is>
      </c>
      <c r="G271" s="84" t="inlineStr">
        <is>
          <t>No</t>
        </is>
      </c>
      <c r="H271" s="238" t="inlineStr">
        <is>
          <t xml:space="preserve">Fulfilment </t>
        </is>
      </c>
      <c r="I271" s="224" t="n">
        <v>0.9</v>
      </c>
      <c r="J271" s="224" t="inlineStr">
        <is>
          <t>Not Reported</t>
        </is>
      </c>
      <c r="K271" s="224" t="inlineStr">
        <is>
          <t>Not Reported</t>
        </is>
      </c>
      <c r="L271" s="224" t="inlineStr">
        <is>
          <t>Not Reported</t>
        </is>
      </c>
      <c r="M271" s="223" t="inlineStr">
        <is>
          <t>Not Reported</t>
        </is>
      </c>
      <c r="N271" s="224" t="inlineStr">
        <is>
          <t>Not Reported</t>
        </is>
      </c>
      <c r="O271" s="223" t="inlineStr">
        <is>
          <t>Not Reported</t>
        </is>
      </c>
      <c r="P271" s="224" t="inlineStr">
        <is>
          <t>Not Reported</t>
        </is>
      </c>
      <c r="Q271" s="223" t="inlineStr">
        <is>
          <t>Not Reported</t>
        </is>
      </c>
      <c r="R271" s="226" t="n">
        <v>0.13</v>
      </c>
      <c r="S271" s="223" t="inlineStr">
        <is>
          <t>Not Met</t>
        </is>
      </c>
      <c r="T271" s="226" t="n">
        <v>0.71</v>
      </c>
      <c r="U271" s="223" t="inlineStr">
        <is>
          <t>Not Met</t>
        </is>
      </c>
      <c r="V271" s="224" t="inlineStr">
        <is>
          <t>NA</t>
        </is>
      </c>
      <c r="W271" s="224" t="inlineStr">
        <is>
          <t>NA</t>
        </is>
      </c>
      <c r="X271" s="224" t="inlineStr">
        <is>
          <t>Not Reported</t>
        </is>
      </c>
      <c r="Y271" s="223" t="inlineStr">
        <is>
          <t>Not Reported</t>
        </is>
      </c>
      <c r="Z271" s="223" t="inlineStr">
        <is>
          <t>Not Reported</t>
        </is>
      </c>
      <c r="AA271" s="223" t="inlineStr">
        <is>
          <t>Not Reported</t>
        </is>
      </c>
      <c r="AB271" s="239" t="inlineStr">
        <is>
          <t>Not Reported</t>
        </is>
      </c>
      <c r="AC271" s="229" t="inlineStr">
        <is>
          <t>Not Reported</t>
        </is>
      </c>
      <c r="AD271" s="240" t="n">
        <v>0.42</v>
      </c>
      <c r="AE271" s="223" t="inlineStr">
        <is>
          <t>Not Met</t>
        </is>
      </c>
      <c r="AF271" s="95" t="inlineStr">
        <is>
          <t>Not Reported</t>
        </is>
      </c>
      <c r="AG271" s="149" t="inlineStr">
        <is>
          <t>Not Reported</t>
        </is>
      </c>
      <c r="AH271" s="285" t="n">
        <v>0</v>
      </c>
      <c r="AI271" s="285" t="inlineStr">
        <is>
          <t>Not Reported</t>
        </is>
      </c>
      <c r="AJ271" s="95" t="inlineStr">
        <is>
          <t>Not Reported</t>
        </is>
      </c>
      <c r="AK271" s="126" t="inlineStr">
        <is>
          <t>Not Reported</t>
        </is>
      </c>
    </row>
    <row r="272">
      <c r="A272" s="21" t="inlineStr">
        <is>
          <t>Pidilite</t>
        </is>
      </c>
      <c r="B272" s="5" t="inlineStr">
        <is>
          <t>West 1</t>
        </is>
      </c>
      <c r="C272" s="76" t="inlineStr">
        <is>
          <t>Usha</t>
        </is>
      </c>
      <c r="D272" s="26" t="inlineStr">
        <is>
          <t>Himanshu Srivastava</t>
        </is>
      </c>
      <c r="E272" s="26" t="inlineStr">
        <is>
          <t>Category (B)</t>
        </is>
      </c>
      <c r="F272" s="21" t="inlineStr">
        <is>
          <t>Internal KPI</t>
        </is>
      </c>
      <c r="G272" s="21" t="inlineStr">
        <is>
          <t>No</t>
        </is>
      </c>
      <c r="H272" s="27" t="inlineStr">
        <is>
          <t>Time to Hire</t>
        </is>
      </c>
      <c r="I272" s="14" t="inlineStr">
        <is>
          <t>Sales &amp; ICA - 45 Days</t>
        </is>
      </c>
      <c r="J272" s="28" t="n">
        <v>73</v>
      </c>
      <c r="K272" s="28" t="inlineStr">
        <is>
          <t>Not Met</t>
        </is>
      </c>
      <c r="L272" s="28" t="n">
        <v>54</v>
      </c>
      <c r="M272" s="28" t="inlineStr">
        <is>
          <t>Not Met</t>
        </is>
      </c>
      <c r="N272" s="14" t="n">
        <v>63</v>
      </c>
      <c r="O272" s="28" t="inlineStr">
        <is>
          <t>Not Met</t>
        </is>
      </c>
      <c r="P272" s="14" t="n">
        <v>56</v>
      </c>
      <c r="Q272" s="28" t="inlineStr">
        <is>
          <t>Not Met</t>
        </is>
      </c>
      <c r="R272" s="9" t="n">
        <v>71</v>
      </c>
      <c r="S272" s="28" t="inlineStr">
        <is>
          <t>Not Met</t>
        </is>
      </c>
      <c r="T272" s="28" t="n">
        <v>56</v>
      </c>
      <c r="U272" s="28" t="inlineStr">
        <is>
          <t>Not Met</t>
        </is>
      </c>
      <c r="V272" s="9" t="n">
        <v>56</v>
      </c>
      <c r="W272" s="28" t="inlineStr">
        <is>
          <t>Not Met</t>
        </is>
      </c>
      <c r="X272" s="9" t="n">
        <v>61</v>
      </c>
      <c r="Y272" s="28" t="inlineStr">
        <is>
          <t>Not Met</t>
        </is>
      </c>
      <c r="Z272" s="10" t="n">
        <v>66</v>
      </c>
      <c r="AA272" s="28" t="inlineStr">
        <is>
          <t>Not Met</t>
        </is>
      </c>
      <c r="AB272" s="99" t="n">
        <v>45</v>
      </c>
      <c r="AC272" s="28" t="inlineStr">
        <is>
          <t>Met</t>
        </is>
      </c>
      <c r="AD272" s="97" t="inlineStr">
        <is>
          <t>Not Reported</t>
        </is>
      </c>
      <c r="AE272" s="97" t="inlineStr">
        <is>
          <t>Not Reported</t>
        </is>
      </c>
      <c r="AF272" s="95" t="inlineStr">
        <is>
          <t>Not Reported</t>
        </is>
      </c>
      <c r="AG272" s="149" t="inlineStr">
        <is>
          <t>Not Reported</t>
        </is>
      </c>
      <c r="AH272" s="285" t="n">
        <v>0</v>
      </c>
      <c r="AI272" s="285" t="inlineStr">
        <is>
          <t>Not Reported</t>
        </is>
      </c>
      <c r="AJ272" s="95" t="inlineStr">
        <is>
          <t>Not Reported</t>
        </is>
      </c>
      <c r="AK272" s="97" t="inlineStr">
        <is>
          <t>Not Reported</t>
        </is>
      </c>
    </row>
    <row r="273">
      <c r="A273" s="21" t="inlineStr">
        <is>
          <t>Pidilite</t>
        </is>
      </c>
      <c r="B273" s="5" t="inlineStr">
        <is>
          <t>West 1</t>
        </is>
      </c>
      <c r="C273" s="76" t="inlineStr">
        <is>
          <t>Usha</t>
        </is>
      </c>
      <c r="D273" s="26" t="inlineStr">
        <is>
          <t>Himanshu Srivastava</t>
        </is>
      </c>
      <c r="E273" s="26" t="inlineStr">
        <is>
          <t>Category (B)</t>
        </is>
      </c>
      <c r="F273" s="21" t="inlineStr">
        <is>
          <t>Internal KPI</t>
        </is>
      </c>
      <c r="G273" s="21" t="inlineStr">
        <is>
          <t>No</t>
        </is>
      </c>
      <c r="H273" s="27" t="inlineStr">
        <is>
          <t>Time to Hire</t>
        </is>
      </c>
      <c r="I273" s="14" t="inlineStr">
        <is>
          <t>Manufacturing - 90 Days</t>
        </is>
      </c>
      <c r="J273" s="28" t="n">
        <v>108</v>
      </c>
      <c r="K273" s="28" t="inlineStr">
        <is>
          <t>Not Met</t>
        </is>
      </c>
      <c r="L273" s="28" t="n">
        <v>59</v>
      </c>
      <c r="M273" s="28" t="inlineStr">
        <is>
          <t>Met</t>
        </is>
      </c>
      <c r="N273" s="14" t="n">
        <v>114</v>
      </c>
      <c r="O273" s="28" t="inlineStr">
        <is>
          <t>Not Met</t>
        </is>
      </c>
      <c r="P273" s="14" t="n">
        <v>85</v>
      </c>
      <c r="Q273" s="28" t="inlineStr">
        <is>
          <t>Met</t>
        </is>
      </c>
      <c r="R273" s="9" t="n">
        <v>93</v>
      </c>
      <c r="S273" s="28" t="inlineStr">
        <is>
          <t>Not Met</t>
        </is>
      </c>
      <c r="T273" s="28" t="n">
        <v>72</v>
      </c>
      <c r="U273" s="28" t="inlineStr">
        <is>
          <t>Met</t>
        </is>
      </c>
      <c r="V273" s="9" t="n">
        <v>88</v>
      </c>
      <c r="W273" s="28" t="inlineStr">
        <is>
          <t>Met</t>
        </is>
      </c>
      <c r="X273" s="9" t="n">
        <v>85</v>
      </c>
      <c r="Y273" s="28" t="inlineStr">
        <is>
          <t>Met</t>
        </is>
      </c>
      <c r="Z273" s="10" t="n">
        <v>89</v>
      </c>
      <c r="AA273" s="28" t="inlineStr">
        <is>
          <t>Met</t>
        </is>
      </c>
      <c r="AB273" s="99" t="inlineStr">
        <is>
          <t>NA</t>
        </is>
      </c>
      <c r="AC273" s="20" t="inlineStr">
        <is>
          <t>NA</t>
        </is>
      </c>
      <c r="AD273" s="97" t="inlineStr">
        <is>
          <t>Not Reported</t>
        </is>
      </c>
      <c r="AE273" s="97" t="inlineStr">
        <is>
          <t>Not Reported</t>
        </is>
      </c>
      <c r="AF273" s="95" t="inlineStr">
        <is>
          <t>Not Reported</t>
        </is>
      </c>
      <c r="AG273" s="149" t="inlineStr">
        <is>
          <t>Not Reported</t>
        </is>
      </c>
      <c r="AH273" s="285" t="n">
        <v>0</v>
      </c>
      <c r="AI273" s="285" t="inlineStr">
        <is>
          <t>Not Reported</t>
        </is>
      </c>
      <c r="AJ273" s="95" t="inlineStr">
        <is>
          <t>Not Reported</t>
        </is>
      </c>
      <c r="AK273" s="97" t="inlineStr">
        <is>
          <t>Not Reported</t>
        </is>
      </c>
    </row>
    <row r="274">
      <c r="A274" s="21" t="inlineStr">
        <is>
          <t>Pidilite</t>
        </is>
      </c>
      <c r="B274" s="5" t="inlineStr">
        <is>
          <t>West 1</t>
        </is>
      </c>
      <c r="C274" s="76" t="inlineStr">
        <is>
          <t>Usha</t>
        </is>
      </c>
      <c r="D274" s="26" t="inlineStr">
        <is>
          <t>Himanshu Srivastava</t>
        </is>
      </c>
      <c r="E274" s="26" t="inlineStr">
        <is>
          <t>Category (B)</t>
        </is>
      </c>
      <c r="F274" s="21" t="inlineStr">
        <is>
          <t>Internal KPI</t>
        </is>
      </c>
      <c r="G274" s="21" t="inlineStr">
        <is>
          <t>No</t>
        </is>
      </c>
      <c r="H274" s="27" t="inlineStr">
        <is>
          <t>Time to Hire</t>
        </is>
      </c>
      <c r="I274" s="14" t="inlineStr">
        <is>
          <t>Corporate - 75 Days</t>
        </is>
      </c>
      <c r="J274" s="28" t="n">
        <v>135</v>
      </c>
      <c r="K274" s="28" t="inlineStr">
        <is>
          <t>Not Met</t>
        </is>
      </c>
      <c r="L274" s="28" t="n">
        <v>110</v>
      </c>
      <c r="M274" s="28" t="inlineStr">
        <is>
          <t>Not Met</t>
        </is>
      </c>
      <c r="N274" s="14" t="n">
        <v>74</v>
      </c>
      <c r="O274" s="28" t="inlineStr">
        <is>
          <t>Met</t>
        </is>
      </c>
      <c r="P274" s="14" t="n">
        <v>86</v>
      </c>
      <c r="Q274" s="28" t="inlineStr">
        <is>
          <t>Not Met</t>
        </is>
      </c>
      <c r="R274" s="9" t="n">
        <v>97</v>
      </c>
      <c r="S274" s="28" t="inlineStr">
        <is>
          <t>Not Met</t>
        </is>
      </c>
      <c r="T274" s="28" t="inlineStr">
        <is>
          <t>NA</t>
        </is>
      </c>
      <c r="U274" s="28" t="inlineStr">
        <is>
          <t>NA</t>
        </is>
      </c>
      <c r="V274" s="9" t="n">
        <v>82</v>
      </c>
      <c r="W274" s="28" t="inlineStr">
        <is>
          <t>Not Met</t>
        </is>
      </c>
      <c r="X274" s="9" t="n">
        <v>82</v>
      </c>
      <c r="Y274" s="28" t="inlineStr">
        <is>
          <t>Not Met</t>
        </is>
      </c>
      <c r="Z274" s="10" t="n">
        <v>67</v>
      </c>
      <c r="AA274" s="28" t="inlineStr">
        <is>
          <t>Met</t>
        </is>
      </c>
      <c r="AB274" s="99" t="n">
        <v>68</v>
      </c>
      <c r="AC274" s="28" t="inlineStr">
        <is>
          <t>Met</t>
        </is>
      </c>
      <c r="AD274" s="97" t="inlineStr">
        <is>
          <t>Not Reported</t>
        </is>
      </c>
      <c r="AE274" s="97" t="inlineStr">
        <is>
          <t>Not Reported</t>
        </is>
      </c>
      <c r="AF274" s="95" t="inlineStr">
        <is>
          <t>Not Reported</t>
        </is>
      </c>
      <c r="AG274" s="149" t="inlineStr">
        <is>
          <t>Not Reported</t>
        </is>
      </c>
      <c r="AH274" s="285" t="n">
        <v>0</v>
      </c>
      <c r="AI274" s="285" t="inlineStr">
        <is>
          <t>Not Reported</t>
        </is>
      </c>
      <c r="AJ274" s="95" t="inlineStr">
        <is>
          <t>Not Reported</t>
        </is>
      </c>
      <c r="AK274" s="97" t="inlineStr">
        <is>
          <t>Not Reported</t>
        </is>
      </c>
    </row>
    <row r="275">
      <c r="A275" s="21" t="inlineStr">
        <is>
          <t>Pidilite</t>
        </is>
      </c>
      <c r="B275" s="5" t="inlineStr">
        <is>
          <t>West 1</t>
        </is>
      </c>
      <c r="C275" s="76" t="inlineStr">
        <is>
          <t>Usha</t>
        </is>
      </c>
      <c r="D275" s="26" t="inlineStr">
        <is>
          <t>Himanshu Srivastava</t>
        </is>
      </c>
      <c r="E275" s="26" t="inlineStr">
        <is>
          <t>Category (B)</t>
        </is>
      </c>
      <c r="F275" s="21" t="inlineStr">
        <is>
          <t>Internal KPI</t>
        </is>
      </c>
      <c r="G275" s="21" t="inlineStr">
        <is>
          <t>No</t>
        </is>
      </c>
      <c r="H275" s="27" t="inlineStr">
        <is>
          <t>Time to Fill</t>
        </is>
      </c>
      <c r="I275" s="14" t="inlineStr">
        <is>
          <t>Sales &amp; ICA - 30 Days</t>
        </is>
      </c>
      <c r="J275" s="28" t="n">
        <v>32</v>
      </c>
      <c r="K275" s="28" t="inlineStr">
        <is>
          <t>Not Met</t>
        </is>
      </c>
      <c r="L275" s="28" t="n">
        <v>27</v>
      </c>
      <c r="M275" s="28" t="inlineStr">
        <is>
          <t>Met</t>
        </is>
      </c>
      <c r="N275" s="14" t="n">
        <v>38</v>
      </c>
      <c r="O275" s="28" t="inlineStr">
        <is>
          <t>Not Met</t>
        </is>
      </c>
      <c r="P275" s="14" t="n">
        <v>29</v>
      </c>
      <c r="Q275" s="28" t="inlineStr">
        <is>
          <t>Met</t>
        </is>
      </c>
      <c r="R275" s="9" t="n">
        <v>33</v>
      </c>
      <c r="S275" s="28" t="inlineStr">
        <is>
          <t>Not Met</t>
        </is>
      </c>
      <c r="T275" s="28" t="n">
        <v>40</v>
      </c>
      <c r="U275" s="28" t="inlineStr">
        <is>
          <t>Not Met</t>
        </is>
      </c>
      <c r="V275" s="9" t="n">
        <v>30</v>
      </c>
      <c r="W275" s="28" t="inlineStr">
        <is>
          <t>Met</t>
        </is>
      </c>
      <c r="X275" s="9" t="n">
        <v>30</v>
      </c>
      <c r="Y275" s="28" t="inlineStr">
        <is>
          <t>Met</t>
        </is>
      </c>
      <c r="Z275" s="10" t="n">
        <v>30</v>
      </c>
      <c r="AA275" s="28" t="inlineStr">
        <is>
          <t>Met</t>
        </is>
      </c>
      <c r="AB275" s="99" t="n">
        <v>24</v>
      </c>
      <c r="AC275" s="28" t="inlineStr">
        <is>
          <t>Met</t>
        </is>
      </c>
      <c r="AD275" s="97" t="inlineStr">
        <is>
          <t>Not Reported</t>
        </is>
      </c>
      <c r="AE275" s="97" t="inlineStr">
        <is>
          <t>Not Reported</t>
        </is>
      </c>
      <c r="AF275" s="95" t="inlineStr">
        <is>
          <t>Not Reported</t>
        </is>
      </c>
      <c r="AG275" s="149" t="inlineStr">
        <is>
          <t>Not Reported</t>
        </is>
      </c>
      <c r="AH275" s="285" t="n">
        <v>0</v>
      </c>
      <c r="AI275" s="285" t="inlineStr">
        <is>
          <t>Not Reported</t>
        </is>
      </c>
      <c r="AJ275" s="95" t="inlineStr">
        <is>
          <t>Not Reported</t>
        </is>
      </c>
      <c r="AK275" s="97" t="inlineStr">
        <is>
          <t>Not Reported</t>
        </is>
      </c>
    </row>
    <row r="276">
      <c r="A276" s="21" t="inlineStr">
        <is>
          <t>Pidilite</t>
        </is>
      </c>
      <c r="B276" s="5" t="inlineStr">
        <is>
          <t>West 1</t>
        </is>
      </c>
      <c r="C276" s="76" t="inlineStr">
        <is>
          <t>Usha</t>
        </is>
      </c>
      <c r="D276" s="26" t="inlineStr">
        <is>
          <t>Himanshu Srivastava</t>
        </is>
      </c>
      <c r="E276" s="26" t="inlineStr">
        <is>
          <t>Category (B)</t>
        </is>
      </c>
      <c r="F276" s="21" t="inlineStr">
        <is>
          <t>Internal KPI</t>
        </is>
      </c>
      <c r="G276" s="21" t="inlineStr">
        <is>
          <t>No</t>
        </is>
      </c>
      <c r="H276" s="27" t="inlineStr">
        <is>
          <t>Time to Fill</t>
        </is>
      </c>
      <c r="I276" s="14" t="inlineStr">
        <is>
          <t>Manufacturing - 45 Days</t>
        </is>
      </c>
      <c r="J276" s="28" t="n">
        <v>48</v>
      </c>
      <c r="K276" s="28" t="inlineStr">
        <is>
          <t>Not Met</t>
        </is>
      </c>
      <c r="L276" s="28" t="n">
        <v>42</v>
      </c>
      <c r="M276" s="28" t="inlineStr">
        <is>
          <t>Met</t>
        </is>
      </c>
      <c r="N276" s="14" t="n">
        <v>45</v>
      </c>
      <c r="O276" s="28" t="inlineStr">
        <is>
          <t>Met</t>
        </is>
      </c>
      <c r="P276" s="14" t="n">
        <v>43</v>
      </c>
      <c r="Q276" s="28" t="inlineStr">
        <is>
          <t>Met</t>
        </is>
      </c>
      <c r="R276" s="9" t="n">
        <v>54</v>
      </c>
      <c r="S276" s="28" t="inlineStr">
        <is>
          <t>Not Met</t>
        </is>
      </c>
      <c r="T276" s="40" t="n">
        <v>34</v>
      </c>
      <c r="U276" s="28" t="inlineStr">
        <is>
          <t>Met</t>
        </is>
      </c>
      <c r="V276" s="9" t="n">
        <v>40</v>
      </c>
      <c r="W276" s="28" t="inlineStr">
        <is>
          <t>Met</t>
        </is>
      </c>
      <c r="X276" s="9" t="n">
        <v>33</v>
      </c>
      <c r="Y276" s="28" t="inlineStr">
        <is>
          <t>Met</t>
        </is>
      </c>
      <c r="Z276" s="10" t="n">
        <v>45</v>
      </c>
      <c r="AA276" s="28" t="inlineStr">
        <is>
          <t>Met</t>
        </is>
      </c>
      <c r="AB276" s="90" t="n">
        <v>57</v>
      </c>
      <c r="AC276" s="28" t="inlineStr">
        <is>
          <t>Not Met</t>
        </is>
      </c>
      <c r="AD276" s="97" t="inlineStr">
        <is>
          <t>Not Reported</t>
        </is>
      </c>
      <c r="AE276" s="97" t="inlineStr">
        <is>
          <t>Not Reported</t>
        </is>
      </c>
      <c r="AF276" s="95" t="inlineStr">
        <is>
          <t>Not Reported</t>
        </is>
      </c>
      <c r="AG276" s="149" t="inlineStr">
        <is>
          <t>Not Reported</t>
        </is>
      </c>
      <c r="AH276" s="285" t="n">
        <v>0</v>
      </c>
      <c r="AI276" s="285" t="inlineStr">
        <is>
          <t>Not Reported</t>
        </is>
      </c>
      <c r="AJ276" s="95" t="inlineStr">
        <is>
          <t>Not Reported</t>
        </is>
      </c>
      <c r="AK276" s="97" t="inlineStr">
        <is>
          <t>Not Reported</t>
        </is>
      </c>
    </row>
    <row r="277">
      <c r="A277" s="21" t="inlineStr">
        <is>
          <t>Pidilite</t>
        </is>
      </c>
      <c r="B277" s="5" t="inlineStr">
        <is>
          <t>West 1</t>
        </is>
      </c>
      <c r="C277" s="76" t="inlineStr">
        <is>
          <t>Usha</t>
        </is>
      </c>
      <c r="D277" s="26" t="inlineStr">
        <is>
          <t>Himanshu Srivastava</t>
        </is>
      </c>
      <c r="E277" s="26" t="inlineStr">
        <is>
          <t>Category (B)</t>
        </is>
      </c>
      <c r="F277" s="21" t="inlineStr">
        <is>
          <t>Internal KPI</t>
        </is>
      </c>
      <c r="G277" s="21" t="inlineStr">
        <is>
          <t>No</t>
        </is>
      </c>
      <c r="H277" s="27" t="inlineStr">
        <is>
          <t>Time to Fill</t>
        </is>
      </c>
      <c r="I277" s="14" t="inlineStr">
        <is>
          <t>Corporate - 45 Days</t>
        </is>
      </c>
      <c r="J277" s="28" t="n">
        <v>56</v>
      </c>
      <c r="K277" s="28" t="inlineStr">
        <is>
          <t>Not Met</t>
        </is>
      </c>
      <c r="L277" s="28" t="n">
        <v>33</v>
      </c>
      <c r="M277" s="28" t="inlineStr">
        <is>
          <t>Met</t>
        </is>
      </c>
      <c r="N277" s="14" t="n">
        <v>13</v>
      </c>
      <c r="O277" s="28" t="inlineStr">
        <is>
          <t>Met</t>
        </is>
      </c>
      <c r="P277" s="14" t="n">
        <v>32</v>
      </c>
      <c r="Q277" s="28" t="inlineStr">
        <is>
          <t>Met</t>
        </is>
      </c>
      <c r="R277" s="9" t="n">
        <v>96</v>
      </c>
      <c r="S277" s="28" t="inlineStr">
        <is>
          <t>Not Met</t>
        </is>
      </c>
      <c r="T277" s="9" t="n">
        <v>36</v>
      </c>
      <c r="U277" s="28" t="inlineStr">
        <is>
          <t>Met</t>
        </is>
      </c>
      <c r="V277" s="9" t="n">
        <v>30</v>
      </c>
      <c r="W277" s="28" t="inlineStr">
        <is>
          <t>Met</t>
        </is>
      </c>
      <c r="X277" s="9" t="n">
        <v>24</v>
      </c>
      <c r="Y277" s="28" t="inlineStr">
        <is>
          <t>Met</t>
        </is>
      </c>
      <c r="Z277" s="10" t="n">
        <v>38</v>
      </c>
      <c r="AA277" s="28" t="inlineStr">
        <is>
          <t>Met</t>
        </is>
      </c>
      <c r="AB277" s="99" t="n">
        <v>42</v>
      </c>
      <c r="AC277" s="28" t="inlineStr">
        <is>
          <t>Met</t>
        </is>
      </c>
      <c r="AD277" s="97" t="inlineStr">
        <is>
          <t>Not Reported</t>
        </is>
      </c>
      <c r="AE277" s="97" t="inlineStr">
        <is>
          <t>Not Reported</t>
        </is>
      </c>
      <c r="AF277" s="95" t="inlineStr">
        <is>
          <t>Not Reported</t>
        </is>
      </c>
      <c r="AG277" s="149" t="inlineStr">
        <is>
          <t>Not Reported</t>
        </is>
      </c>
      <c r="AH277" s="285" t="n">
        <v>0</v>
      </c>
      <c r="AI277" s="285" t="inlineStr">
        <is>
          <t>Not Reported</t>
        </is>
      </c>
      <c r="AJ277" s="95" t="inlineStr">
        <is>
          <t>Not Reported</t>
        </is>
      </c>
      <c r="AK277" s="97" t="inlineStr">
        <is>
          <t>Not Reported</t>
        </is>
      </c>
    </row>
    <row r="278">
      <c r="A278" s="21" t="inlineStr">
        <is>
          <t>Pidilite</t>
        </is>
      </c>
      <c r="B278" s="5" t="inlineStr">
        <is>
          <t>West 1</t>
        </is>
      </c>
      <c r="C278" s="76" t="inlineStr">
        <is>
          <t>Usha</t>
        </is>
      </c>
      <c r="D278" s="26" t="inlineStr">
        <is>
          <t>Himanshu Srivastava</t>
        </is>
      </c>
      <c r="E278" s="26" t="inlineStr">
        <is>
          <t>Category (B)</t>
        </is>
      </c>
      <c r="F278" s="26" t="inlineStr">
        <is>
          <t>Contractual SLA</t>
        </is>
      </c>
      <c r="G278" s="21" t="inlineStr">
        <is>
          <t>Yes</t>
        </is>
      </c>
      <c r="H278" s="21" t="inlineStr">
        <is>
          <t>Fulfilment Ratio</t>
        </is>
      </c>
      <c r="I278" s="11" t="n">
        <v>0.9</v>
      </c>
      <c r="J278" s="29" t="n">
        <v>0.91</v>
      </c>
      <c r="K278" s="28" t="inlineStr">
        <is>
          <t>Met</t>
        </is>
      </c>
      <c r="L278" s="29" t="n">
        <v>0.92</v>
      </c>
      <c r="M278" s="28" t="inlineStr">
        <is>
          <t>Met</t>
        </is>
      </c>
      <c r="N278" s="20" t="n">
        <v>0.7368421052631579</v>
      </c>
      <c r="O278" s="28" t="inlineStr">
        <is>
          <t>Not Met</t>
        </is>
      </c>
      <c r="P278" s="20" t="n">
        <v>0.8405797101449275</v>
      </c>
      <c r="Q278" s="28" t="inlineStr">
        <is>
          <t>Not Met</t>
        </is>
      </c>
      <c r="R278" s="11" t="n">
        <v>0.63</v>
      </c>
      <c r="S278" s="28" t="inlineStr">
        <is>
          <t>Not Met</t>
        </is>
      </c>
      <c r="T278" s="20" t="n">
        <v>0.6037735849056604</v>
      </c>
      <c r="U278" s="28" t="inlineStr">
        <is>
          <t>Not Met</t>
        </is>
      </c>
      <c r="V278" s="11" t="n">
        <v>0.91</v>
      </c>
      <c r="W278" s="28" t="inlineStr">
        <is>
          <t>Met</t>
        </is>
      </c>
      <c r="X278" s="11" t="n">
        <v>1</v>
      </c>
      <c r="Y278" s="28" t="inlineStr">
        <is>
          <t>Met</t>
        </is>
      </c>
      <c r="Z278" s="12" t="n">
        <v>0.36</v>
      </c>
      <c r="AA278" s="28" t="inlineStr">
        <is>
          <t>Not Met</t>
        </is>
      </c>
      <c r="AB278" s="100" t="n">
        <v>0.35</v>
      </c>
      <c r="AC278" s="28" t="inlineStr">
        <is>
          <t>Not Met</t>
        </is>
      </c>
      <c r="AD278" s="97" t="inlineStr">
        <is>
          <t>Not Reported</t>
        </is>
      </c>
      <c r="AE278" s="126" t="inlineStr">
        <is>
          <t>Not Reported</t>
        </is>
      </c>
      <c r="AF278" s="95" t="inlineStr">
        <is>
          <t>Not Reported</t>
        </is>
      </c>
      <c r="AG278" s="149" t="inlineStr">
        <is>
          <t>Not Reported</t>
        </is>
      </c>
      <c r="AH278" s="285" t="n">
        <v>0</v>
      </c>
      <c r="AI278" s="285" t="inlineStr">
        <is>
          <t>Not Reported</t>
        </is>
      </c>
      <c r="AJ278" s="95" t="inlineStr">
        <is>
          <t>Not Reported</t>
        </is>
      </c>
      <c r="AK278" s="126" t="inlineStr">
        <is>
          <t>Not Reported</t>
        </is>
      </c>
    </row>
    <row r="279">
      <c r="A279" s="21" t="inlineStr">
        <is>
          <t>Pidilite</t>
        </is>
      </c>
      <c r="B279" s="5" t="inlineStr">
        <is>
          <t>West 1</t>
        </is>
      </c>
      <c r="C279" s="76" t="inlineStr">
        <is>
          <t>Usha</t>
        </is>
      </c>
      <c r="D279" s="26" t="inlineStr">
        <is>
          <t>Himanshu Srivastava</t>
        </is>
      </c>
      <c r="E279" s="26" t="inlineStr">
        <is>
          <t>Category (B)</t>
        </is>
      </c>
      <c r="F279" s="26" t="inlineStr">
        <is>
          <t>Contractual SLA</t>
        </is>
      </c>
      <c r="G279" s="21" t="inlineStr">
        <is>
          <t>Yes</t>
        </is>
      </c>
      <c r="H279" s="21" t="inlineStr">
        <is>
          <t>Time to Fill(%)</t>
        </is>
      </c>
      <c r="I279" s="11" t="n">
        <v>0.9</v>
      </c>
      <c r="J279" s="29" t="n">
        <v>0.88</v>
      </c>
      <c r="K279" s="28" t="inlineStr">
        <is>
          <t>Not Met</t>
        </is>
      </c>
      <c r="L279" s="29" t="n">
        <v>0.9399999999999999</v>
      </c>
      <c r="M279" s="28" t="inlineStr">
        <is>
          <t>Met</t>
        </is>
      </c>
      <c r="N279" s="20" t="n">
        <v>0.7380952380952381</v>
      </c>
      <c r="O279" s="28" t="inlineStr">
        <is>
          <t>Not Met</t>
        </is>
      </c>
      <c r="P279" s="20" t="n">
        <v>0.8076923076923077</v>
      </c>
      <c r="Q279" s="28" t="inlineStr">
        <is>
          <t>Not Met</t>
        </is>
      </c>
      <c r="R279" s="11" t="n">
        <v>0.7</v>
      </c>
      <c r="S279" s="28" t="inlineStr">
        <is>
          <t>Not Met</t>
        </is>
      </c>
      <c r="T279" s="20" t="n">
        <v>0.25</v>
      </c>
      <c r="U279" s="28" t="inlineStr">
        <is>
          <t>Not Met</t>
        </is>
      </c>
      <c r="V279" s="11" t="n">
        <v>0.5</v>
      </c>
      <c r="W279" s="28" t="inlineStr">
        <is>
          <t>Not Met</t>
        </is>
      </c>
      <c r="X279" s="11" t="n">
        <v>0.55</v>
      </c>
      <c r="Y279" s="28" t="inlineStr">
        <is>
          <t>Not Met</t>
        </is>
      </c>
      <c r="Z279" s="12" t="n">
        <v>0.73</v>
      </c>
      <c r="AA279" s="28" t="inlineStr">
        <is>
          <t>Not Met</t>
        </is>
      </c>
      <c r="AB279" s="100" t="n">
        <v>0.96</v>
      </c>
      <c r="AC279" s="28" t="inlineStr">
        <is>
          <t>Met</t>
        </is>
      </c>
      <c r="AD279" s="97" t="inlineStr">
        <is>
          <t>Not Reported</t>
        </is>
      </c>
      <c r="AE279" s="126" t="inlineStr">
        <is>
          <t>Not Reported</t>
        </is>
      </c>
      <c r="AF279" s="95" t="inlineStr">
        <is>
          <t>Not Reported</t>
        </is>
      </c>
      <c r="AG279" s="149" t="inlineStr">
        <is>
          <t>Not Reported</t>
        </is>
      </c>
      <c r="AH279" s="285" t="n">
        <v>0</v>
      </c>
      <c r="AI279" s="285" t="inlineStr">
        <is>
          <t>Not Reported</t>
        </is>
      </c>
      <c r="AJ279" s="95" t="inlineStr">
        <is>
          <t>Not Reported</t>
        </is>
      </c>
      <c r="AK279" s="126" t="inlineStr">
        <is>
          <t>Not Reported</t>
        </is>
      </c>
    </row>
    <row r="280">
      <c r="A280" s="21" t="inlineStr">
        <is>
          <t>Pidilite</t>
        </is>
      </c>
      <c r="B280" s="5" t="inlineStr">
        <is>
          <t>West 1</t>
        </is>
      </c>
      <c r="C280" s="76" t="inlineStr">
        <is>
          <t>Usha</t>
        </is>
      </c>
      <c r="D280" s="26" t="inlineStr">
        <is>
          <t>Himanshu Srivastava</t>
        </is>
      </c>
      <c r="E280" s="26" t="inlineStr">
        <is>
          <t>Category (B)</t>
        </is>
      </c>
      <c r="F280" s="21" t="inlineStr">
        <is>
          <t>Internal KPI</t>
        </is>
      </c>
      <c r="G280" s="21" t="inlineStr">
        <is>
          <t>No</t>
        </is>
      </c>
      <c r="H280" s="27" t="inlineStr">
        <is>
          <t>Hit Ratio</t>
        </is>
      </c>
      <c r="I280" s="11" t="n">
        <v>0.2</v>
      </c>
      <c r="J280" s="29" t="n">
        <v>0.27</v>
      </c>
      <c r="K280" s="28" t="inlineStr">
        <is>
          <t>Met</t>
        </is>
      </c>
      <c r="L280" s="29" t="n">
        <v>0.26</v>
      </c>
      <c r="M280" s="28" t="inlineStr">
        <is>
          <t>Met</t>
        </is>
      </c>
      <c r="N280" s="11" t="n">
        <v>0.2</v>
      </c>
      <c r="O280" s="28" t="inlineStr">
        <is>
          <t>Met</t>
        </is>
      </c>
      <c r="P280" s="11" t="n">
        <v>0.24</v>
      </c>
      <c r="Q280" s="28" t="inlineStr">
        <is>
          <t>Met</t>
        </is>
      </c>
      <c r="R280" s="11" t="n">
        <v>0.18</v>
      </c>
      <c r="S280" s="28" t="inlineStr">
        <is>
          <t>Not Met</t>
        </is>
      </c>
      <c r="T280" s="11" t="n">
        <v>0.16</v>
      </c>
      <c r="U280" s="28" t="inlineStr">
        <is>
          <t>Not Met</t>
        </is>
      </c>
      <c r="V280" s="11" t="n">
        <v>0.16</v>
      </c>
      <c r="W280" s="28" t="inlineStr">
        <is>
          <t>Not Met</t>
        </is>
      </c>
      <c r="X280" s="11" t="n">
        <v>0.16</v>
      </c>
      <c r="Y280" s="28" t="inlineStr">
        <is>
          <t>Not Met</t>
        </is>
      </c>
      <c r="Z280" s="12" t="n">
        <v>0.18</v>
      </c>
      <c r="AA280" s="28" t="inlineStr">
        <is>
          <t>Not Met</t>
        </is>
      </c>
      <c r="AB280" s="100" t="n">
        <v>0.14</v>
      </c>
      <c r="AC280" s="28" t="inlineStr">
        <is>
          <t>Not Met</t>
        </is>
      </c>
      <c r="AD280" s="97" t="inlineStr">
        <is>
          <t>Not Reported</t>
        </is>
      </c>
      <c r="AE280" s="126" t="inlineStr">
        <is>
          <t>Not Reported</t>
        </is>
      </c>
      <c r="AF280" s="95" t="inlineStr">
        <is>
          <t>Not Reported</t>
        </is>
      </c>
      <c r="AG280" s="149" t="inlineStr">
        <is>
          <t>Not Reported</t>
        </is>
      </c>
      <c r="AH280" s="285" t="n">
        <v>0</v>
      </c>
      <c r="AI280" s="285" t="inlineStr">
        <is>
          <t>Not Reported</t>
        </is>
      </c>
      <c r="AJ280" s="95" t="inlineStr">
        <is>
          <t>Not Reported</t>
        </is>
      </c>
      <c r="AK280" s="126" t="inlineStr">
        <is>
          <t>Not Reported</t>
        </is>
      </c>
    </row>
    <row r="281">
      <c r="A281" s="21" t="inlineStr">
        <is>
          <t>Pidilite</t>
        </is>
      </c>
      <c r="B281" s="5" t="inlineStr">
        <is>
          <t>West 1</t>
        </is>
      </c>
      <c r="C281" s="76" t="inlineStr">
        <is>
          <t>Usha</t>
        </is>
      </c>
      <c r="D281" s="26" t="inlineStr">
        <is>
          <t>Himanshu Srivastava</t>
        </is>
      </c>
      <c r="E281" s="26" t="inlineStr">
        <is>
          <t>Category (B)</t>
        </is>
      </c>
      <c r="F281" s="21" t="inlineStr">
        <is>
          <t>Internal KPI</t>
        </is>
      </c>
      <c r="G281" s="21" t="inlineStr">
        <is>
          <t>No</t>
        </is>
      </c>
      <c r="H281" s="21" t="inlineStr">
        <is>
          <t>Offer Drop</t>
        </is>
      </c>
      <c r="I281" s="14" t="inlineStr">
        <is>
          <t>&lt;10%</t>
        </is>
      </c>
      <c r="J281" s="29" t="n">
        <v>0.02</v>
      </c>
      <c r="K281" s="28" t="inlineStr">
        <is>
          <t>Met</t>
        </is>
      </c>
      <c r="L281" s="29" t="n">
        <v>0</v>
      </c>
      <c r="M281" s="28" t="inlineStr">
        <is>
          <t>Met</t>
        </is>
      </c>
      <c r="N281" s="11" t="n">
        <v>0.02</v>
      </c>
      <c r="O281" s="28" t="inlineStr">
        <is>
          <t>Met</t>
        </is>
      </c>
      <c r="P281" s="11" t="n">
        <v>0.03</v>
      </c>
      <c r="Q281" s="28" t="inlineStr">
        <is>
          <t>Met</t>
        </is>
      </c>
      <c r="R281" s="11" t="n">
        <v>0</v>
      </c>
      <c r="S281" s="28" t="inlineStr">
        <is>
          <t>Met</t>
        </is>
      </c>
      <c r="T281" s="11" t="n">
        <v>0.05</v>
      </c>
      <c r="U281" s="28" t="inlineStr">
        <is>
          <t>Met</t>
        </is>
      </c>
      <c r="V281" s="11" t="n">
        <v>0.04</v>
      </c>
      <c r="W281" s="28" t="inlineStr">
        <is>
          <t>Met</t>
        </is>
      </c>
      <c r="X281" s="11" t="n">
        <v>0.06</v>
      </c>
      <c r="Y281" s="28" t="inlineStr">
        <is>
          <t>Met</t>
        </is>
      </c>
      <c r="Z281" s="12" t="n">
        <v>0.03</v>
      </c>
      <c r="AA281" s="28" t="inlineStr">
        <is>
          <t>Met</t>
        </is>
      </c>
      <c r="AB281" s="100" t="n">
        <v>0</v>
      </c>
      <c r="AC281" s="28" t="inlineStr">
        <is>
          <t>Met</t>
        </is>
      </c>
      <c r="AD281" s="97" t="inlineStr">
        <is>
          <t>Not Reported</t>
        </is>
      </c>
      <c r="AE281" s="126" t="inlineStr">
        <is>
          <t>Not Reported</t>
        </is>
      </c>
      <c r="AF281" s="95" t="inlineStr">
        <is>
          <t>Not Reported</t>
        </is>
      </c>
      <c r="AG281" s="149" t="inlineStr">
        <is>
          <t>Not Reported</t>
        </is>
      </c>
      <c r="AH281" s="285" t="n">
        <v>0</v>
      </c>
      <c r="AI281" s="285" t="inlineStr">
        <is>
          <t>Not Reported</t>
        </is>
      </c>
      <c r="AJ281" s="95" t="inlineStr">
        <is>
          <t>Not Reported</t>
        </is>
      </c>
      <c r="AK281" s="126" t="inlineStr">
        <is>
          <t>Not Reported</t>
        </is>
      </c>
    </row>
    <row r="282">
      <c r="A282" s="21" t="inlineStr">
        <is>
          <t>Pidilite</t>
        </is>
      </c>
      <c r="B282" s="5" t="inlineStr">
        <is>
          <t>West 1</t>
        </is>
      </c>
      <c r="C282" s="76" t="inlineStr">
        <is>
          <t>Usha</t>
        </is>
      </c>
      <c r="D282" s="26" t="inlineStr">
        <is>
          <t>Himanshu Srivastava</t>
        </is>
      </c>
      <c r="E282" s="26" t="inlineStr">
        <is>
          <t>Category (B)</t>
        </is>
      </c>
      <c r="F282" s="21" t="inlineStr">
        <is>
          <t>Internal KPI</t>
        </is>
      </c>
      <c r="G282" s="21" t="inlineStr">
        <is>
          <t>No</t>
        </is>
      </c>
      <c r="H282" s="21" t="inlineStr">
        <is>
          <t>Ageing</t>
        </is>
      </c>
      <c r="I282" s="20" t="n">
        <v>0.2</v>
      </c>
      <c r="J282" s="29" t="n">
        <v>0.3</v>
      </c>
      <c r="K282" s="28" t="inlineStr">
        <is>
          <t>Not Met</t>
        </is>
      </c>
      <c r="L282" s="29" t="n">
        <v>0.22</v>
      </c>
      <c r="M282" s="28" t="inlineStr">
        <is>
          <t>Not Met</t>
        </is>
      </c>
      <c r="N282" s="20" t="n">
        <v>0.3157894736842105</v>
      </c>
      <c r="O282" s="28" t="inlineStr">
        <is>
          <t>Not Met</t>
        </is>
      </c>
      <c r="P282" s="20" t="n">
        <v>0.3157894736842105</v>
      </c>
      <c r="Q282" s="28" t="inlineStr">
        <is>
          <t>Not Met</t>
        </is>
      </c>
      <c r="R282" s="11" t="n">
        <v>0.2</v>
      </c>
      <c r="S282" s="28" t="inlineStr">
        <is>
          <t>Met</t>
        </is>
      </c>
      <c r="T282" s="11" t="n">
        <v>0.21</v>
      </c>
      <c r="U282" s="28" t="inlineStr">
        <is>
          <t>Not Met</t>
        </is>
      </c>
      <c r="V282" s="11" t="n">
        <v>0.21</v>
      </c>
      <c r="W282" s="28" t="inlineStr">
        <is>
          <t>Not Met</t>
        </is>
      </c>
      <c r="X282" s="11" t="n">
        <v>0.21</v>
      </c>
      <c r="Y282" s="28" t="inlineStr">
        <is>
          <t>Not Met</t>
        </is>
      </c>
      <c r="Z282" s="12" t="n">
        <v>0.22</v>
      </c>
      <c r="AA282" s="28" t="inlineStr">
        <is>
          <t>Not Met</t>
        </is>
      </c>
      <c r="AB282" s="100" t="n">
        <v>0.2</v>
      </c>
      <c r="AC282" s="28" t="inlineStr">
        <is>
          <t>Met</t>
        </is>
      </c>
      <c r="AD282" s="97" t="inlineStr">
        <is>
          <t>Not Reported</t>
        </is>
      </c>
      <c r="AE282" s="127" t="inlineStr">
        <is>
          <t>Not Reported</t>
        </is>
      </c>
      <c r="AF282" s="95" t="inlineStr">
        <is>
          <t>Not Reported</t>
        </is>
      </c>
      <c r="AG282" s="149" t="inlineStr">
        <is>
          <t>Not Reported</t>
        </is>
      </c>
      <c r="AH282" s="285" t="n">
        <v>0</v>
      </c>
      <c r="AI282" s="285" t="inlineStr">
        <is>
          <t>Not Reported</t>
        </is>
      </c>
      <c r="AJ282" s="95" t="inlineStr">
        <is>
          <t>Not Reported</t>
        </is>
      </c>
      <c r="AK282" s="127" t="inlineStr">
        <is>
          <t>Not Reported</t>
        </is>
      </c>
    </row>
    <row r="283">
      <c r="A283" s="21" t="inlineStr">
        <is>
          <t>Pidilite</t>
        </is>
      </c>
      <c r="B283" s="5" t="inlineStr">
        <is>
          <t>West 1</t>
        </is>
      </c>
      <c r="C283" s="76" t="inlineStr">
        <is>
          <t>Usha</t>
        </is>
      </c>
      <c r="D283" s="26" t="inlineStr">
        <is>
          <t>Himanshu Srivastava</t>
        </is>
      </c>
      <c r="E283" s="26" t="inlineStr">
        <is>
          <t>Category (B)</t>
        </is>
      </c>
      <c r="F283" s="21" t="inlineStr">
        <is>
          <t>Internal KPI</t>
        </is>
      </c>
      <c r="G283" s="21" t="inlineStr">
        <is>
          <t>No</t>
        </is>
      </c>
      <c r="H283" s="27" t="inlineStr">
        <is>
          <t>First Time Right Ratio</t>
        </is>
      </c>
      <c r="I283" s="20" t="n">
        <v>0.75</v>
      </c>
      <c r="J283" s="29" t="n">
        <v>0.78</v>
      </c>
      <c r="K283" s="28" t="inlineStr">
        <is>
          <t>Met</t>
        </is>
      </c>
      <c r="L283" s="29" t="n">
        <v>0.78</v>
      </c>
      <c r="M283" s="28" t="inlineStr">
        <is>
          <t>Met</t>
        </is>
      </c>
      <c r="N283" s="11" t="n">
        <v>0.72</v>
      </c>
      <c r="O283" s="28" t="inlineStr">
        <is>
          <t>Not Met</t>
        </is>
      </c>
      <c r="P283" s="11" t="n">
        <v>0.76</v>
      </c>
      <c r="Q283" s="28" t="inlineStr">
        <is>
          <t>Met</t>
        </is>
      </c>
      <c r="R283" s="41" t="n">
        <v>0.77</v>
      </c>
      <c r="S283" s="28" t="inlineStr">
        <is>
          <t>Met</t>
        </is>
      </c>
      <c r="T283" s="20" t="n">
        <v>0.8674698795180723</v>
      </c>
      <c r="U283" s="28" t="inlineStr">
        <is>
          <t>Met</t>
        </is>
      </c>
      <c r="V283" s="11" t="n">
        <v>0.8</v>
      </c>
      <c r="W283" s="28" t="inlineStr">
        <is>
          <t>Met</t>
        </is>
      </c>
      <c r="X283" s="11" t="n">
        <v>0.8100000000000001</v>
      </c>
      <c r="Y283" s="28" t="inlineStr">
        <is>
          <t>Met</t>
        </is>
      </c>
      <c r="Z283" s="12" t="n">
        <v>0.86</v>
      </c>
      <c r="AA283" s="28" t="inlineStr">
        <is>
          <t>Met</t>
        </is>
      </c>
      <c r="AB283" s="100" t="n">
        <v>0.95</v>
      </c>
      <c r="AC283" s="28" t="inlineStr">
        <is>
          <t>Met</t>
        </is>
      </c>
      <c r="AD283" s="97" t="inlineStr">
        <is>
          <t>Not Reported</t>
        </is>
      </c>
      <c r="AE283" s="126" t="inlineStr">
        <is>
          <t>Not Reported</t>
        </is>
      </c>
      <c r="AF283" s="95" t="inlineStr">
        <is>
          <t>Not Reported</t>
        </is>
      </c>
      <c r="AG283" s="149" t="inlineStr">
        <is>
          <t>Not Reported</t>
        </is>
      </c>
      <c r="AH283" s="285" t="n">
        <v>0</v>
      </c>
      <c r="AI283" s="285" t="inlineStr">
        <is>
          <t>Not Reported</t>
        </is>
      </c>
      <c r="AJ283" s="95" t="inlineStr">
        <is>
          <t>Not Reported</t>
        </is>
      </c>
      <c r="AK283" s="126" t="inlineStr">
        <is>
          <t>Not Reported</t>
        </is>
      </c>
    </row>
    <row r="284">
      <c r="A284" s="204" t="inlineStr">
        <is>
          <t>Robert Bosch</t>
        </is>
      </c>
      <c r="B284" s="205" t="inlineStr">
        <is>
          <t xml:space="preserve">South 1 </t>
        </is>
      </c>
      <c r="C284" s="5" t="inlineStr">
        <is>
          <t>TBH</t>
        </is>
      </c>
      <c r="D284" s="206" t="inlineStr">
        <is>
          <t>Debashreeta</t>
        </is>
      </c>
      <c r="E284" s="206" t="inlineStr">
        <is>
          <t>Category (B)</t>
        </is>
      </c>
      <c r="F284" s="206" t="inlineStr">
        <is>
          <t>Contractual SLA</t>
        </is>
      </c>
      <c r="G284" s="204" t="inlineStr">
        <is>
          <t>No</t>
        </is>
      </c>
      <c r="H284" s="210" t="inlineStr">
        <is>
          <t>Time to Fill</t>
        </is>
      </c>
      <c r="I284" s="211" t="inlineStr">
        <is>
          <t>30 Days</t>
        </is>
      </c>
      <c r="J284" s="241" t="inlineStr">
        <is>
          <t>NA</t>
        </is>
      </c>
      <c r="K284" s="200" t="inlineStr">
        <is>
          <t>NA</t>
        </is>
      </c>
      <c r="L284" s="200" t="inlineStr">
        <is>
          <t xml:space="preserve">NA </t>
        </is>
      </c>
      <c r="M284" s="200" t="inlineStr">
        <is>
          <t>NA</t>
        </is>
      </c>
      <c r="N284" s="200" t="inlineStr">
        <is>
          <t xml:space="preserve">NA </t>
        </is>
      </c>
      <c r="O284" s="200" t="inlineStr">
        <is>
          <t>NA</t>
        </is>
      </c>
      <c r="P284" s="200" t="inlineStr">
        <is>
          <t xml:space="preserve">NA </t>
        </is>
      </c>
      <c r="Q284" s="200" t="inlineStr">
        <is>
          <t>NA</t>
        </is>
      </c>
      <c r="R284" s="213" t="inlineStr">
        <is>
          <t>NA</t>
        </is>
      </c>
      <c r="S284" s="200" t="inlineStr">
        <is>
          <t>NA</t>
        </is>
      </c>
      <c r="T284" s="213" t="inlineStr">
        <is>
          <t>NA</t>
        </is>
      </c>
      <c r="U284" s="200" t="inlineStr">
        <is>
          <t>NA</t>
        </is>
      </c>
      <c r="V284" s="213" t="inlineStr">
        <is>
          <t>NA</t>
        </is>
      </c>
      <c r="W284" s="200" t="inlineStr">
        <is>
          <t>NA</t>
        </is>
      </c>
      <c r="X284" s="213" t="inlineStr">
        <is>
          <t>NA</t>
        </is>
      </c>
      <c r="Y284" s="200" t="inlineStr">
        <is>
          <t>NA</t>
        </is>
      </c>
      <c r="Z284" s="213" t="inlineStr">
        <is>
          <t>NA</t>
        </is>
      </c>
      <c r="AA284" s="200" t="inlineStr">
        <is>
          <t>NA</t>
        </is>
      </c>
      <c r="AB284" s="159" t="inlineStr">
        <is>
          <t>NA</t>
        </is>
      </c>
      <c r="AC284" s="200" t="inlineStr">
        <is>
          <t>NA</t>
        </is>
      </c>
      <c r="AD284" s="163" t="inlineStr">
        <is>
          <t>NA</t>
        </is>
      </c>
      <c r="AE284" s="163" t="inlineStr">
        <is>
          <t>NA</t>
        </is>
      </c>
      <c r="AF284" s="93" t="inlineStr">
        <is>
          <t>NA</t>
        </is>
      </c>
      <c r="AG284" s="97" t="inlineStr">
        <is>
          <t>NA</t>
        </is>
      </c>
      <c r="AH284" s="285" t="n">
        <v>0</v>
      </c>
      <c r="AI284" s="285" t="inlineStr">
        <is>
          <t>Not Reported</t>
        </is>
      </c>
      <c r="AJ284" s="93" t="inlineStr">
        <is>
          <t>NA</t>
        </is>
      </c>
      <c r="AK284" s="97" t="inlineStr">
        <is>
          <t>NA</t>
        </is>
      </c>
    </row>
    <row r="285">
      <c r="A285" s="21" t="inlineStr">
        <is>
          <t>Robert Bosch</t>
        </is>
      </c>
      <c r="B285" s="5" t="inlineStr">
        <is>
          <t xml:space="preserve">South 1 </t>
        </is>
      </c>
      <c r="C285" s="5" t="inlineStr">
        <is>
          <t>TBH</t>
        </is>
      </c>
      <c r="D285" s="26" t="inlineStr">
        <is>
          <t>Debashreeta</t>
        </is>
      </c>
      <c r="E285" s="26" t="inlineStr">
        <is>
          <t>Category (B)</t>
        </is>
      </c>
      <c r="F285" s="26" t="inlineStr">
        <is>
          <t>Contractual SLA</t>
        </is>
      </c>
      <c r="G285" s="21" t="inlineStr">
        <is>
          <t>No</t>
        </is>
      </c>
      <c r="H285" s="27" t="inlineStr">
        <is>
          <t>Time to Hire</t>
        </is>
      </c>
      <c r="I285" s="14" t="inlineStr">
        <is>
          <t>120 Days</t>
        </is>
      </c>
      <c r="J285" s="53" t="inlineStr">
        <is>
          <t>NA</t>
        </is>
      </c>
      <c r="K285" s="20" t="inlineStr">
        <is>
          <t>NA</t>
        </is>
      </c>
      <c r="L285" s="20" t="inlineStr">
        <is>
          <t xml:space="preserve">NA </t>
        </is>
      </c>
      <c r="M285" s="20" t="inlineStr">
        <is>
          <t>NA</t>
        </is>
      </c>
      <c r="N285" s="20" t="inlineStr">
        <is>
          <t xml:space="preserve">NA </t>
        </is>
      </c>
      <c r="O285" s="20" t="inlineStr">
        <is>
          <t>NA</t>
        </is>
      </c>
      <c r="P285" s="20" t="inlineStr">
        <is>
          <t xml:space="preserve">NA </t>
        </is>
      </c>
      <c r="Q285" s="20" t="inlineStr">
        <is>
          <t>NA</t>
        </is>
      </c>
      <c r="R285" s="17" t="inlineStr">
        <is>
          <t>NA</t>
        </is>
      </c>
      <c r="S285" s="20" t="inlineStr">
        <is>
          <t>NA</t>
        </is>
      </c>
      <c r="T285" s="17" t="inlineStr">
        <is>
          <t>NA</t>
        </is>
      </c>
      <c r="U285" s="20" t="inlineStr">
        <is>
          <t>NA</t>
        </is>
      </c>
      <c r="V285" s="17" t="inlineStr">
        <is>
          <t>NA</t>
        </is>
      </c>
      <c r="W285" s="20" t="inlineStr">
        <is>
          <t>NA</t>
        </is>
      </c>
      <c r="X285" s="17" t="inlineStr">
        <is>
          <t>NA</t>
        </is>
      </c>
      <c r="Y285" s="20" t="inlineStr">
        <is>
          <t>NA</t>
        </is>
      </c>
      <c r="Z285" s="17" t="inlineStr">
        <is>
          <t>NA</t>
        </is>
      </c>
      <c r="AA285" s="20" t="inlineStr">
        <is>
          <t>NA</t>
        </is>
      </c>
      <c r="AB285" s="93" t="inlineStr">
        <is>
          <t>NA</t>
        </is>
      </c>
      <c r="AC285" s="20" t="inlineStr">
        <is>
          <t>NA</t>
        </is>
      </c>
      <c r="AD285" s="97" t="inlineStr">
        <is>
          <t>NA</t>
        </is>
      </c>
      <c r="AE285" s="97" t="inlineStr">
        <is>
          <t>NA</t>
        </is>
      </c>
      <c r="AF285" s="93" t="inlineStr">
        <is>
          <t>NA</t>
        </is>
      </c>
      <c r="AG285" s="97" t="inlineStr">
        <is>
          <t>NA</t>
        </is>
      </c>
      <c r="AH285" s="285" t="n">
        <v>0</v>
      </c>
      <c r="AI285" s="285" t="inlineStr">
        <is>
          <t>Not Reported</t>
        </is>
      </c>
      <c r="AJ285" s="93" t="inlineStr">
        <is>
          <t>NA</t>
        </is>
      </c>
      <c r="AK285" s="97" t="inlineStr">
        <is>
          <t>NA</t>
        </is>
      </c>
    </row>
    <row r="286">
      <c r="A286" s="21" t="inlineStr">
        <is>
          <t>Robert Bosch</t>
        </is>
      </c>
      <c r="B286" s="5" t="inlineStr">
        <is>
          <t xml:space="preserve">South 1 </t>
        </is>
      </c>
      <c r="C286" s="5" t="inlineStr">
        <is>
          <t>TBH</t>
        </is>
      </c>
      <c r="D286" s="26" t="inlineStr">
        <is>
          <t>Debashreeta</t>
        </is>
      </c>
      <c r="E286" s="26" t="inlineStr">
        <is>
          <t>Category (B)</t>
        </is>
      </c>
      <c r="F286" s="21" t="inlineStr">
        <is>
          <t>Internal KPI</t>
        </is>
      </c>
      <c r="G286" s="21" t="inlineStr">
        <is>
          <t>No</t>
        </is>
      </c>
      <c r="H286" s="21" t="inlineStr">
        <is>
          <t>Ageing</t>
        </is>
      </c>
      <c r="I286" s="20" t="n">
        <v>0.2</v>
      </c>
      <c r="J286" s="53" t="inlineStr">
        <is>
          <t>NA</t>
        </is>
      </c>
      <c r="K286" s="20" t="inlineStr">
        <is>
          <t>NA</t>
        </is>
      </c>
      <c r="L286" s="20" t="inlineStr">
        <is>
          <t xml:space="preserve">NA </t>
        </is>
      </c>
      <c r="M286" s="20" t="inlineStr">
        <is>
          <t>NA</t>
        </is>
      </c>
      <c r="N286" s="20" t="inlineStr">
        <is>
          <t xml:space="preserve">NA </t>
        </is>
      </c>
      <c r="O286" s="20" t="inlineStr">
        <is>
          <t>NA</t>
        </is>
      </c>
      <c r="P286" s="20" t="inlineStr">
        <is>
          <t xml:space="preserve">NA </t>
        </is>
      </c>
      <c r="Q286" s="20" t="inlineStr">
        <is>
          <t>NA</t>
        </is>
      </c>
      <c r="R286" s="17" t="inlineStr">
        <is>
          <t>NA</t>
        </is>
      </c>
      <c r="S286" s="20" t="inlineStr">
        <is>
          <t>NA</t>
        </is>
      </c>
      <c r="T286" s="17" t="inlineStr">
        <is>
          <t>NA</t>
        </is>
      </c>
      <c r="U286" s="20" t="inlineStr">
        <is>
          <t>NA</t>
        </is>
      </c>
      <c r="V286" s="17" t="inlineStr">
        <is>
          <t>NA</t>
        </is>
      </c>
      <c r="W286" s="20" t="inlineStr">
        <is>
          <t>NA</t>
        </is>
      </c>
      <c r="X286" s="17" t="inlineStr">
        <is>
          <t>NA</t>
        </is>
      </c>
      <c r="Y286" s="20" t="inlineStr">
        <is>
          <t>NA</t>
        </is>
      </c>
      <c r="Z286" s="17" t="inlineStr">
        <is>
          <t>NA</t>
        </is>
      </c>
      <c r="AA286" s="20" t="inlineStr">
        <is>
          <t>NA</t>
        </is>
      </c>
      <c r="AB286" s="93" t="inlineStr">
        <is>
          <t>NA</t>
        </is>
      </c>
      <c r="AC286" s="20" t="inlineStr">
        <is>
          <t>NA</t>
        </is>
      </c>
      <c r="AD286" s="97" t="inlineStr">
        <is>
          <t>NA</t>
        </is>
      </c>
      <c r="AE286" s="127" t="inlineStr">
        <is>
          <t>NA</t>
        </is>
      </c>
      <c r="AF286" s="93" t="inlineStr">
        <is>
          <t>NA</t>
        </is>
      </c>
      <c r="AG286" s="97" t="inlineStr">
        <is>
          <t>NA</t>
        </is>
      </c>
      <c r="AH286" s="285" t="n">
        <v>0</v>
      </c>
      <c r="AI286" s="285" t="inlineStr">
        <is>
          <t>Not Reported</t>
        </is>
      </c>
      <c r="AJ286" s="93" t="inlineStr">
        <is>
          <t>NA</t>
        </is>
      </c>
      <c r="AK286" s="127" t="inlineStr">
        <is>
          <t>NA</t>
        </is>
      </c>
    </row>
    <row r="287">
      <c r="A287" s="21" t="inlineStr">
        <is>
          <t>Robert Bosch</t>
        </is>
      </c>
      <c r="B287" s="5" t="inlineStr">
        <is>
          <t xml:space="preserve">South 1 </t>
        </is>
      </c>
      <c r="C287" s="5" t="inlineStr">
        <is>
          <t>TBH</t>
        </is>
      </c>
      <c r="D287" s="26" t="inlineStr">
        <is>
          <t>Debashreeta</t>
        </is>
      </c>
      <c r="E287" s="26" t="inlineStr">
        <is>
          <t>Category (B)</t>
        </is>
      </c>
      <c r="F287" s="21" t="inlineStr">
        <is>
          <t>Internal KPI</t>
        </is>
      </c>
      <c r="G287" s="21" t="inlineStr">
        <is>
          <t>No</t>
        </is>
      </c>
      <c r="H287" s="27" t="inlineStr">
        <is>
          <t>First Time Right Ratio</t>
        </is>
      </c>
      <c r="I287" s="20" t="n">
        <v>0.7</v>
      </c>
      <c r="J287" s="53" t="inlineStr">
        <is>
          <t>NA</t>
        </is>
      </c>
      <c r="K287" s="20" t="inlineStr">
        <is>
          <t>NA</t>
        </is>
      </c>
      <c r="L287" s="20" t="inlineStr">
        <is>
          <t xml:space="preserve">NA </t>
        </is>
      </c>
      <c r="M287" s="20" t="inlineStr">
        <is>
          <t>NA</t>
        </is>
      </c>
      <c r="N287" s="20" t="inlineStr">
        <is>
          <t xml:space="preserve">NA </t>
        </is>
      </c>
      <c r="O287" s="20" t="inlineStr">
        <is>
          <t>NA</t>
        </is>
      </c>
      <c r="P287" s="20" t="inlineStr">
        <is>
          <t xml:space="preserve">NA </t>
        </is>
      </c>
      <c r="Q287" s="20" t="inlineStr">
        <is>
          <t>NA</t>
        </is>
      </c>
      <c r="R287" s="17" t="inlineStr">
        <is>
          <t>NA</t>
        </is>
      </c>
      <c r="S287" s="20" t="inlineStr">
        <is>
          <t>NA</t>
        </is>
      </c>
      <c r="T287" s="17" t="inlineStr">
        <is>
          <t>NA</t>
        </is>
      </c>
      <c r="U287" s="20" t="inlineStr">
        <is>
          <t>NA</t>
        </is>
      </c>
      <c r="V287" s="17" t="inlineStr">
        <is>
          <t>NA</t>
        </is>
      </c>
      <c r="W287" s="20" t="inlineStr">
        <is>
          <t>NA</t>
        </is>
      </c>
      <c r="X287" s="17" t="inlineStr">
        <is>
          <t>NA</t>
        </is>
      </c>
      <c r="Y287" s="20" t="inlineStr">
        <is>
          <t>NA</t>
        </is>
      </c>
      <c r="Z287" s="17" t="inlineStr">
        <is>
          <t>NA</t>
        </is>
      </c>
      <c r="AA287" s="20" t="inlineStr">
        <is>
          <t>NA</t>
        </is>
      </c>
      <c r="AB287" s="93" t="inlineStr">
        <is>
          <t>NA</t>
        </is>
      </c>
      <c r="AC287" s="20" t="inlineStr">
        <is>
          <t>NA</t>
        </is>
      </c>
      <c r="AD287" s="97" t="inlineStr">
        <is>
          <t>NA</t>
        </is>
      </c>
      <c r="AE287" s="126" t="inlineStr">
        <is>
          <t>NA</t>
        </is>
      </c>
      <c r="AF287" s="93" t="inlineStr">
        <is>
          <t>NA</t>
        </is>
      </c>
      <c r="AG287" s="97" t="inlineStr">
        <is>
          <t>NA</t>
        </is>
      </c>
      <c r="AH287" s="285" t="n">
        <v>0</v>
      </c>
      <c r="AI287" s="285" t="inlineStr">
        <is>
          <t>Not Reported</t>
        </is>
      </c>
      <c r="AJ287" s="93" t="inlineStr">
        <is>
          <t>NA</t>
        </is>
      </c>
      <c r="AK287" s="126" t="inlineStr">
        <is>
          <t>NA</t>
        </is>
      </c>
    </row>
    <row r="288">
      <c r="A288" s="21" t="inlineStr">
        <is>
          <t>Robert Bosch</t>
        </is>
      </c>
      <c r="B288" s="5" t="inlineStr">
        <is>
          <t xml:space="preserve">South 1 </t>
        </is>
      </c>
      <c r="C288" s="5" t="inlineStr">
        <is>
          <t>TBH</t>
        </is>
      </c>
      <c r="D288" s="26" t="inlineStr">
        <is>
          <t>Debashreeta</t>
        </is>
      </c>
      <c r="E288" s="26" t="inlineStr">
        <is>
          <t>Category (B)</t>
        </is>
      </c>
      <c r="F288" s="21" t="inlineStr">
        <is>
          <t>Internal KPI</t>
        </is>
      </c>
      <c r="G288" s="21" t="inlineStr">
        <is>
          <t>No</t>
        </is>
      </c>
      <c r="H288" s="27" t="inlineStr">
        <is>
          <t>Hit Ratio</t>
        </is>
      </c>
      <c r="I288" s="20" t="n">
        <v>0.5</v>
      </c>
      <c r="J288" s="53" t="inlineStr">
        <is>
          <t>NA</t>
        </is>
      </c>
      <c r="K288" s="20" t="inlineStr">
        <is>
          <t>NA</t>
        </is>
      </c>
      <c r="L288" s="20" t="inlineStr">
        <is>
          <t xml:space="preserve">NA </t>
        </is>
      </c>
      <c r="M288" s="20" t="inlineStr">
        <is>
          <t>NA</t>
        </is>
      </c>
      <c r="N288" s="20" t="inlineStr">
        <is>
          <t xml:space="preserve">NA </t>
        </is>
      </c>
      <c r="O288" s="20" t="inlineStr">
        <is>
          <t>NA</t>
        </is>
      </c>
      <c r="P288" s="20" t="inlineStr">
        <is>
          <t xml:space="preserve">NA </t>
        </is>
      </c>
      <c r="Q288" s="20" t="inlineStr">
        <is>
          <t>NA</t>
        </is>
      </c>
      <c r="R288" s="17" t="inlineStr">
        <is>
          <t>NA</t>
        </is>
      </c>
      <c r="S288" s="20" t="inlineStr">
        <is>
          <t>NA</t>
        </is>
      </c>
      <c r="T288" s="17" t="inlineStr">
        <is>
          <t>NA</t>
        </is>
      </c>
      <c r="U288" s="20" t="inlineStr">
        <is>
          <t>NA</t>
        </is>
      </c>
      <c r="V288" s="17" t="inlineStr">
        <is>
          <t>NA</t>
        </is>
      </c>
      <c r="W288" s="20" t="inlineStr">
        <is>
          <t>NA</t>
        </is>
      </c>
      <c r="X288" s="17" t="inlineStr">
        <is>
          <t>NA</t>
        </is>
      </c>
      <c r="Y288" s="20" t="inlineStr">
        <is>
          <t>NA</t>
        </is>
      </c>
      <c r="Z288" s="17" t="inlineStr">
        <is>
          <t>NA</t>
        </is>
      </c>
      <c r="AA288" s="20" t="inlineStr">
        <is>
          <t>NA</t>
        </is>
      </c>
      <c r="AB288" s="93" t="inlineStr">
        <is>
          <t>NA</t>
        </is>
      </c>
      <c r="AC288" s="20" t="inlineStr">
        <is>
          <t>NA</t>
        </is>
      </c>
      <c r="AD288" s="97" t="inlineStr">
        <is>
          <t>NA</t>
        </is>
      </c>
      <c r="AE288" s="126" t="inlineStr">
        <is>
          <t>NA</t>
        </is>
      </c>
      <c r="AF288" s="93" t="inlineStr">
        <is>
          <t>NA</t>
        </is>
      </c>
      <c r="AG288" s="97" t="inlineStr">
        <is>
          <t>NA</t>
        </is>
      </c>
      <c r="AH288" s="285" t="n">
        <v>0</v>
      </c>
      <c r="AI288" s="285" t="inlineStr">
        <is>
          <t>Not Reported</t>
        </is>
      </c>
      <c r="AJ288" s="93" t="inlineStr">
        <is>
          <t>NA</t>
        </is>
      </c>
      <c r="AK288" s="126" t="inlineStr">
        <is>
          <t>NA</t>
        </is>
      </c>
    </row>
    <row r="289">
      <c r="A289" s="21" t="inlineStr">
        <is>
          <t>Robert Bosch</t>
        </is>
      </c>
      <c r="B289" s="5" t="inlineStr">
        <is>
          <t xml:space="preserve">South 1 </t>
        </is>
      </c>
      <c r="C289" s="5" t="inlineStr">
        <is>
          <t>TBH</t>
        </is>
      </c>
      <c r="D289" s="26" t="inlineStr">
        <is>
          <t>Debashreeta</t>
        </is>
      </c>
      <c r="E289" s="26" t="inlineStr">
        <is>
          <t>Category (B)</t>
        </is>
      </c>
      <c r="F289" s="21" t="inlineStr">
        <is>
          <t>Internal KPI</t>
        </is>
      </c>
      <c r="G289" s="21" t="inlineStr">
        <is>
          <t>No</t>
        </is>
      </c>
      <c r="H289" s="21" t="inlineStr">
        <is>
          <t>Offer Drop</t>
        </is>
      </c>
      <c r="I289" s="20" t="n">
        <v>0.2</v>
      </c>
      <c r="J289" s="53" t="inlineStr">
        <is>
          <t>NA</t>
        </is>
      </c>
      <c r="K289" s="20" t="inlineStr">
        <is>
          <t>NA</t>
        </is>
      </c>
      <c r="L289" s="20" t="inlineStr">
        <is>
          <t xml:space="preserve">NA </t>
        </is>
      </c>
      <c r="M289" s="20" t="inlineStr">
        <is>
          <t>NA</t>
        </is>
      </c>
      <c r="N289" s="20" t="inlineStr">
        <is>
          <t xml:space="preserve">NA </t>
        </is>
      </c>
      <c r="O289" s="20" t="inlineStr">
        <is>
          <t>NA</t>
        </is>
      </c>
      <c r="P289" s="20" t="inlineStr">
        <is>
          <t xml:space="preserve">NA </t>
        </is>
      </c>
      <c r="Q289" s="20" t="inlineStr">
        <is>
          <t>NA</t>
        </is>
      </c>
      <c r="R289" s="17" t="inlineStr">
        <is>
          <t>NA</t>
        </is>
      </c>
      <c r="S289" s="20" t="inlineStr">
        <is>
          <t>NA</t>
        </is>
      </c>
      <c r="T289" s="17" t="inlineStr">
        <is>
          <t>NA</t>
        </is>
      </c>
      <c r="U289" s="20" t="inlineStr">
        <is>
          <t>NA</t>
        </is>
      </c>
      <c r="V289" s="17" t="inlineStr">
        <is>
          <t>NA</t>
        </is>
      </c>
      <c r="W289" s="20" t="inlineStr">
        <is>
          <t>NA</t>
        </is>
      </c>
      <c r="X289" s="17" t="inlineStr">
        <is>
          <t>NA</t>
        </is>
      </c>
      <c r="Y289" s="20" t="inlineStr">
        <is>
          <t>NA</t>
        </is>
      </c>
      <c r="Z289" s="17" t="inlineStr">
        <is>
          <t>NA</t>
        </is>
      </c>
      <c r="AA289" s="20" t="inlineStr">
        <is>
          <t>NA</t>
        </is>
      </c>
      <c r="AB289" s="93" t="inlineStr">
        <is>
          <t>NA</t>
        </is>
      </c>
      <c r="AC289" s="20" t="inlineStr">
        <is>
          <t>NA</t>
        </is>
      </c>
      <c r="AD289" s="97" t="inlineStr">
        <is>
          <t>NA</t>
        </is>
      </c>
      <c r="AE289" s="126" t="inlineStr">
        <is>
          <t>NA</t>
        </is>
      </c>
      <c r="AF289" s="93" t="inlineStr">
        <is>
          <t>NA</t>
        </is>
      </c>
      <c r="AG289" s="97" t="inlineStr">
        <is>
          <t>NA</t>
        </is>
      </c>
      <c r="AH289" s="285" t="n">
        <v>0</v>
      </c>
      <c r="AI289" s="285" t="inlineStr">
        <is>
          <t>Not Reported</t>
        </is>
      </c>
      <c r="AJ289" s="93" t="inlineStr">
        <is>
          <t>NA</t>
        </is>
      </c>
      <c r="AK289" s="126" t="inlineStr">
        <is>
          <t>NA</t>
        </is>
      </c>
    </row>
    <row r="290">
      <c r="A290" s="164" t="inlineStr">
        <is>
          <t>Robert Bosch</t>
        </is>
      </c>
      <c r="B290" s="165" t="inlineStr">
        <is>
          <t xml:space="preserve">South 1 </t>
        </is>
      </c>
      <c r="C290" s="5" t="inlineStr">
        <is>
          <t>TBH</t>
        </is>
      </c>
      <c r="D290" s="166" t="inlineStr">
        <is>
          <t>Debashreeta</t>
        </is>
      </c>
      <c r="E290" s="166" t="inlineStr">
        <is>
          <t>Category (B)</t>
        </is>
      </c>
      <c r="F290" s="164" t="inlineStr">
        <is>
          <t>Internal KPI</t>
        </is>
      </c>
      <c r="G290" s="164" t="inlineStr">
        <is>
          <t>No</t>
        </is>
      </c>
      <c r="H290" s="167" t="inlineStr">
        <is>
          <t xml:space="preserve">Fulfilment </t>
        </is>
      </c>
      <c r="I290" s="191" t="n">
        <v>0.2</v>
      </c>
      <c r="J290" s="188" t="inlineStr">
        <is>
          <t>NA</t>
        </is>
      </c>
      <c r="K290" s="191" t="inlineStr">
        <is>
          <t>NA</t>
        </is>
      </c>
      <c r="L290" s="191" t="inlineStr">
        <is>
          <t xml:space="preserve">NA </t>
        </is>
      </c>
      <c r="M290" s="191" t="inlineStr">
        <is>
          <t>NA</t>
        </is>
      </c>
      <c r="N290" s="191" t="inlineStr">
        <is>
          <t xml:space="preserve">NA </t>
        </is>
      </c>
      <c r="O290" s="191" t="inlineStr">
        <is>
          <t>NA</t>
        </is>
      </c>
      <c r="P290" s="191" t="inlineStr">
        <is>
          <t xml:space="preserve">NA </t>
        </is>
      </c>
      <c r="Q290" s="191" t="inlineStr">
        <is>
          <t>NA</t>
        </is>
      </c>
      <c r="R290" s="171" t="inlineStr">
        <is>
          <t>NA</t>
        </is>
      </c>
      <c r="S290" s="191" t="inlineStr">
        <is>
          <t>NA</t>
        </is>
      </c>
      <c r="T290" s="171" t="inlineStr">
        <is>
          <t>NA</t>
        </is>
      </c>
      <c r="U290" s="191" t="inlineStr">
        <is>
          <t>NA</t>
        </is>
      </c>
      <c r="V290" s="171" t="inlineStr">
        <is>
          <t>NA</t>
        </is>
      </c>
      <c r="W290" s="191" t="inlineStr">
        <is>
          <t>NA</t>
        </is>
      </c>
      <c r="X290" s="171" t="inlineStr">
        <is>
          <t>NA</t>
        </is>
      </c>
      <c r="Y290" s="191" t="inlineStr">
        <is>
          <t>NA</t>
        </is>
      </c>
      <c r="Z290" s="171" t="inlineStr">
        <is>
          <t>NA</t>
        </is>
      </c>
      <c r="AA290" s="191" t="inlineStr">
        <is>
          <t>NA</t>
        </is>
      </c>
      <c r="AB290" s="162" t="inlineStr">
        <is>
          <t>NA</t>
        </is>
      </c>
      <c r="AC290" s="191" t="inlineStr">
        <is>
          <t>NA</t>
        </is>
      </c>
      <c r="AD290" s="156" t="inlineStr">
        <is>
          <t>NA</t>
        </is>
      </c>
      <c r="AE290" s="177" t="inlineStr">
        <is>
          <t>NA</t>
        </is>
      </c>
      <c r="AF290" s="93" t="inlineStr">
        <is>
          <t>NA</t>
        </is>
      </c>
      <c r="AG290" s="97" t="inlineStr">
        <is>
          <t>NA</t>
        </is>
      </c>
      <c r="AH290" s="285" t="n">
        <v>0</v>
      </c>
      <c r="AI290" s="285" t="inlineStr">
        <is>
          <t>Not Reported</t>
        </is>
      </c>
      <c r="AJ290" s="93" t="inlineStr">
        <is>
          <t>NA</t>
        </is>
      </c>
      <c r="AK290" s="126" t="inlineStr">
        <is>
          <t>NA</t>
        </is>
      </c>
    </row>
    <row r="291">
      <c r="A291" s="21" t="inlineStr">
        <is>
          <t>Royal Enfield</t>
        </is>
      </c>
      <c r="B291" s="5" t="inlineStr">
        <is>
          <t>South 2</t>
        </is>
      </c>
      <c r="C291" s="76" t="inlineStr">
        <is>
          <t>Krishna</t>
        </is>
      </c>
      <c r="D291" s="26" t="inlineStr">
        <is>
          <t>Mehvish Naz</t>
        </is>
      </c>
      <c r="E291" s="26" t="inlineStr">
        <is>
          <t>Category (A)</t>
        </is>
      </c>
      <c r="F291" s="21" t="inlineStr">
        <is>
          <t>Internal KPI</t>
        </is>
      </c>
      <c r="G291" s="21" t="inlineStr">
        <is>
          <t>No</t>
        </is>
      </c>
      <c r="H291" s="27" t="inlineStr">
        <is>
          <t>Time to Hire</t>
        </is>
      </c>
      <c r="I291" s="14" t="inlineStr">
        <is>
          <t>105 Days</t>
        </is>
      </c>
      <c r="J291" s="28" t="inlineStr">
        <is>
          <t>NA</t>
        </is>
      </c>
      <c r="K291" s="28" t="inlineStr">
        <is>
          <t>NA</t>
        </is>
      </c>
      <c r="L291" s="28" t="inlineStr">
        <is>
          <t>68 Days</t>
        </is>
      </c>
      <c r="M291" s="28" t="inlineStr">
        <is>
          <t>Met</t>
        </is>
      </c>
      <c r="N291" s="28" t="n">
        <v>72</v>
      </c>
      <c r="O291" s="28" t="inlineStr">
        <is>
          <t>Met</t>
        </is>
      </c>
      <c r="P291" s="28" t="n">
        <v>70</v>
      </c>
      <c r="Q291" s="28" t="inlineStr">
        <is>
          <t>Met</t>
        </is>
      </c>
      <c r="R291" s="28" t="n">
        <v>150</v>
      </c>
      <c r="S291" s="28" t="inlineStr">
        <is>
          <t>Not Met</t>
        </is>
      </c>
      <c r="T291" s="28" t="n">
        <v>47</v>
      </c>
      <c r="U291" s="28" t="inlineStr">
        <is>
          <t>Met</t>
        </is>
      </c>
      <c r="V291" s="28" t="inlineStr">
        <is>
          <t>Not Reported</t>
        </is>
      </c>
      <c r="W291" s="28" t="inlineStr">
        <is>
          <t>Not Reported</t>
        </is>
      </c>
      <c r="X291" s="28" t="inlineStr">
        <is>
          <t>Not Reported</t>
        </is>
      </c>
      <c r="Y291" s="28" t="inlineStr">
        <is>
          <t>Not Reported</t>
        </is>
      </c>
      <c r="Z291" s="28" t="inlineStr">
        <is>
          <t>Not Reported</t>
        </is>
      </c>
      <c r="AA291" s="28" t="inlineStr">
        <is>
          <t>Not Reported</t>
        </is>
      </c>
      <c r="AB291" s="97" t="inlineStr">
        <is>
          <t>Not Reported</t>
        </is>
      </c>
      <c r="AC291" s="90" t="inlineStr">
        <is>
          <t>Not Reported</t>
        </is>
      </c>
      <c r="AD291" s="97" t="inlineStr">
        <is>
          <t>Not Reported</t>
        </is>
      </c>
      <c r="AE291" s="97" t="inlineStr">
        <is>
          <t>Not Reported</t>
        </is>
      </c>
      <c r="AF291" s="95" t="inlineStr">
        <is>
          <t>Not Reported</t>
        </is>
      </c>
      <c r="AG291" s="149" t="inlineStr">
        <is>
          <t>Not Reported</t>
        </is>
      </c>
      <c r="AH291" s="285" t="n">
        <v>0</v>
      </c>
      <c r="AI291" s="285" t="inlineStr">
        <is>
          <t>Not Reported</t>
        </is>
      </c>
      <c r="AJ291" s="95" t="inlineStr">
        <is>
          <t>Not Reported</t>
        </is>
      </c>
      <c r="AK291" s="97" t="inlineStr">
        <is>
          <t>Not Reported</t>
        </is>
      </c>
    </row>
    <row r="292">
      <c r="A292" s="21" t="inlineStr">
        <is>
          <t>Royal Enfield</t>
        </is>
      </c>
      <c r="B292" s="5" t="inlineStr">
        <is>
          <t>South 2</t>
        </is>
      </c>
      <c r="C292" s="76" t="inlineStr">
        <is>
          <t>Krishna</t>
        </is>
      </c>
      <c r="D292" s="26" t="inlineStr">
        <is>
          <t>Mehvish Naz</t>
        </is>
      </c>
      <c r="E292" s="26" t="inlineStr">
        <is>
          <t>Category (A)</t>
        </is>
      </c>
      <c r="F292" s="21" t="inlineStr">
        <is>
          <t>Internal KPI</t>
        </is>
      </c>
      <c r="G292" s="21" t="inlineStr">
        <is>
          <t>No</t>
        </is>
      </c>
      <c r="H292" s="27" t="inlineStr">
        <is>
          <t>Time to Fill</t>
        </is>
      </c>
      <c r="I292" s="14" t="inlineStr">
        <is>
          <t>45 Days</t>
        </is>
      </c>
      <c r="J292" s="28" t="n">
        <v>55</v>
      </c>
      <c r="K292" s="28" t="inlineStr">
        <is>
          <t>Not Met</t>
        </is>
      </c>
      <c r="L292" s="28" t="n">
        <v>49</v>
      </c>
      <c r="M292" s="28" t="inlineStr">
        <is>
          <t>Not Met</t>
        </is>
      </c>
      <c r="N292" s="28" t="n">
        <v>48</v>
      </c>
      <c r="O292" s="28" t="inlineStr">
        <is>
          <t>Not Met</t>
        </is>
      </c>
      <c r="P292" s="28" t="n">
        <v>48</v>
      </c>
      <c r="Q292" s="28" t="inlineStr">
        <is>
          <t>Not Met</t>
        </is>
      </c>
      <c r="R292" s="28" t="n">
        <v>51</v>
      </c>
      <c r="S292" s="28" t="inlineStr">
        <is>
          <t>Not Met</t>
        </is>
      </c>
      <c r="T292" s="55" t="n">
        <v>52</v>
      </c>
      <c r="U292" s="28" t="inlineStr">
        <is>
          <t>Not Met</t>
        </is>
      </c>
      <c r="V292" s="28" t="inlineStr">
        <is>
          <t>Not Reported</t>
        </is>
      </c>
      <c r="W292" s="28" t="inlineStr">
        <is>
          <t>Not Reported</t>
        </is>
      </c>
      <c r="X292" s="28" t="inlineStr">
        <is>
          <t>Not Reported</t>
        </is>
      </c>
      <c r="Y292" s="28" t="inlineStr">
        <is>
          <t>Not Reported</t>
        </is>
      </c>
      <c r="Z292" s="28" t="inlineStr">
        <is>
          <t>Not Reported</t>
        </is>
      </c>
      <c r="AA292" s="28" t="inlineStr">
        <is>
          <t>Not Reported</t>
        </is>
      </c>
      <c r="AB292" s="97" t="inlineStr">
        <is>
          <t>Not Reported</t>
        </is>
      </c>
      <c r="AC292" s="90" t="inlineStr">
        <is>
          <t>Not Reported</t>
        </is>
      </c>
      <c r="AD292" s="97" t="inlineStr">
        <is>
          <t>Not Reported</t>
        </is>
      </c>
      <c r="AE292" s="97" t="inlineStr">
        <is>
          <t>Not Reported</t>
        </is>
      </c>
      <c r="AF292" s="95" t="inlineStr">
        <is>
          <t>Not Reported</t>
        </is>
      </c>
      <c r="AG292" s="149" t="inlineStr">
        <is>
          <t>Not Reported</t>
        </is>
      </c>
      <c r="AH292" s="285" t="n">
        <v>0</v>
      </c>
      <c r="AI292" s="285" t="inlineStr">
        <is>
          <t>Not Reported</t>
        </is>
      </c>
      <c r="AJ292" s="95" t="inlineStr">
        <is>
          <t>Not Reported</t>
        </is>
      </c>
      <c r="AK292" s="97" t="inlineStr">
        <is>
          <t>Not Reported</t>
        </is>
      </c>
    </row>
    <row r="293">
      <c r="A293" s="21" t="inlineStr">
        <is>
          <t>Royal Enfield</t>
        </is>
      </c>
      <c r="B293" s="5" t="inlineStr">
        <is>
          <t>South 2</t>
        </is>
      </c>
      <c r="C293" s="76" t="inlineStr">
        <is>
          <t>Krishna</t>
        </is>
      </c>
      <c r="D293" s="26" t="inlineStr">
        <is>
          <t>Mehvish Naz</t>
        </is>
      </c>
      <c r="E293" s="26" t="inlineStr">
        <is>
          <t>Category (A)</t>
        </is>
      </c>
      <c r="F293" s="21" t="inlineStr">
        <is>
          <t>Internal KPI</t>
        </is>
      </c>
      <c r="G293" s="21" t="inlineStr">
        <is>
          <t>No</t>
        </is>
      </c>
      <c r="H293" s="21" t="inlineStr">
        <is>
          <t>Ageing</t>
        </is>
      </c>
      <c r="I293" s="14" t="inlineStr">
        <is>
          <t>&lt;=20%</t>
        </is>
      </c>
      <c r="J293" s="29" t="n">
        <v>0.26</v>
      </c>
      <c r="K293" s="28" t="inlineStr">
        <is>
          <t>Not Met</t>
        </is>
      </c>
      <c r="L293" s="29" t="n">
        <v>0.36</v>
      </c>
      <c r="M293" s="28" t="inlineStr">
        <is>
          <t>Not Met</t>
        </is>
      </c>
      <c r="N293" s="29" t="n">
        <v>0.72</v>
      </c>
      <c r="O293" s="28" t="inlineStr">
        <is>
          <t>Not Met</t>
        </is>
      </c>
      <c r="P293" s="29" t="n">
        <v>0.72</v>
      </c>
      <c r="Q293" s="28" t="inlineStr">
        <is>
          <t>Not Met</t>
        </is>
      </c>
      <c r="R293" s="29" t="n">
        <v>0.29</v>
      </c>
      <c r="S293" s="28" t="inlineStr">
        <is>
          <t>Not Met</t>
        </is>
      </c>
      <c r="T293" s="55" t="n">
        <v>138</v>
      </c>
      <c r="U293" s="28" t="inlineStr">
        <is>
          <t>Not Met</t>
        </is>
      </c>
      <c r="V293" s="28" t="inlineStr">
        <is>
          <t>Not Reported</t>
        </is>
      </c>
      <c r="W293" s="28" t="inlineStr">
        <is>
          <t>Not Reported</t>
        </is>
      </c>
      <c r="X293" s="28" t="inlineStr">
        <is>
          <t>Not Reported</t>
        </is>
      </c>
      <c r="Y293" s="28" t="inlineStr">
        <is>
          <t>Not Reported</t>
        </is>
      </c>
      <c r="Z293" s="28" t="inlineStr">
        <is>
          <t>Not Reported</t>
        </is>
      </c>
      <c r="AA293" s="28" t="inlineStr">
        <is>
          <t>Not Reported</t>
        </is>
      </c>
      <c r="AB293" s="97" t="inlineStr">
        <is>
          <t>Not Reported</t>
        </is>
      </c>
      <c r="AC293" s="90" t="inlineStr">
        <is>
          <t>Not Reported</t>
        </is>
      </c>
      <c r="AD293" s="97" t="inlineStr">
        <is>
          <t>Not Reported</t>
        </is>
      </c>
      <c r="AE293" s="127" t="inlineStr">
        <is>
          <t>Not Reported</t>
        </is>
      </c>
      <c r="AF293" s="95" t="inlineStr">
        <is>
          <t>Not Reported</t>
        </is>
      </c>
      <c r="AG293" s="149" t="inlineStr">
        <is>
          <t>Not Reported</t>
        </is>
      </c>
      <c r="AH293" s="285" t="n">
        <v>0</v>
      </c>
      <c r="AI293" s="285" t="inlineStr">
        <is>
          <t>Not Reported</t>
        </is>
      </c>
      <c r="AJ293" s="95" t="inlineStr">
        <is>
          <t>Not Reported</t>
        </is>
      </c>
      <c r="AK293" s="127" t="inlineStr">
        <is>
          <t>Not Reported</t>
        </is>
      </c>
    </row>
    <row r="294">
      <c r="A294" s="21" t="inlineStr">
        <is>
          <t>Royal Enfield</t>
        </is>
      </c>
      <c r="B294" s="5" t="inlineStr">
        <is>
          <t>South 2</t>
        </is>
      </c>
      <c r="C294" s="76" t="inlineStr">
        <is>
          <t>Krishna</t>
        </is>
      </c>
      <c r="D294" s="26" t="inlineStr">
        <is>
          <t>Mehvish Naz</t>
        </is>
      </c>
      <c r="E294" s="26" t="inlineStr">
        <is>
          <t>Category (A)</t>
        </is>
      </c>
      <c r="F294" s="21" t="inlineStr">
        <is>
          <t>Internal KPI</t>
        </is>
      </c>
      <c r="G294" s="21" t="inlineStr">
        <is>
          <t>No</t>
        </is>
      </c>
      <c r="H294" s="27" t="inlineStr">
        <is>
          <t>First Time Right Ratio</t>
        </is>
      </c>
      <c r="I294" s="11" t="n">
        <v>0.6</v>
      </c>
      <c r="J294" s="29" t="n">
        <v>0.48</v>
      </c>
      <c r="K294" s="28" t="inlineStr">
        <is>
          <t>Not Met</t>
        </is>
      </c>
      <c r="L294" s="29" t="n">
        <v>0.5</v>
      </c>
      <c r="M294" s="28" t="inlineStr">
        <is>
          <t>Not Met</t>
        </is>
      </c>
      <c r="N294" s="29" t="n">
        <v>0.46</v>
      </c>
      <c r="O294" s="28" t="inlineStr">
        <is>
          <t>Not Met</t>
        </is>
      </c>
      <c r="P294" s="29" t="n">
        <v>0.47</v>
      </c>
      <c r="Q294" s="28" t="inlineStr">
        <is>
          <t>Not Met</t>
        </is>
      </c>
      <c r="R294" s="29" t="n">
        <v>0.5</v>
      </c>
      <c r="S294" s="28" t="inlineStr">
        <is>
          <t>Not Met</t>
        </is>
      </c>
      <c r="T294" s="29" t="n">
        <v>0.4</v>
      </c>
      <c r="U294" s="28" t="inlineStr">
        <is>
          <t>Not Met</t>
        </is>
      </c>
      <c r="V294" s="28" t="inlineStr">
        <is>
          <t>Not Reported</t>
        </is>
      </c>
      <c r="W294" s="28" t="inlineStr">
        <is>
          <t>Not Reported</t>
        </is>
      </c>
      <c r="X294" s="28" t="inlineStr">
        <is>
          <t>Not Reported</t>
        </is>
      </c>
      <c r="Y294" s="28" t="inlineStr">
        <is>
          <t>Not Reported</t>
        </is>
      </c>
      <c r="Z294" s="28" t="inlineStr">
        <is>
          <t>Not Reported</t>
        </is>
      </c>
      <c r="AA294" s="28" t="inlineStr">
        <is>
          <t>Not Reported</t>
        </is>
      </c>
      <c r="AB294" s="97" t="inlineStr">
        <is>
          <t>Not Reported</t>
        </is>
      </c>
      <c r="AC294" s="90" t="inlineStr">
        <is>
          <t>Not Reported</t>
        </is>
      </c>
      <c r="AD294" s="97" t="inlineStr">
        <is>
          <t>Not Reported</t>
        </is>
      </c>
      <c r="AE294" s="126" t="inlineStr">
        <is>
          <t>Not Reported</t>
        </is>
      </c>
      <c r="AF294" s="95" t="inlineStr">
        <is>
          <t>Not Reported</t>
        </is>
      </c>
      <c r="AG294" s="149" t="inlineStr">
        <is>
          <t>Not Reported</t>
        </is>
      </c>
      <c r="AH294" s="285" t="n">
        <v>0</v>
      </c>
      <c r="AI294" s="285" t="inlineStr">
        <is>
          <t>Not Reported</t>
        </is>
      </c>
      <c r="AJ294" s="95" t="inlineStr">
        <is>
          <t>Not Reported</t>
        </is>
      </c>
      <c r="AK294" s="126" t="inlineStr">
        <is>
          <t>Not Reported</t>
        </is>
      </c>
    </row>
    <row r="295">
      <c r="A295" s="21" t="inlineStr">
        <is>
          <t>Royal Enfield</t>
        </is>
      </c>
      <c r="B295" s="5" t="inlineStr">
        <is>
          <t>South 2</t>
        </is>
      </c>
      <c r="C295" s="76" t="inlineStr">
        <is>
          <t>Krishna</t>
        </is>
      </c>
      <c r="D295" s="26" t="inlineStr">
        <is>
          <t>Mehvish Naz</t>
        </is>
      </c>
      <c r="E295" s="26" t="inlineStr">
        <is>
          <t>Category (A)</t>
        </is>
      </c>
      <c r="F295" s="21" t="inlineStr">
        <is>
          <t>Internal KPI</t>
        </is>
      </c>
      <c r="G295" s="21" t="inlineStr">
        <is>
          <t>No</t>
        </is>
      </c>
      <c r="H295" s="27" t="inlineStr">
        <is>
          <t>Hit Ratio</t>
        </is>
      </c>
      <c r="I295" s="11" t="n">
        <v>0.2</v>
      </c>
      <c r="J295" s="29" t="n">
        <v>0.02</v>
      </c>
      <c r="K295" s="28" t="inlineStr">
        <is>
          <t>Not Met</t>
        </is>
      </c>
      <c r="L295" s="29" t="n">
        <v>0.03</v>
      </c>
      <c r="M295" s="28" t="inlineStr">
        <is>
          <t>Not Met</t>
        </is>
      </c>
      <c r="N295" s="29" t="n">
        <v>0.11</v>
      </c>
      <c r="O295" s="28" t="inlineStr">
        <is>
          <t>Not Met</t>
        </is>
      </c>
      <c r="P295" s="29" t="n">
        <v>0.07000000000000001</v>
      </c>
      <c r="Q295" s="28" t="inlineStr">
        <is>
          <t>Not Met</t>
        </is>
      </c>
      <c r="R295" s="29" t="n">
        <v>0.05</v>
      </c>
      <c r="S295" s="28" t="inlineStr">
        <is>
          <t>Not Met</t>
        </is>
      </c>
      <c r="T295" s="29" t="n">
        <v>0.51</v>
      </c>
      <c r="U295" s="28" t="inlineStr">
        <is>
          <t>Met</t>
        </is>
      </c>
      <c r="V295" s="28" t="inlineStr">
        <is>
          <t>Not Reported</t>
        </is>
      </c>
      <c r="W295" s="28" t="inlineStr">
        <is>
          <t>Not Reported</t>
        </is>
      </c>
      <c r="X295" s="28" t="inlineStr">
        <is>
          <t>Not Reported</t>
        </is>
      </c>
      <c r="Y295" s="28" t="inlineStr">
        <is>
          <t>Not Reported</t>
        </is>
      </c>
      <c r="Z295" s="28" t="inlineStr">
        <is>
          <t>Not Reported</t>
        </is>
      </c>
      <c r="AA295" s="28" t="inlineStr">
        <is>
          <t>Not Reported</t>
        </is>
      </c>
      <c r="AB295" s="97" t="inlineStr">
        <is>
          <t>Not Reported</t>
        </is>
      </c>
      <c r="AC295" s="90" t="inlineStr">
        <is>
          <t>Not Reported</t>
        </is>
      </c>
      <c r="AD295" s="97" t="inlineStr">
        <is>
          <t>Not Reported</t>
        </is>
      </c>
      <c r="AE295" s="126" t="inlineStr">
        <is>
          <t>Not Reported</t>
        </is>
      </c>
      <c r="AF295" s="95" t="inlineStr">
        <is>
          <t>Not Reported</t>
        </is>
      </c>
      <c r="AG295" s="149" t="inlineStr">
        <is>
          <t>Not Reported</t>
        </is>
      </c>
      <c r="AH295" s="285" t="n">
        <v>0</v>
      </c>
      <c r="AI295" s="285" t="inlineStr">
        <is>
          <t>Not Reported</t>
        </is>
      </c>
      <c r="AJ295" s="95" t="inlineStr">
        <is>
          <t>Not Reported</t>
        </is>
      </c>
      <c r="AK295" s="126" t="inlineStr">
        <is>
          <t>Not Reported</t>
        </is>
      </c>
    </row>
    <row r="296">
      <c r="A296" s="21" t="inlineStr">
        <is>
          <t>Royal Enfield</t>
        </is>
      </c>
      <c r="B296" s="5" t="inlineStr">
        <is>
          <t>South 2</t>
        </is>
      </c>
      <c r="C296" s="76" t="inlineStr">
        <is>
          <t>Krishna</t>
        </is>
      </c>
      <c r="D296" s="26" t="inlineStr">
        <is>
          <t>Mehvish Naz</t>
        </is>
      </c>
      <c r="E296" s="26" t="inlineStr">
        <is>
          <t>Category (A)</t>
        </is>
      </c>
      <c r="F296" s="21" t="inlineStr">
        <is>
          <t>Internal KPI</t>
        </is>
      </c>
      <c r="G296" s="21" t="inlineStr">
        <is>
          <t>No</t>
        </is>
      </c>
      <c r="H296" s="21" t="inlineStr">
        <is>
          <t>Offer Drop</t>
        </is>
      </c>
      <c r="I296" s="11" t="n">
        <v>0.15</v>
      </c>
      <c r="J296" s="29" t="n">
        <v>0</v>
      </c>
      <c r="K296" s="28" t="inlineStr">
        <is>
          <t>Met</t>
        </is>
      </c>
      <c r="L296" s="29" t="n">
        <v>0</v>
      </c>
      <c r="M296" s="28" t="inlineStr">
        <is>
          <t>Met</t>
        </is>
      </c>
      <c r="N296" s="29" t="n">
        <v>0</v>
      </c>
      <c r="O296" s="28" t="inlineStr">
        <is>
          <t>Met</t>
        </is>
      </c>
      <c r="P296" s="29" t="n">
        <v>0.07000000000000001</v>
      </c>
      <c r="Q296" s="28" t="inlineStr">
        <is>
          <t>Met</t>
        </is>
      </c>
      <c r="R296" s="29" t="n">
        <v>0.33</v>
      </c>
      <c r="S296" s="28" t="inlineStr">
        <is>
          <t>Not Met</t>
        </is>
      </c>
      <c r="T296" s="29" t="n">
        <v>0.09</v>
      </c>
      <c r="U296" s="28" t="inlineStr">
        <is>
          <t>Met</t>
        </is>
      </c>
      <c r="V296" s="28" t="inlineStr">
        <is>
          <t>Not Reported</t>
        </is>
      </c>
      <c r="W296" s="28" t="inlineStr">
        <is>
          <t>Not Reported</t>
        </is>
      </c>
      <c r="X296" s="28" t="inlineStr">
        <is>
          <t>Not Reported</t>
        </is>
      </c>
      <c r="Y296" s="28" t="inlineStr">
        <is>
          <t>Not Reported</t>
        </is>
      </c>
      <c r="Z296" s="28" t="inlineStr">
        <is>
          <t>Not Reported</t>
        </is>
      </c>
      <c r="AA296" s="28" t="inlineStr">
        <is>
          <t>Not Reported</t>
        </is>
      </c>
      <c r="AB296" s="97" t="inlineStr">
        <is>
          <t>Not Reported</t>
        </is>
      </c>
      <c r="AC296" s="90" t="inlineStr">
        <is>
          <t>Not Reported</t>
        </is>
      </c>
      <c r="AD296" s="97" t="inlineStr">
        <is>
          <t>Not Reported</t>
        </is>
      </c>
      <c r="AE296" s="126" t="inlineStr">
        <is>
          <t>Not Reported</t>
        </is>
      </c>
      <c r="AF296" s="95" t="inlineStr">
        <is>
          <t>Not Reported</t>
        </is>
      </c>
      <c r="AG296" s="149" t="inlineStr">
        <is>
          <t>Not Reported</t>
        </is>
      </c>
      <c r="AH296" s="285" t="n">
        <v>0</v>
      </c>
      <c r="AI296" s="285" t="inlineStr">
        <is>
          <t>Not Reported</t>
        </is>
      </c>
      <c r="AJ296" s="95" t="inlineStr">
        <is>
          <t>Not Reported</t>
        </is>
      </c>
      <c r="AK296" s="126" t="inlineStr">
        <is>
          <t>Not Reported</t>
        </is>
      </c>
    </row>
    <row r="297">
      <c r="A297" s="21" t="inlineStr">
        <is>
          <t>Royal Enfield</t>
        </is>
      </c>
      <c r="B297" s="5" t="inlineStr">
        <is>
          <t>South 2</t>
        </is>
      </c>
      <c r="C297" s="76" t="inlineStr">
        <is>
          <t>Krishna</t>
        </is>
      </c>
      <c r="D297" s="26" t="inlineStr">
        <is>
          <t>Mehvish Naz</t>
        </is>
      </c>
      <c r="E297" s="26" t="inlineStr">
        <is>
          <t>Category (A)</t>
        </is>
      </c>
      <c r="F297" s="21" t="inlineStr">
        <is>
          <t>Internal KPI</t>
        </is>
      </c>
      <c r="G297" s="21" t="inlineStr">
        <is>
          <t>No</t>
        </is>
      </c>
      <c r="H297" s="27" t="inlineStr">
        <is>
          <t xml:space="preserve">Fulfilment </t>
        </is>
      </c>
      <c r="I297" s="11" t="n">
        <v>0.9</v>
      </c>
      <c r="J297" s="29" t="n">
        <v>0</v>
      </c>
      <c r="K297" s="28" t="inlineStr">
        <is>
          <t>Not Met</t>
        </is>
      </c>
      <c r="L297" s="29" t="n">
        <v>0.1</v>
      </c>
      <c r="M297" s="28" t="inlineStr">
        <is>
          <t>Not Met</t>
        </is>
      </c>
      <c r="N297" s="29" t="n">
        <v>0.16</v>
      </c>
      <c r="O297" s="28" t="inlineStr">
        <is>
          <t>Not Met</t>
        </is>
      </c>
      <c r="P297" s="29" t="n">
        <v>0.25</v>
      </c>
      <c r="Q297" s="28" t="inlineStr">
        <is>
          <t>Not Met</t>
        </is>
      </c>
      <c r="R297" s="29" t="n">
        <v>0.02</v>
      </c>
      <c r="S297" s="28" t="inlineStr">
        <is>
          <t>Not Met</t>
        </is>
      </c>
      <c r="T297" s="29" t="n">
        <v>0</v>
      </c>
      <c r="U297" s="28" t="inlineStr">
        <is>
          <t>Not Met</t>
        </is>
      </c>
      <c r="V297" s="28" t="inlineStr">
        <is>
          <t>Not Reported</t>
        </is>
      </c>
      <c r="W297" s="28" t="inlineStr">
        <is>
          <t>Not Reported</t>
        </is>
      </c>
      <c r="X297" s="28" t="inlineStr">
        <is>
          <t>Not Reported</t>
        </is>
      </c>
      <c r="Y297" s="28" t="inlineStr">
        <is>
          <t>Not Reported</t>
        </is>
      </c>
      <c r="Z297" s="28" t="inlineStr">
        <is>
          <t>Not Reported</t>
        </is>
      </c>
      <c r="AA297" s="28" t="inlineStr">
        <is>
          <t>Not Reported</t>
        </is>
      </c>
      <c r="AB297" s="97" t="inlineStr">
        <is>
          <t>Not Reported</t>
        </is>
      </c>
      <c r="AC297" s="90" t="inlineStr">
        <is>
          <t>Not Reported</t>
        </is>
      </c>
      <c r="AD297" s="97" t="inlineStr">
        <is>
          <t>Not Reported</t>
        </is>
      </c>
      <c r="AE297" s="126" t="inlineStr">
        <is>
          <t>Not Reported</t>
        </is>
      </c>
      <c r="AF297" s="95" t="inlineStr">
        <is>
          <t>Not Reported</t>
        </is>
      </c>
      <c r="AG297" s="149" t="inlineStr">
        <is>
          <t>Not Reported</t>
        </is>
      </c>
      <c r="AH297" s="285" t="n">
        <v>0</v>
      </c>
      <c r="AI297" s="285" t="inlineStr">
        <is>
          <t>Not Reported</t>
        </is>
      </c>
      <c r="AJ297" s="95" t="inlineStr">
        <is>
          <t>Not Reported</t>
        </is>
      </c>
      <c r="AK297" s="126" t="inlineStr">
        <is>
          <t>Not Reported</t>
        </is>
      </c>
    </row>
    <row r="298">
      <c r="A298" s="21" t="inlineStr">
        <is>
          <t>Royal Enfield</t>
        </is>
      </c>
      <c r="B298" s="5" t="inlineStr">
        <is>
          <t>South 2</t>
        </is>
      </c>
      <c r="C298" s="76" t="inlineStr">
        <is>
          <t>Krishna</t>
        </is>
      </c>
      <c r="D298" s="26" t="inlineStr">
        <is>
          <t>Mehvish Naz</t>
        </is>
      </c>
      <c r="E298" s="26" t="inlineStr">
        <is>
          <t>Category (A)</t>
        </is>
      </c>
      <c r="F298" s="21" t="inlineStr">
        <is>
          <t>Internal KPI</t>
        </is>
      </c>
      <c r="G298" s="21" t="inlineStr">
        <is>
          <t>No</t>
        </is>
      </c>
      <c r="H298" s="27" t="inlineStr">
        <is>
          <t>Diversity</t>
        </is>
      </c>
      <c r="I298" s="11" t="n">
        <v>0.2</v>
      </c>
      <c r="J298" s="29" t="inlineStr">
        <is>
          <t xml:space="preserve">NA </t>
        </is>
      </c>
      <c r="K298" s="29" t="inlineStr">
        <is>
          <t xml:space="preserve">NA </t>
        </is>
      </c>
      <c r="L298" s="29" t="inlineStr">
        <is>
          <t>NA</t>
        </is>
      </c>
      <c r="M298" s="29" t="inlineStr">
        <is>
          <t>NA</t>
        </is>
      </c>
      <c r="N298" s="29" t="n">
        <v>0.86</v>
      </c>
      <c r="O298" s="28" t="inlineStr">
        <is>
          <t>Met</t>
        </is>
      </c>
      <c r="P298" s="29" t="n">
        <v>0.91</v>
      </c>
      <c r="Q298" s="28" t="inlineStr">
        <is>
          <t>Met</t>
        </is>
      </c>
      <c r="R298" s="29" t="n">
        <v>0</v>
      </c>
      <c r="S298" s="28" t="inlineStr">
        <is>
          <t>Not Met</t>
        </is>
      </c>
      <c r="T298" s="29" t="n">
        <v>0.19</v>
      </c>
      <c r="U298" s="28" t="inlineStr">
        <is>
          <t>Not Met</t>
        </is>
      </c>
      <c r="V298" s="28" t="inlineStr">
        <is>
          <t>Not Reported</t>
        </is>
      </c>
      <c r="W298" s="28" t="inlineStr">
        <is>
          <t>Not Reported</t>
        </is>
      </c>
      <c r="X298" s="28" t="inlineStr">
        <is>
          <t>Not Reported</t>
        </is>
      </c>
      <c r="Y298" s="28" t="inlineStr">
        <is>
          <t>Not Reported</t>
        </is>
      </c>
      <c r="Z298" s="28" t="inlineStr">
        <is>
          <t>Not Reported</t>
        </is>
      </c>
      <c r="AA298" s="28" t="inlineStr">
        <is>
          <t>Not Reported</t>
        </is>
      </c>
      <c r="AB298" s="97" t="inlineStr">
        <is>
          <t>Not Reported</t>
        </is>
      </c>
      <c r="AC298" s="90" t="inlineStr">
        <is>
          <t>Not Reported</t>
        </is>
      </c>
      <c r="AD298" s="97" t="inlineStr">
        <is>
          <t>Not Reported</t>
        </is>
      </c>
      <c r="AE298" s="97" t="inlineStr">
        <is>
          <t>Not Reported</t>
        </is>
      </c>
      <c r="AF298" s="95" t="inlineStr">
        <is>
          <t>Not Reported</t>
        </is>
      </c>
      <c r="AG298" s="149" t="inlineStr">
        <is>
          <t>Not Reported</t>
        </is>
      </c>
      <c r="AH298" s="285" t="n">
        <v>0</v>
      </c>
      <c r="AI298" s="285" t="inlineStr">
        <is>
          <t>Not Reported</t>
        </is>
      </c>
      <c r="AJ298" s="95" t="inlineStr">
        <is>
          <t>Not Reported</t>
        </is>
      </c>
      <c r="AK298" s="97" t="inlineStr">
        <is>
          <t>Not Reported</t>
        </is>
      </c>
    </row>
    <row r="299">
      <c r="A299" s="204" t="inlineStr">
        <is>
          <t>SBI Card</t>
        </is>
      </c>
      <c r="B299" s="205" t="inlineStr">
        <is>
          <t>North</t>
        </is>
      </c>
      <c r="C299" s="277" t="inlineStr">
        <is>
          <t>Archana Trikha</t>
        </is>
      </c>
      <c r="D299" s="206" t="inlineStr">
        <is>
          <t>Rishab</t>
        </is>
      </c>
      <c r="E299" s="206" t="inlineStr">
        <is>
          <t>Category (A)</t>
        </is>
      </c>
      <c r="F299" s="204" t="inlineStr">
        <is>
          <t>Internal KPI</t>
        </is>
      </c>
      <c r="G299" s="204" t="inlineStr">
        <is>
          <t>No</t>
        </is>
      </c>
      <c r="H299" s="202" t="inlineStr">
        <is>
          <t>Time to Hire</t>
        </is>
      </c>
      <c r="I299" s="202" t="inlineStr">
        <is>
          <t>90 Days</t>
        </is>
      </c>
      <c r="J299" s="204" t="inlineStr">
        <is>
          <t>Not Reported</t>
        </is>
      </c>
      <c r="K299" s="204" t="inlineStr">
        <is>
          <t>Not Reported</t>
        </is>
      </c>
      <c r="L299" s="204" t="inlineStr">
        <is>
          <t xml:space="preserve">54 Days </t>
        </is>
      </c>
      <c r="M299" s="204" t="inlineStr">
        <is>
          <t>Met</t>
        </is>
      </c>
      <c r="N299" s="204" t="inlineStr">
        <is>
          <t xml:space="preserve">54 Days </t>
        </is>
      </c>
      <c r="O299" s="204" t="inlineStr">
        <is>
          <t>Met</t>
        </is>
      </c>
      <c r="P299" s="204" t="inlineStr">
        <is>
          <t xml:space="preserve">53 Days </t>
        </is>
      </c>
      <c r="Q299" s="204" t="inlineStr">
        <is>
          <t>Met</t>
        </is>
      </c>
      <c r="R299" s="204" t="n">
        <v>0</v>
      </c>
      <c r="S299" s="204" t="inlineStr">
        <is>
          <t>Not Met</t>
        </is>
      </c>
      <c r="T299" s="202" t="inlineStr">
        <is>
          <t>Not Reported</t>
        </is>
      </c>
      <c r="U299" s="202" t="inlineStr">
        <is>
          <t>Not Reported</t>
        </is>
      </c>
      <c r="V299" s="202" t="inlineStr">
        <is>
          <t>Not Reported</t>
        </is>
      </c>
      <c r="W299" s="202" t="inlineStr">
        <is>
          <t>Not Reported</t>
        </is>
      </c>
      <c r="X299" s="202" t="inlineStr">
        <is>
          <t>Not Reported</t>
        </is>
      </c>
      <c r="Y299" s="202" t="inlineStr">
        <is>
          <t>Not Reported</t>
        </is>
      </c>
      <c r="Z299" s="202" t="inlineStr">
        <is>
          <t xml:space="preserve">53 Days </t>
        </is>
      </c>
      <c r="AA299" s="202" t="inlineStr">
        <is>
          <t>Met</t>
        </is>
      </c>
      <c r="AB299" s="242" t="n">
        <v>60</v>
      </c>
      <c r="AC299" s="202" t="inlineStr">
        <is>
          <t>Met</t>
        </is>
      </c>
      <c r="AD299" s="209" t="n">
        <v>56</v>
      </c>
      <c r="AE299" s="202" t="inlineStr">
        <is>
          <t>Met</t>
        </is>
      </c>
      <c r="AF299" s="95" t="n">
        <v>52</v>
      </c>
      <c r="AG299" s="202" t="inlineStr">
        <is>
          <t>Met</t>
        </is>
      </c>
      <c r="AH299" s="285" t="n">
        <v>42</v>
      </c>
      <c r="AI299" s="285" t="inlineStr">
        <is>
          <t>Not Met</t>
        </is>
      </c>
      <c r="AJ299" s="147" t="n">
        <v>52</v>
      </c>
      <c r="AK299" s="202" t="inlineStr">
        <is>
          <t>Met</t>
        </is>
      </c>
    </row>
    <row r="300">
      <c r="A300" s="21" t="inlineStr">
        <is>
          <t>SBI Card</t>
        </is>
      </c>
      <c r="B300" s="5" t="inlineStr">
        <is>
          <t>North</t>
        </is>
      </c>
      <c r="C300" s="277" t="inlineStr">
        <is>
          <t>Archana Trikha</t>
        </is>
      </c>
      <c r="D300" s="26" t="inlineStr">
        <is>
          <t>Rishab</t>
        </is>
      </c>
      <c r="E300" s="26" t="inlineStr">
        <is>
          <t>Category (A)</t>
        </is>
      </c>
      <c r="F300" s="21" t="inlineStr">
        <is>
          <t>Internal KPI</t>
        </is>
      </c>
      <c r="G300" s="21" t="inlineStr">
        <is>
          <t>No</t>
        </is>
      </c>
      <c r="H300" s="27" t="inlineStr">
        <is>
          <t>Time to Fill Overall</t>
        </is>
      </c>
      <c r="I300" s="14" t="inlineStr">
        <is>
          <t>45 Days</t>
        </is>
      </c>
      <c r="J300" s="28" t="inlineStr">
        <is>
          <t>Not Reported</t>
        </is>
      </c>
      <c r="K300" s="28" t="inlineStr">
        <is>
          <t>Not Reported</t>
        </is>
      </c>
      <c r="L300" s="28" t="inlineStr">
        <is>
          <t>31 Days</t>
        </is>
      </c>
      <c r="M300" s="28" t="inlineStr">
        <is>
          <t>Met</t>
        </is>
      </c>
      <c r="N300" s="28" t="inlineStr">
        <is>
          <t xml:space="preserve">Not Reported </t>
        </is>
      </c>
      <c r="O300" s="28" t="inlineStr">
        <is>
          <t>Not Reported</t>
        </is>
      </c>
      <c r="P300" s="28" t="inlineStr">
        <is>
          <t xml:space="preserve">Not Reported </t>
        </is>
      </c>
      <c r="Q300" s="28" t="inlineStr">
        <is>
          <t>Not Reported</t>
        </is>
      </c>
      <c r="R300" s="28" t="inlineStr">
        <is>
          <t>Not Reported</t>
        </is>
      </c>
      <c r="S300" s="28" t="inlineStr">
        <is>
          <t xml:space="preserve">Not Reported </t>
        </is>
      </c>
      <c r="T300" s="28" t="inlineStr">
        <is>
          <t>Not Reported</t>
        </is>
      </c>
      <c r="U300" s="28" t="inlineStr">
        <is>
          <t>Not Reported</t>
        </is>
      </c>
      <c r="V300" s="28" t="inlineStr">
        <is>
          <t>Not Reported</t>
        </is>
      </c>
      <c r="W300" s="28" t="inlineStr">
        <is>
          <t>Not Reported</t>
        </is>
      </c>
      <c r="X300" s="28" t="inlineStr">
        <is>
          <t>Not Reported</t>
        </is>
      </c>
      <c r="Y300" s="28" t="inlineStr">
        <is>
          <t>Not Reported</t>
        </is>
      </c>
      <c r="Z300" s="28" t="inlineStr">
        <is>
          <t xml:space="preserve">25 Days </t>
        </is>
      </c>
      <c r="AA300" s="28" t="inlineStr">
        <is>
          <t>Met</t>
        </is>
      </c>
      <c r="AB300" s="110" t="n">
        <v>38</v>
      </c>
      <c r="AC300" s="28" t="inlineStr">
        <is>
          <t>Met</t>
        </is>
      </c>
      <c r="AD300" s="95" t="n">
        <v>30</v>
      </c>
      <c r="AE300" s="28" t="inlineStr">
        <is>
          <t>Met</t>
        </is>
      </c>
      <c r="AF300" s="95" t="n">
        <v>16</v>
      </c>
      <c r="AG300" s="202" t="inlineStr">
        <is>
          <t>Met</t>
        </is>
      </c>
      <c r="AH300" s="285" t="n">
        <v>42</v>
      </c>
      <c r="AI300" s="285" t="inlineStr">
        <is>
          <t>Not Met</t>
        </is>
      </c>
      <c r="AJ300" s="95" t="n">
        <v>28</v>
      </c>
      <c r="AK300" s="202" t="inlineStr">
        <is>
          <t>Met</t>
        </is>
      </c>
    </row>
    <row r="301">
      <c r="A301" s="21" t="inlineStr">
        <is>
          <t>SBI Card</t>
        </is>
      </c>
      <c r="B301" s="5" t="inlineStr">
        <is>
          <t>North</t>
        </is>
      </c>
      <c r="C301" s="277" t="inlineStr">
        <is>
          <t>Archana Trikha</t>
        </is>
      </c>
      <c r="D301" s="26" t="inlineStr">
        <is>
          <t>Rishab</t>
        </is>
      </c>
      <c r="E301" s="26" t="inlineStr">
        <is>
          <t>Category (B)</t>
        </is>
      </c>
      <c r="F301" s="21" t="inlineStr">
        <is>
          <t>Contractual SLA</t>
        </is>
      </c>
      <c r="G301" s="21" t="inlineStr">
        <is>
          <t>Yes</t>
        </is>
      </c>
      <c r="H301" s="27" t="inlineStr">
        <is>
          <t>Time to Fill (Band-6)</t>
        </is>
      </c>
      <c r="I301" s="14" t="inlineStr">
        <is>
          <t>15 Days</t>
        </is>
      </c>
      <c r="J301" s="28" t="inlineStr">
        <is>
          <t>Not Reported</t>
        </is>
      </c>
      <c r="K301" s="28" t="inlineStr">
        <is>
          <t>Not Reported</t>
        </is>
      </c>
      <c r="L301" s="17" t="inlineStr">
        <is>
          <t>21 Days</t>
        </is>
      </c>
      <c r="M301" s="28" t="inlineStr">
        <is>
          <t>Not Met</t>
        </is>
      </c>
      <c r="N301" s="17" t="inlineStr">
        <is>
          <t>13 Days</t>
        </is>
      </c>
      <c r="O301" s="28" t="inlineStr">
        <is>
          <t>Met</t>
        </is>
      </c>
      <c r="P301" s="29" t="inlineStr">
        <is>
          <t>17 Days</t>
        </is>
      </c>
      <c r="Q301" s="28" t="inlineStr">
        <is>
          <t>Not Met</t>
        </is>
      </c>
      <c r="R301" s="17" t="inlineStr">
        <is>
          <t>10 Days</t>
        </is>
      </c>
      <c r="S301" s="28" t="inlineStr">
        <is>
          <t>Met</t>
        </is>
      </c>
      <c r="T301" s="28" t="inlineStr">
        <is>
          <t>Not Reported</t>
        </is>
      </c>
      <c r="U301" s="28" t="inlineStr">
        <is>
          <t>Not Reported</t>
        </is>
      </c>
      <c r="V301" s="28" t="inlineStr">
        <is>
          <t>Not Reported</t>
        </is>
      </c>
      <c r="W301" s="28" t="inlineStr">
        <is>
          <t>Not Reported</t>
        </is>
      </c>
      <c r="X301" s="28" t="inlineStr">
        <is>
          <t>Not Reported</t>
        </is>
      </c>
      <c r="Y301" s="28" t="inlineStr">
        <is>
          <t>Not Reported</t>
        </is>
      </c>
      <c r="Z301" s="28" t="inlineStr">
        <is>
          <t xml:space="preserve">NA </t>
        </is>
      </c>
      <c r="AA301" s="28" t="inlineStr">
        <is>
          <t>Not Met</t>
        </is>
      </c>
      <c r="AB301" s="110" t="n">
        <v>20</v>
      </c>
      <c r="AC301" s="28" t="inlineStr">
        <is>
          <t>Not Met</t>
        </is>
      </c>
      <c r="AD301" s="147" t="n">
        <v>12</v>
      </c>
      <c r="AE301" s="28" t="inlineStr">
        <is>
          <t>Met</t>
        </is>
      </c>
      <c r="AF301" s="95" t="n">
        <v>11</v>
      </c>
      <c r="AG301" s="202" t="inlineStr">
        <is>
          <t>Met</t>
        </is>
      </c>
      <c r="AH301" s="285" t="n">
        <v>42</v>
      </c>
      <c r="AI301" s="285" t="inlineStr">
        <is>
          <t>Not Met</t>
        </is>
      </c>
      <c r="AJ301" s="147" t="n">
        <v>18</v>
      </c>
      <c r="AK301" s="28" t="inlineStr">
        <is>
          <t>Not Met</t>
        </is>
      </c>
    </row>
    <row r="302">
      <c r="A302" s="21" t="inlineStr">
        <is>
          <t>SBI Card</t>
        </is>
      </c>
      <c r="B302" s="5" t="inlineStr">
        <is>
          <t>North</t>
        </is>
      </c>
      <c r="C302" s="277" t="inlineStr">
        <is>
          <t>Archana Trikha</t>
        </is>
      </c>
      <c r="D302" s="26" t="inlineStr">
        <is>
          <t>Rishab</t>
        </is>
      </c>
      <c r="E302" s="26" t="inlineStr">
        <is>
          <t>Category (B)</t>
        </is>
      </c>
      <c r="F302" s="21" t="inlineStr">
        <is>
          <t>Contractual SLA</t>
        </is>
      </c>
      <c r="G302" s="21" t="inlineStr">
        <is>
          <t>Yes</t>
        </is>
      </c>
      <c r="H302" s="27" t="inlineStr">
        <is>
          <t>Time to Fill (Band-5)</t>
        </is>
      </c>
      <c r="I302" s="14" t="inlineStr">
        <is>
          <t xml:space="preserve">25 Days </t>
        </is>
      </c>
      <c r="J302" s="28" t="inlineStr">
        <is>
          <t>Not Reported</t>
        </is>
      </c>
      <c r="K302" s="28" t="inlineStr">
        <is>
          <t>Not Reported</t>
        </is>
      </c>
      <c r="L302" s="17" t="inlineStr">
        <is>
          <t>12 Days</t>
        </is>
      </c>
      <c r="M302" s="28" t="inlineStr">
        <is>
          <t>Met</t>
        </is>
      </c>
      <c r="N302" s="17" t="inlineStr">
        <is>
          <t>17 Days</t>
        </is>
      </c>
      <c r="O302" s="28" t="inlineStr">
        <is>
          <t>Met</t>
        </is>
      </c>
      <c r="P302" s="29" t="inlineStr">
        <is>
          <t>15 Days</t>
        </is>
      </c>
      <c r="Q302" s="28" t="inlineStr">
        <is>
          <t>Met</t>
        </is>
      </c>
      <c r="R302" s="17" t="inlineStr">
        <is>
          <t>17 Days</t>
        </is>
      </c>
      <c r="S302" s="28" t="inlineStr">
        <is>
          <t>Met</t>
        </is>
      </c>
      <c r="T302" s="28" t="inlineStr">
        <is>
          <t>Not Reported</t>
        </is>
      </c>
      <c r="U302" s="28" t="inlineStr">
        <is>
          <t>Not Reported</t>
        </is>
      </c>
      <c r="V302" s="28" t="inlineStr">
        <is>
          <t>Not Reported</t>
        </is>
      </c>
      <c r="W302" s="28" t="inlineStr">
        <is>
          <t>Not Reported</t>
        </is>
      </c>
      <c r="X302" s="28" t="inlineStr">
        <is>
          <t>Not Reported</t>
        </is>
      </c>
      <c r="Y302" s="28" t="inlineStr">
        <is>
          <t>Not Reported</t>
        </is>
      </c>
      <c r="Z302" s="28" t="inlineStr">
        <is>
          <t>24 Days</t>
        </is>
      </c>
      <c r="AA302" s="28" t="inlineStr">
        <is>
          <t>Met</t>
        </is>
      </c>
      <c r="AB302" s="110" t="n">
        <v>29</v>
      </c>
      <c r="AC302" s="28" t="inlineStr">
        <is>
          <t>Not Met</t>
        </is>
      </c>
      <c r="AD302" s="147" t="n">
        <v>19</v>
      </c>
      <c r="AE302" s="28" t="inlineStr">
        <is>
          <t>Met</t>
        </is>
      </c>
      <c r="AF302" s="95" t="n">
        <v>30</v>
      </c>
      <c r="AG302" s="28" t="inlineStr">
        <is>
          <t>Not Met</t>
        </is>
      </c>
      <c r="AH302" s="285" t="n">
        <v>42</v>
      </c>
      <c r="AI302" s="285" t="inlineStr">
        <is>
          <t>Not Met</t>
        </is>
      </c>
      <c r="AJ302" s="147" t="n">
        <v>20</v>
      </c>
      <c r="AK302" s="202" t="inlineStr">
        <is>
          <t>Met</t>
        </is>
      </c>
    </row>
    <row r="303">
      <c r="A303" s="21" t="inlineStr">
        <is>
          <t>SBI Card</t>
        </is>
      </c>
      <c r="B303" s="5" t="inlineStr">
        <is>
          <t>North</t>
        </is>
      </c>
      <c r="C303" s="277" t="inlineStr">
        <is>
          <t>Archana Trikha</t>
        </is>
      </c>
      <c r="D303" s="26" t="inlineStr">
        <is>
          <t>Rishab</t>
        </is>
      </c>
      <c r="E303" s="26" t="inlineStr">
        <is>
          <t>Category (B)</t>
        </is>
      </c>
      <c r="F303" s="21" t="inlineStr">
        <is>
          <t>Contractual SLA</t>
        </is>
      </c>
      <c r="G303" s="21" t="inlineStr">
        <is>
          <t>Yes</t>
        </is>
      </c>
      <c r="H303" s="27" t="inlineStr">
        <is>
          <t>Time to Fill (Band-4)</t>
        </is>
      </c>
      <c r="I303" s="14" t="inlineStr">
        <is>
          <t>30 Days</t>
        </is>
      </c>
      <c r="J303" s="28" t="inlineStr">
        <is>
          <t>Not Reported</t>
        </is>
      </c>
      <c r="K303" s="28" t="inlineStr">
        <is>
          <t>Not Reported</t>
        </is>
      </c>
      <c r="L303" s="17" t="inlineStr">
        <is>
          <t>12 Days</t>
        </is>
      </c>
      <c r="M303" s="28" t="inlineStr">
        <is>
          <t>Met</t>
        </is>
      </c>
      <c r="N303" s="17" t="inlineStr">
        <is>
          <t>25 Days</t>
        </is>
      </c>
      <c r="O303" s="28" t="inlineStr">
        <is>
          <t>Met</t>
        </is>
      </c>
      <c r="P303" s="29" t="inlineStr">
        <is>
          <t>21 Days</t>
        </is>
      </c>
      <c r="Q303" s="28" t="inlineStr">
        <is>
          <t>Met</t>
        </is>
      </c>
      <c r="R303" s="17" t="inlineStr">
        <is>
          <t>26 Days</t>
        </is>
      </c>
      <c r="S303" s="28" t="inlineStr">
        <is>
          <t>Met</t>
        </is>
      </c>
      <c r="T303" s="28" t="inlineStr">
        <is>
          <t>Not Reported</t>
        </is>
      </c>
      <c r="U303" s="28" t="inlineStr">
        <is>
          <t>Not Reported</t>
        </is>
      </c>
      <c r="V303" s="28" t="inlineStr">
        <is>
          <t>Not Reported</t>
        </is>
      </c>
      <c r="W303" s="28" t="inlineStr">
        <is>
          <t>Not Reported</t>
        </is>
      </c>
      <c r="X303" s="28" t="inlineStr">
        <is>
          <t>Not Reported</t>
        </is>
      </c>
      <c r="Y303" s="28" t="inlineStr">
        <is>
          <t>Not Reported</t>
        </is>
      </c>
      <c r="Z303" s="28" t="inlineStr">
        <is>
          <t xml:space="preserve">30 Days </t>
        </is>
      </c>
      <c r="AA303" s="28" t="inlineStr">
        <is>
          <t>Met</t>
        </is>
      </c>
      <c r="AB303" s="110" t="n">
        <v>36</v>
      </c>
      <c r="AC303" s="28" t="inlineStr">
        <is>
          <t>Not Met</t>
        </is>
      </c>
      <c r="AD303" s="148" t="n">
        <v>25</v>
      </c>
      <c r="AE303" s="28" t="inlineStr">
        <is>
          <t>Met</t>
        </is>
      </c>
      <c r="AF303" s="95" t="n">
        <v>8</v>
      </c>
      <c r="AG303" s="202" t="inlineStr">
        <is>
          <t>Met</t>
        </is>
      </c>
      <c r="AH303" s="285" t="n">
        <v>42</v>
      </c>
      <c r="AI303" s="285" t="inlineStr">
        <is>
          <t>Not Met</t>
        </is>
      </c>
      <c r="AJ303" s="147" t="n">
        <v>25</v>
      </c>
      <c r="AK303" s="202" t="inlineStr">
        <is>
          <t>Met</t>
        </is>
      </c>
    </row>
    <row r="304">
      <c r="A304" s="21" t="inlineStr">
        <is>
          <t>SBI Card</t>
        </is>
      </c>
      <c r="B304" s="5" t="inlineStr">
        <is>
          <t>North</t>
        </is>
      </c>
      <c r="C304" s="277" t="inlineStr">
        <is>
          <t>Archana Trikha</t>
        </is>
      </c>
      <c r="D304" s="26" t="inlineStr">
        <is>
          <t>Rishab</t>
        </is>
      </c>
      <c r="E304" s="26" t="inlineStr">
        <is>
          <t>Category (B)</t>
        </is>
      </c>
      <c r="F304" s="21" t="inlineStr">
        <is>
          <t>Contractual SLA</t>
        </is>
      </c>
      <c r="G304" s="21" t="inlineStr">
        <is>
          <t>Yes</t>
        </is>
      </c>
      <c r="H304" s="27" t="inlineStr">
        <is>
          <t>Time to Fill (Band-3)</t>
        </is>
      </c>
      <c r="I304" s="14" t="inlineStr">
        <is>
          <t>40 Days</t>
        </is>
      </c>
      <c r="J304" s="38" t="inlineStr">
        <is>
          <t>Not Reported</t>
        </is>
      </c>
      <c r="K304" s="38" t="inlineStr">
        <is>
          <t>Not Reported</t>
        </is>
      </c>
      <c r="L304" s="39" t="inlineStr">
        <is>
          <t>50 Days</t>
        </is>
      </c>
      <c r="M304" s="38" t="inlineStr">
        <is>
          <t>Not Met</t>
        </is>
      </c>
      <c r="N304" s="39" t="inlineStr">
        <is>
          <t>36 Days</t>
        </is>
      </c>
      <c r="O304" s="38" t="inlineStr">
        <is>
          <t>Met</t>
        </is>
      </c>
      <c r="P304" s="56" t="inlineStr">
        <is>
          <t>45 Days</t>
        </is>
      </c>
      <c r="Q304" s="38" t="inlineStr">
        <is>
          <t>Not Met</t>
        </is>
      </c>
      <c r="R304" s="39" t="inlineStr">
        <is>
          <t>81 Days</t>
        </is>
      </c>
      <c r="S304" s="38" t="inlineStr">
        <is>
          <t>Not Met</t>
        </is>
      </c>
      <c r="T304" s="38" t="inlineStr">
        <is>
          <t>Not Reported</t>
        </is>
      </c>
      <c r="U304" s="38" t="inlineStr">
        <is>
          <t>Not Reported</t>
        </is>
      </c>
      <c r="V304" s="38" t="inlineStr">
        <is>
          <t>Not Reported</t>
        </is>
      </c>
      <c r="W304" s="38" t="inlineStr">
        <is>
          <t>Not Reported</t>
        </is>
      </c>
      <c r="X304" s="38" t="inlineStr">
        <is>
          <t>Not Reported</t>
        </is>
      </c>
      <c r="Y304" s="38" t="inlineStr">
        <is>
          <t>Not Reported</t>
        </is>
      </c>
      <c r="Z304" s="28" t="inlineStr">
        <is>
          <t xml:space="preserve">NA </t>
        </is>
      </c>
      <c r="AA304" s="28" t="inlineStr">
        <is>
          <t>NA</t>
        </is>
      </c>
      <c r="AB304" s="110" t="n">
        <v>10</v>
      </c>
      <c r="AC304" s="28" t="inlineStr">
        <is>
          <t>Met</t>
        </is>
      </c>
      <c r="AD304" s="148" t="n">
        <v>70</v>
      </c>
      <c r="AE304" s="28" t="inlineStr">
        <is>
          <t>Not Met</t>
        </is>
      </c>
      <c r="AF304" s="95" t="inlineStr">
        <is>
          <t>NA</t>
        </is>
      </c>
      <c r="AG304" s="97" t="inlineStr">
        <is>
          <t>NA</t>
        </is>
      </c>
      <c r="AH304" s="285" t="n">
        <v>42</v>
      </c>
      <c r="AI304" s="285" t="inlineStr">
        <is>
          <t>Not Met</t>
        </is>
      </c>
      <c r="AJ304" s="147" t="n">
        <v>48</v>
      </c>
      <c r="AK304" s="28" t="inlineStr">
        <is>
          <t>Not Met</t>
        </is>
      </c>
    </row>
    <row r="305">
      <c r="A305" s="21" t="inlineStr">
        <is>
          <t>SBI Card</t>
        </is>
      </c>
      <c r="B305" s="5" t="inlineStr">
        <is>
          <t>North</t>
        </is>
      </c>
      <c r="C305" s="277" t="inlineStr">
        <is>
          <t>Archana Trikha</t>
        </is>
      </c>
      <c r="D305" s="26" t="inlineStr">
        <is>
          <t>Rishab</t>
        </is>
      </c>
      <c r="E305" s="26" t="inlineStr">
        <is>
          <t>Category (B)</t>
        </is>
      </c>
      <c r="F305" s="21" t="inlineStr">
        <is>
          <t>Contractual SLA</t>
        </is>
      </c>
      <c r="G305" s="21" t="inlineStr">
        <is>
          <t>Yes</t>
        </is>
      </c>
      <c r="H305" s="27" t="inlineStr">
        <is>
          <t>Time to Fill (Band-2)</t>
        </is>
      </c>
      <c r="I305" s="14" t="inlineStr">
        <is>
          <t>45 Days</t>
        </is>
      </c>
      <c r="J305" s="28" t="inlineStr">
        <is>
          <t>Not Reported</t>
        </is>
      </c>
      <c r="K305" s="28" t="inlineStr">
        <is>
          <t>Not Reported</t>
        </is>
      </c>
      <c r="L305" s="17" t="inlineStr">
        <is>
          <t xml:space="preserve">NA </t>
        </is>
      </c>
      <c r="M305" s="20" t="inlineStr">
        <is>
          <t>NA</t>
        </is>
      </c>
      <c r="N305" s="17" t="inlineStr">
        <is>
          <t xml:space="preserve">NA </t>
        </is>
      </c>
      <c r="O305" s="17" t="inlineStr">
        <is>
          <t xml:space="preserve">NA </t>
        </is>
      </c>
      <c r="P305" s="17" t="inlineStr">
        <is>
          <t xml:space="preserve">NA </t>
        </is>
      </c>
      <c r="Q305" s="17" t="inlineStr">
        <is>
          <t xml:space="preserve">NA </t>
        </is>
      </c>
      <c r="R305" s="17" t="inlineStr">
        <is>
          <t>NA</t>
        </is>
      </c>
      <c r="S305" s="20" t="inlineStr">
        <is>
          <t>NA</t>
        </is>
      </c>
      <c r="T305" s="28" t="inlineStr">
        <is>
          <t>Not Reported</t>
        </is>
      </c>
      <c r="U305" s="28" t="inlineStr">
        <is>
          <t>Not Reported</t>
        </is>
      </c>
      <c r="V305" s="28" t="inlineStr">
        <is>
          <t>Not Reported</t>
        </is>
      </c>
      <c r="W305" s="28" t="inlineStr">
        <is>
          <t>Not Reported</t>
        </is>
      </c>
      <c r="X305" s="28" t="inlineStr">
        <is>
          <t>Not Reported</t>
        </is>
      </c>
      <c r="Y305" s="28" t="inlineStr">
        <is>
          <t>Not Reported</t>
        </is>
      </c>
      <c r="Z305" s="28" t="inlineStr">
        <is>
          <t xml:space="preserve">NA </t>
        </is>
      </c>
      <c r="AA305" s="28" t="inlineStr">
        <is>
          <t>Met</t>
        </is>
      </c>
      <c r="AB305" s="110" t="n">
        <v>19</v>
      </c>
      <c r="AC305" s="28" t="inlineStr">
        <is>
          <t>Met</t>
        </is>
      </c>
      <c r="AD305" s="147" t="n">
        <v>24</v>
      </c>
      <c r="AE305" s="28" t="inlineStr">
        <is>
          <t>Met</t>
        </is>
      </c>
      <c r="AF305" s="95" t="inlineStr">
        <is>
          <t>NA</t>
        </is>
      </c>
      <c r="AG305" s="97" t="inlineStr">
        <is>
          <t>NA</t>
        </is>
      </c>
      <c r="AH305" s="285" t="n">
        <v>42</v>
      </c>
      <c r="AI305" s="285" t="inlineStr">
        <is>
          <t>Not Met</t>
        </is>
      </c>
      <c r="AJ305" s="147" t="n">
        <v>29</v>
      </c>
      <c r="AK305" s="202" t="inlineStr">
        <is>
          <t>Met</t>
        </is>
      </c>
    </row>
    <row r="306">
      <c r="A306" s="21" t="inlineStr">
        <is>
          <t>SBI Card</t>
        </is>
      </c>
      <c r="B306" s="5" t="inlineStr">
        <is>
          <t>North</t>
        </is>
      </c>
      <c r="C306" s="277" t="inlineStr">
        <is>
          <t>Archana Trikha</t>
        </is>
      </c>
      <c r="D306" s="26" t="inlineStr">
        <is>
          <t>Rishab</t>
        </is>
      </c>
      <c r="E306" s="26" t="inlineStr">
        <is>
          <t>Category (A)</t>
        </is>
      </c>
      <c r="F306" s="21" t="inlineStr">
        <is>
          <t>Internal KPI</t>
        </is>
      </c>
      <c r="G306" s="21" t="inlineStr">
        <is>
          <t>No</t>
        </is>
      </c>
      <c r="H306" s="21" t="inlineStr">
        <is>
          <t>Ageing</t>
        </is>
      </c>
      <c r="I306" s="11" t="n">
        <v>0.2</v>
      </c>
      <c r="J306" s="28" t="inlineStr">
        <is>
          <t>Not Reported</t>
        </is>
      </c>
      <c r="K306" s="28" t="inlineStr">
        <is>
          <t>Not Reported</t>
        </is>
      </c>
      <c r="L306" s="29" t="n">
        <v>0.16</v>
      </c>
      <c r="M306" s="28" t="inlineStr">
        <is>
          <t>Met</t>
        </is>
      </c>
      <c r="N306" s="29" t="n">
        <v>0.14</v>
      </c>
      <c r="O306" s="28" t="inlineStr">
        <is>
          <t>Met</t>
        </is>
      </c>
      <c r="P306" s="18" t="n">
        <v>0.14</v>
      </c>
      <c r="Q306" s="28" t="inlineStr">
        <is>
          <t>Met</t>
        </is>
      </c>
      <c r="R306" s="18" t="n">
        <v>0.05</v>
      </c>
      <c r="S306" s="28" t="inlineStr">
        <is>
          <t>Met</t>
        </is>
      </c>
      <c r="T306" s="28" t="inlineStr">
        <is>
          <t>Not Reported</t>
        </is>
      </c>
      <c r="U306" s="28" t="inlineStr">
        <is>
          <t>Not Reported</t>
        </is>
      </c>
      <c r="V306" s="28" t="inlineStr">
        <is>
          <t>Not Reported</t>
        </is>
      </c>
      <c r="W306" s="28" t="inlineStr">
        <is>
          <t>Not Reported</t>
        </is>
      </c>
      <c r="X306" s="28" t="inlineStr">
        <is>
          <t>Not Reported</t>
        </is>
      </c>
      <c r="Y306" s="28" t="inlineStr">
        <is>
          <t>Not Reported</t>
        </is>
      </c>
      <c r="Z306" s="29" t="n">
        <v>0.21</v>
      </c>
      <c r="AA306" s="28" t="inlineStr">
        <is>
          <t>Not Met</t>
        </is>
      </c>
      <c r="AB306" s="111" t="n">
        <v>0.2</v>
      </c>
      <c r="AC306" s="28" t="inlineStr">
        <is>
          <t>Met</t>
        </is>
      </c>
      <c r="AD306" s="102" t="n">
        <v>0.2</v>
      </c>
      <c r="AE306" s="28" t="inlineStr">
        <is>
          <t>Met</t>
        </is>
      </c>
      <c r="AF306" s="102" t="n">
        <v>0.24</v>
      </c>
      <c r="AG306" s="28" t="inlineStr">
        <is>
          <t>Not Met</t>
        </is>
      </c>
      <c r="AH306" s="285" t="n">
        <v>42</v>
      </c>
      <c r="AI306" s="285" t="inlineStr">
        <is>
          <t>Not Met</t>
        </is>
      </c>
      <c r="AJ306" s="102" t="n">
        <v>0.24</v>
      </c>
      <c r="AK306" s="28" t="inlineStr">
        <is>
          <t>Not Met</t>
        </is>
      </c>
    </row>
    <row r="307">
      <c r="A307" s="21" t="inlineStr">
        <is>
          <t>SBI Card</t>
        </is>
      </c>
      <c r="B307" s="5" t="inlineStr">
        <is>
          <t>North</t>
        </is>
      </c>
      <c r="C307" s="277" t="inlineStr">
        <is>
          <t>Archana Trikha</t>
        </is>
      </c>
      <c r="D307" s="26" t="inlineStr">
        <is>
          <t>Rishab</t>
        </is>
      </c>
      <c r="E307" s="26" t="inlineStr">
        <is>
          <t>Category (A)</t>
        </is>
      </c>
      <c r="F307" s="21" t="inlineStr">
        <is>
          <t>Internal KPI</t>
        </is>
      </c>
      <c r="G307" s="21" t="inlineStr">
        <is>
          <t>No</t>
        </is>
      </c>
      <c r="H307" s="27" t="inlineStr">
        <is>
          <t>First Time Right Ratio</t>
        </is>
      </c>
      <c r="I307" s="11" t="n">
        <v>0.7</v>
      </c>
      <c r="J307" s="28" t="inlineStr">
        <is>
          <t>Not Reported</t>
        </is>
      </c>
      <c r="K307" s="28" t="inlineStr">
        <is>
          <t>Not Reported</t>
        </is>
      </c>
      <c r="L307" s="28" t="inlineStr">
        <is>
          <t xml:space="preserve">NA </t>
        </is>
      </c>
      <c r="M307" s="20" t="inlineStr">
        <is>
          <t>NA</t>
        </is>
      </c>
      <c r="N307" s="28" t="inlineStr">
        <is>
          <t xml:space="preserve">NA </t>
        </is>
      </c>
      <c r="O307" s="28" t="inlineStr">
        <is>
          <t xml:space="preserve">NA </t>
        </is>
      </c>
      <c r="P307" s="28" t="inlineStr">
        <is>
          <t xml:space="preserve">NA </t>
        </is>
      </c>
      <c r="Q307" s="28" t="inlineStr">
        <is>
          <t xml:space="preserve">NA </t>
        </is>
      </c>
      <c r="R307" s="17" t="inlineStr">
        <is>
          <t>NA</t>
        </is>
      </c>
      <c r="S307" s="20" t="inlineStr">
        <is>
          <t>NA</t>
        </is>
      </c>
      <c r="T307" s="28" t="inlineStr">
        <is>
          <t>Not Reported</t>
        </is>
      </c>
      <c r="U307" s="28" t="inlineStr">
        <is>
          <t>Not Reported</t>
        </is>
      </c>
      <c r="V307" s="28" t="inlineStr">
        <is>
          <t>Not Reported</t>
        </is>
      </c>
      <c r="W307" s="28" t="inlineStr">
        <is>
          <t>Not Reported</t>
        </is>
      </c>
      <c r="X307" s="28" t="inlineStr">
        <is>
          <t>Not Reported</t>
        </is>
      </c>
      <c r="Y307" s="28" t="inlineStr">
        <is>
          <t>Not Reported</t>
        </is>
      </c>
      <c r="Z307" s="28" t="inlineStr">
        <is>
          <t xml:space="preserve">NA </t>
        </is>
      </c>
      <c r="AA307" s="20" t="inlineStr">
        <is>
          <t>NA</t>
        </is>
      </c>
      <c r="AB307" s="93" t="inlineStr">
        <is>
          <t>NA</t>
        </is>
      </c>
      <c r="AC307" s="20" t="inlineStr">
        <is>
          <t>NA</t>
        </is>
      </c>
      <c r="AD307" s="95" t="inlineStr">
        <is>
          <t>NA</t>
        </is>
      </c>
      <c r="AE307" s="126" t="inlineStr">
        <is>
          <t>NA</t>
        </is>
      </c>
      <c r="AF307" s="93" t="inlineStr">
        <is>
          <t>NA</t>
        </is>
      </c>
      <c r="AG307" s="97" t="inlineStr">
        <is>
          <t>NA</t>
        </is>
      </c>
      <c r="AH307" s="285" t="n">
        <v>42</v>
      </c>
      <c r="AI307" s="285" t="inlineStr">
        <is>
          <t>Not Met</t>
        </is>
      </c>
      <c r="AJ307" s="93" t="inlineStr">
        <is>
          <t>NA</t>
        </is>
      </c>
      <c r="AK307" s="126" t="inlineStr">
        <is>
          <t>NA</t>
        </is>
      </c>
    </row>
    <row r="308">
      <c r="A308" s="21" t="inlineStr">
        <is>
          <t>SBI Card</t>
        </is>
      </c>
      <c r="B308" s="5" t="inlineStr">
        <is>
          <t>North</t>
        </is>
      </c>
      <c r="C308" s="277" t="inlineStr">
        <is>
          <t>Archana Trikha</t>
        </is>
      </c>
      <c r="D308" s="26" t="inlineStr">
        <is>
          <t>Rishab</t>
        </is>
      </c>
      <c r="E308" s="26" t="inlineStr">
        <is>
          <t>Category (A)</t>
        </is>
      </c>
      <c r="F308" s="21" t="inlineStr">
        <is>
          <t>Internal KPI</t>
        </is>
      </c>
      <c r="G308" s="21" t="inlineStr">
        <is>
          <t>No</t>
        </is>
      </c>
      <c r="H308" s="27" t="inlineStr">
        <is>
          <t>Hit Ratio</t>
        </is>
      </c>
      <c r="I308" s="11" t="n">
        <v>0.8</v>
      </c>
      <c r="J308" s="28" t="inlineStr">
        <is>
          <t>Not Reported</t>
        </is>
      </c>
      <c r="K308" s="28" t="inlineStr">
        <is>
          <t>Not Reported</t>
        </is>
      </c>
      <c r="L308" s="28" t="inlineStr">
        <is>
          <t xml:space="preserve">NA </t>
        </is>
      </c>
      <c r="M308" s="20" t="inlineStr">
        <is>
          <t>NA</t>
        </is>
      </c>
      <c r="N308" s="28" t="inlineStr">
        <is>
          <t xml:space="preserve">NA </t>
        </is>
      </c>
      <c r="O308" s="28" t="inlineStr">
        <is>
          <t xml:space="preserve">NA </t>
        </is>
      </c>
      <c r="P308" s="28" t="inlineStr">
        <is>
          <t xml:space="preserve">NA </t>
        </is>
      </c>
      <c r="Q308" s="28" t="inlineStr">
        <is>
          <t xml:space="preserve">NA </t>
        </is>
      </c>
      <c r="R308" s="17" t="inlineStr">
        <is>
          <t>NA</t>
        </is>
      </c>
      <c r="S308" s="20" t="inlineStr">
        <is>
          <t>NA</t>
        </is>
      </c>
      <c r="T308" s="28" t="inlineStr">
        <is>
          <t>Not Reported</t>
        </is>
      </c>
      <c r="U308" s="28" t="inlineStr">
        <is>
          <t>Not Reported</t>
        </is>
      </c>
      <c r="V308" s="28" t="inlineStr">
        <is>
          <t>Not Reported</t>
        </is>
      </c>
      <c r="W308" s="28" t="inlineStr">
        <is>
          <t>Not Reported</t>
        </is>
      </c>
      <c r="X308" s="28" t="inlineStr">
        <is>
          <t>Not Reported</t>
        </is>
      </c>
      <c r="Y308" s="28" t="inlineStr">
        <is>
          <t>Not Reported</t>
        </is>
      </c>
      <c r="Z308" s="28" t="inlineStr">
        <is>
          <t xml:space="preserve">NA </t>
        </is>
      </c>
      <c r="AA308" s="20" t="inlineStr">
        <is>
          <t>NA</t>
        </is>
      </c>
      <c r="AB308" s="93" t="inlineStr">
        <is>
          <t>NA</t>
        </is>
      </c>
      <c r="AC308" s="20" t="inlineStr">
        <is>
          <t>NA</t>
        </is>
      </c>
      <c r="AD308" s="95" t="inlineStr">
        <is>
          <t>NA</t>
        </is>
      </c>
      <c r="AE308" s="126" t="inlineStr">
        <is>
          <t>NA</t>
        </is>
      </c>
      <c r="AF308" s="93" t="inlineStr">
        <is>
          <t>NA</t>
        </is>
      </c>
      <c r="AG308" s="97" t="inlineStr">
        <is>
          <t>NA</t>
        </is>
      </c>
      <c r="AH308" s="285" t="n">
        <v>42</v>
      </c>
      <c r="AI308" s="285" t="inlineStr">
        <is>
          <t>Not Met</t>
        </is>
      </c>
      <c r="AJ308" s="93" t="inlineStr">
        <is>
          <t>NA</t>
        </is>
      </c>
      <c r="AK308" s="126" t="inlineStr">
        <is>
          <t>NA</t>
        </is>
      </c>
    </row>
    <row r="309">
      <c r="A309" s="21" t="inlineStr">
        <is>
          <t>SBI Card</t>
        </is>
      </c>
      <c r="B309" s="5" t="inlineStr">
        <is>
          <t>North</t>
        </is>
      </c>
      <c r="C309" s="277" t="inlineStr">
        <is>
          <t>Archana Trikha</t>
        </is>
      </c>
      <c r="D309" s="26" t="inlineStr">
        <is>
          <t>Rishab</t>
        </is>
      </c>
      <c r="E309" s="26" t="inlineStr">
        <is>
          <t>Category (A)</t>
        </is>
      </c>
      <c r="F309" s="21" t="inlineStr">
        <is>
          <t>Internal KPI</t>
        </is>
      </c>
      <c r="G309" s="21" t="inlineStr">
        <is>
          <t>No</t>
        </is>
      </c>
      <c r="H309" s="21" t="inlineStr">
        <is>
          <t>Offer Drop</t>
        </is>
      </c>
      <c r="I309" s="11" t="n">
        <v>0.3</v>
      </c>
      <c r="J309" s="28" t="inlineStr">
        <is>
          <t>Not Reported</t>
        </is>
      </c>
      <c r="K309" s="28" t="inlineStr">
        <is>
          <t>Not Reported</t>
        </is>
      </c>
      <c r="L309" s="29" t="n">
        <v>0.24</v>
      </c>
      <c r="M309" s="28" t="inlineStr">
        <is>
          <t>Met</t>
        </is>
      </c>
      <c r="N309" s="29" t="n">
        <v>0.01</v>
      </c>
      <c r="O309" s="28" t="inlineStr">
        <is>
          <t>Met</t>
        </is>
      </c>
      <c r="P309" s="18" t="n">
        <v>0.16</v>
      </c>
      <c r="Q309" s="28" t="inlineStr">
        <is>
          <t>Met</t>
        </is>
      </c>
      <c r="R309" s="18" t="n">
        <v>0</v>
      </c>
      <c r="S309" s="28" t="inlineStr">
        <is>
          <t>Met</t>
        </is>
      </c>
      <c r="T309" s="28" t="inlineStr">
        <is>
          <t>Not Reported</t>
        </is>
      </c>
      <c r="U309" s="28" t="inlineStr">
        <is>
          <t>Not Reported</t>
        </is>
      </c>
      <c r="V309" s="28" t="inlineStr">
        <is>
          <t>Not Reported</t>
        </is>
      </c>
      <c r="W309" s="28" t="inlineStr">
        <is>
          <t>Not Reported</t>
        </is>
      </c>
      <c r="X309" s="28" t="inlineStr">
        <is>
          <t>Not Reported</t>
        </is>
      </c>
      <c r="Y309" s="28" t="inlineStr">
        <is>
          <t>Not Reported</t>
        </is>
      </c>
      <c r="Z309" s="29" t="n">
        <v>0.01</v>
      </c>
      <c r="AA309" s="28" t="inlineStr">
        <is>
          <t>Met</t>
        </is>
      </c>
      <c r="AB309" s="111" t="n">
        <v>0.01</v>
      </c>
      <c r="AC309" s="28" t="inlineStr">
        <is>
          <t>Met</t>
        </is>
      </c>
      <c r="AD309" s="102" t="n">
        <v>0.03</v>
      </c>
      <c r="AE309" s="28" t="inlineStr">
        <is>
          <t>Met</t>
        </is>
      </c>
      <c r="AF309" s="102" t="n">
        <v>0</v>
      </c>
      <c r="AG309" s="202" t="inlineStr">
        <is>
          <t>Met</t>
        </is>
      </c>
      <c r="AH309" s="285" t="n">
        <v>42</v>
      </c>
      <c r="AI309" s="285" t="inlineStr">
        <is>
          <t>Not Met</t>
        </is>
      </c>
      <c r="AJ309" s="96" t="n">
        <v>0.2</v>
      </c>
      <c r="AK309" s="202" t="inlineStr">
        <is>
          <t>Met</t>
        </is>
      </c>
    </row>
    <row r="310">
      <c r="A310" s="164" t="inlineStr">
        <is>
          <t>SBI Card</t>
        </is>
      </c>
      <c r="B310" s="165" t="inlineStr">
        <is>
          <t>North</t>
        </is>
      </c>
      <c r="C310" s="277" t="inlineStr">
        <is>
          <t>Archana Trikha</t>
        </is>
      </c>
      <c r="D310" s="166" t="inlineStr">
        <is>
          <t>Rishab</t>
        </is>
      </c>
      <c r="E310" s="166" t="inlineStr">
        <is>
          <t>Category (A)</t>
        </is>
      </c>
      <c r="F310" s="164" t="inlineStr">
        <is>
          <t>Internal KPI</t>
        </is>
      </c>
      <c r="G310" s="164" t="inlineStr">
        <is>
          <t>No</t>
        </is>
      </c>
      <c r="H310" s="167" t="inlineStr">
        <is>
          <t xml:space="preserve">Fulfilment </t>
        </is>
      </c>
      <c r="I310" s="173" t="n">
        <v>0.6</v>
      </c>
      <c r="J310" s="170" t="inlineStr">
        <is>
          <t>Not Reported</t>
        </is>
      </c>
      <c r="K310" s="170" t="inlineStr">
        <is>
          <t>Not Reported</t>
        </is>
      </c>
      <c r="L310" s="170" t="inlineStr">
        <is>
          <t xml:space="preserve">NA </t>
        </is>
      </c>
      <c r="M310" s="191" t="inlineStr">
        <is>
          <t>NA</t>
        </is>
      </c>
      <c r="N310" s="170" t="inlineStr">
        <is>
          <t xml:space="preserve">NA </t>
        </is>
      </c>
      <c r="O310" s="170" t="inlineStr">
        <is>
          <t xml:space="preserve">NA </t>
        </is>
      </c>
      <c r="P310" s="170" t="inlineStr">
        <is>
          <t xml:space="preserve">NA </t>
        </is>
      </c>
      <c r="Q310" s="170" t="inlineStr">
        <is>
          <t xml:space="preserve">NA </t>
        </is>
      </c>
      <c r="R310" s="171" t="inlineStr">
        <is>
          <t>NA</t>
        </is>
      </c>
      <c r="S310" s="191" t="inlineStr">
        <is>
          <t>NA</t>
        </is>
      </c>
      <c r="T310" s="170" t="inlineStr">
        <is>
          <t>Not Reported</t>
        </is>
      </c>
      <c r="U310" s="170" t="inlineStr">
        <is>
          <t>Not Reported</t>
        </is>
      </c>
      <c r="V310" s="170" t="inlineStr">
        <is>
          <t>Not Reported</t>
        </is>
      </c>
      <c r="W310" s="170" t="inlineStr">
        <is>
          <t>Not Reported</t>
        </is>
      </c>
      <c r="X310" s="170" t="inlineStr">
        <is>
          <t>Not Reported</t>
        </is>
      </c>
      <c r="Y310" s="170" t="inlineStr">
        <is>
          <t>Not Reported</t>
        </is>
      </c>
      <c r="Z310" s="170" t="inlineStr">
        <is>
          <t xml:space="preserve">NA </t>
        </is>
      </c>
      <c r="AA310" s="191" t="inlineStr">
        <is>
          <t>NA</t>
        </is>
      </c>
      <c r="AB310" s="162" t="inlineStr">
        <is>
          <t>NA</t>
        </is>
      </c>
      <c r="AC310" s="191" t="inlineStr">
        <is>
          <t>NA</t>
        </is>
      </c>
      <c r="AD310" s="189" t="inlineStr">
        <is>
          <t>NA</t>
        </is>
      </c>
      <c r="AE310" s="177" t="inlineStr">
        <is>
          <t>NA</t>
        </is>
      </c>
      <c r="AF310" s="159" t="inlineStr">
        <is>
          <t>NA</t>
        </is>
      </c>
      <c r="AG310" s="97" t="inlineStr">
        <is>
          <t>NA</t>
        </is>
      </c>
      <c r="AH310" s="285" t="n">
        <v>42</v>
      </c>
      <c r="AI310" s="285" t="inlineStr">
        <is>
          <t>Not Met</t>
        </is>
      </c>
      <c r="AJ310" s="159" t="inlineStr">
        <is>
          <t>NA</t>
        </is>
      </c>
      <c r="AK310" s="126" t="inlineStr">
        <is>
          <t>NA</t>
        </is>
      </c>
    </row>
    <row r="311">
      <c r="A311" s="21" t="inlineStr">
        <is>
          <t>Schaeffler</t>
        </is>
      </c>
      <c r="B311" s="5" t="inlineStr">
        <is>
          <t>West 2</t>
        </is>
      </c>
      <c r="C311" s="76" t="inlineStr">
        <is>
          <t>Shweta</t>
        </is>
      </c>
      <c r="D311" s="26" t="inlineStr">
        <is>
          <t>Debashreeta</t>
        </is>
      </c>
      <c r="E311" s="26" t="inlineStr">
        <is>
          <t>Category (B)</t>
        </is>
      </c>
      <c r="F311" s="21" t="inlineStr">
        <is>
          <t>Contractual SLA</t>
        </is>
      </c>
      <c r="G311" s="21" t="inlineStr">
        <is>
          <t>Yes</t>
        </is>
      </c>
      <c r="H311" s="27" t="inlineStr">
        <is>
          <t>Time to Hire</t>
        </is>
      </c>
      <c r="I311" s="14" t="inlineStr">
        <is>
          <t>75 Days</t>
        </is>
      </c>
      <c r="J311" s="57" t="n">
        <v>44</v>
      </c>
      <c r="K311" s="28" t="inlineStr">
        <is>
          <t>Met</t>
        </is>
      </c>
      <c r="L311" s="14" t="n">
        <v>88</v>
      </c>
      <c r="M311" s="28" t="inlineStr">
        <is>
          <t>Not Met</t>
        </is>
      </c>
      <c r="N311" s="28" t="n">
        <v>40</v>
      </c>
      <c r="O311" s="28" t="inlineStr">
        <is>
          <t>Met</t>
        </is>
      </c>
      <c r="P311" s="28" t="n">
        <v>37</v>
      </c>
      <c r="Q311" s="28" t="inlineStr">
        <is>
          <t>Met</t>
        </is>
      </c>
      <c r="R311" s="14" t="n">
        <v>24</v>
      </c>
      <c r="S311" s="28" t="inlineStr">
        <is>
          <t>Met</t>
        </is>
      </c>
      <c r="T311" s="14" t="n">
        <v>24</v>
      </c>
      <c r="U311" s="28" t="inlineStr">
        <is>
          <t>Met</t>
        </is>
      </c>
      <c r="V311" s="28" t="n">
        <v>31</v>
      </c>
      <c r="W311" s="28" t="inlineStr">
        <is>
          <t>Met</t>
        </is>
      </c>
      <c r="X311" s="14" t="inlineStr">
        <is>
          <t>Not Reported</t>
        </is>
      </c>
      <c r="Y311" s="28" t="inlineStr">
        <is>
          <t>Not Reported</t>
        </is>
      </c>
      <c r="Z311" s="28" t="inlineStr">
        <is>
          <t>13 Days</t>
        </is>
      </c>
      <c r="AA311" s="28" t="inlineStr">
        <is>
          <t>Met</t>
        </is>
      </c>
      <c r="AB311" s="90" t="n">
        <v>17</v>
      </c>
      <c r="AC311" s="28" t="inlineStr">
        <is>
          <t>Met</t>
        </is>
      </c>
      <c r="AD311" s="97" t="inlineStr">
        <is>
          <t>Not Reported</t>
        </is>
      </c>
      <c r="AE311" s="97" t="inlineStr">
        <is>
          <t>Not Reported</t>
        </is>
      </c>
      <c r="AF311" s="147" t="inlineStr">
        <is>
          <t>Not Reported</t>
        </is>
      </c>
      <c r="AG311" s="149" t="inlineStr">
        <is>
          <t>Not Reported</t>
        </is>
      </c>
      <c r="AH311" s="285" t="n">
        <v>0</v>
      </c>
      <c r="AI311" s="285" t="inlineStr">
        <is>
          <t>Not Reported</t>
        </is>
      </c>
      <c r="AJ311" s="147" t="inlineStr">
        <is>
          <t>Not Reported</t>
        </is>
      </c>
      <c r="AK311" s="97" t="inlineStr">
        <is>
          <t>Not Reported</t>
        </is>
      </c>
    </row>
    <row r="312">
      <c r="A312" s="21" t="inlineStr">
        <is>
          <t>Schaeffler</t>
        </is>
      </c>
      <c r="B312" s="5" t="inlineStr">
        <is>
          <t>West 2</t>
        </is>
      </c>
      <c r="C312" s="76" t="inlineStr">
        <is>
          <t>Shweta</t>
        </is>
      </c>
      <c r="D312" s="26" t="inlineStr">
        <is>
          <t>Debashreeta</t>
        </is>
      </c>
      <c r="E312" s="26" t="inlineStr">
        <is>
          <t>Category (B)</t>
        </is>
      </c>
      <c r="F312" s="21" t="inlineStr">
        <is>
          <t>Contractual SLA</t>
        </is>
      </c>
      <c r="G312" s="21" t="inlineStr">
        <is>
          <t>Yes</t>
        </is>
      </c>
      <c r="H312" s="27" t="inlineStr">
        <is>
          <t>Time to Fill</t>
        </is>
      </c>
      <c r="I312" s="14" t="inlineStr">
        <is>
          <t>60 Days</t>
        </is>
      </c>
      <c r="J312" s="57" t="n">
        <v>70</v>
      </c>
      <c r="K312" s="28" t="inlineStr">
        <is>
          <t>Not Met</t>
        </is>
      </c>
      <c r="L312" s="14" t="n">
        <v>23</v>
      </c>
      <c r="M312" s="28" t="inlineStr">
        <is>
          <t>Met</t>
        </is>
      </c>
      <c r="N312" s="28" t="n">
        <v>67</v>
      </c>
      <c r="O312" s="28" t="inlineStr">
        <is>
          <t>Not Met</t>
        </is>
      </c>
      <c r="P312" s="28" t="n">
        <v>73</v>
      </c>
      <c r="Q312" s="28" t="inlineStr">
        <is>
          <t>Not Met</t>
        </is>
      </c>
      <c r="R312" s="14" t="n">
        <v>74</v>
      </c>
      <c r="S312" s="28" t="inlineStr">
        <is>
          <t>Not Met</t>
        </is>
      </c>
      <c r="T312" s="14" t="n">
        <v>65</v>
      </c>
      <c r="U312" s="28" t="inlineStr">
        <is>
          <t>Not Met</t>
        </is>
      </c>
      <c r="V312" s="28" t="n">
        <v>83</v>
      </c>
      <c r="W312" s="28" t="inlineStr">
        <is>
          <t>Not Met</t>
        </is>
      </c>
      <c r="X312" s="14" t="inlineStr">
        <is>
          <t>Not Reported</t>
        </is>
      </c>
      <c r="Y312" s="28" t="inlineStr">
        <is>
          <t>Not Reported</t>
        </is>
      </c>
      <c r="Z312" s="28" t="inlineStr">
        <is>
          <t>60 Days</t>
        </is>
      </c>
      <c r="AA312" s="28" t="inlineStr">
        <is>
          <t>Met</t>
        </is>
      </c>
      <c r="AB312" s="90" t="n">
        <v>66</v>
      </c>
      <c r="AC312" s="28" t="inlineStr">
        <is>
          <t>Not Met</t>
        </is>
      </c>
      <c r="AD312" s="97" t="inlineStr">
        <is>
          <t>Not Reported</t>
        </is>
      </c>
      <c r="AE312" s="97" t="inlineStr">
        <is>
          <t>Not Reported</t>
        </is>
      </c>
      <c r="AF312" s="147" t="inlineStr">
        <is>
          <t>Not Reported</t>
        </is>
      </c>
      <c r="AG312" s="149" t="inlineStr">
        <is>
          <t>Not Reported</t>
        </is>
      </c>
      <c r="AH312" s="285" t="n">
        <v>0</v>
      </c>
      <c r="AI312" s="285" t="inlineStr">
        <is>
          <t>Not Reported</t>
        </is>
      </c>
      <c r="AJ312" s="147" t="inlineStr">
        <is>
          <t>Not Reported</t>
        </is>
      </c>
      <c r="AK312" s="97" t="inlineStr">
        <is>
          <t>Not Reported</t>
        </is>
      </c>
    </row>
    <row r="313">
      <c r="A313" s="21" t="inlineStr">
        <is>
          <t>Schaeffler</t>
        </is>
      </c>
      <c r="B313" s="5" t="inlineStr">
        <is>
          <t>West 2</t>
        </is>
      </c>
      <c r="C313" s="76" t="inlineStr">
        <is>
          <t>Shweta</t>
        </is>
      </c>
      <c r="D313" s="26" t="inlineStr">
        <is>
          <t>Debashreeta</t>
        </is>
      </c>
      <c r="E313" s="26" t="inlineStr">
        <is>
          <t>Category (B)</t>
        </is>
      </c>
      <c r="F313" s="21" t="inlineStr">
        <is>
          <t>Internal KPI</t>
        </is>
      </c>
      <c r="G313" s="21" t="inlineStr">
        <is>
          <t>No</t>
        </is>
      </c>
      <c r="H313" s="21" t="inlineStr">
        <is>
          <t>Ageing</t>
        </is>
      </c>
      <c r="I313" s="11" t="n">
        <v>0.15</v>
      </c>
      <c r="J313" s="28" t="inlineStr">
        <is>
          <t>NA</t>
        </is>
      </c>
      <c r="K313" s="28" t="inlineStr">
        <is>
          <t>NA</t>
        </is>
      </c>
      <c r="L313" s="14" t="inlineStr">
        <is>
          <t>Not reported</t>
        </is>
      </c>
      <c r="M313" s="28" t="inlineStr">
        <is>
          <t>Not Reported</t>
        </is>
      </c>
      <c r="N313" s="28" t="inlineStr">
        <is>
          <t>Not reported</t>
        </is>
      </c>
      <c r="O313" s="28" t="inlineStr">
        <is>
          <t>Not Reported</t>
        </is>
      </c>
      <c r="P313" s="28" t="inlineStr">
        <is>
          <t>Not reported</t>
        </is>
      </c>
      <c r="Q313" s="28" t="inlineStr">
        <is>
          <t>Not Reported</t>
        </is>
      </c>
      <c r="R313" s="28" t="inlineStr">
        <is>
          <t>Not Reported</t>
        </is>
      </c>
      <c r="S313" s="28" t="inlineStr">
        <is>
          <t xml:space="preserve">Not Reported </t>
        </is>
      </c>
      <c r="T313" s="14" t="inlineStr">
        <is>
          <t>Not Reported</t>
        </is>
      </c>
      <c r="U313" s="28" t="inlineStr">
        <is>
          <t>Not Reported</t>
        </is>
      </c>
      <c r="V313" s="14" t="inlineStr">
        <is>
          <t>Not Reported</t>
        </is>
      </c>
      <c r="W313" s="28" t="inlineStr">
        <is>
          <t>Not Reported</t>
        </is>
      </c>
      <c r="X313" s="14" t="inlineStr">
        <is>
          <t>Not Reported</t>
        </is>
      </c>
      <c r="Y313" s="28" t="inlineStr">
        <is>
          <t>Not Reported</t>
        </is>
      </c>
      <c r="Z313" s="28" t="inlineStr">
        <is>
          <t>Not Reported</t>
        </is>
      </c>
      <c r="AA313" s="28" t="inlineStr">
        <is>
          <t>Not Reported</t>
        </is>
      </c>
      <c r="AB313" s="97" t="inlineStr">
        <is>
          <t>Not Reported</t>
        </is>
      </c>
      <c r="AC313" s="90" t="inlineStr">
        <is>
          <t>Not Reported</t>
        </is>
      </c>
      <c r="AD313" s="97" t="inlineStr">
        <is>
          <t>Not Reported</t>
        </is>
      </c>
      <c r="AE313" s="127" t="inlineStr">
        <is>
          <t>Not Reported</t>
        </is>
      </c>
      <c r="AF313" s="147" t="inlineStr">
        <is>
          <t>Not Reported</t>
        </is>
      </c>
      <c r="AG313" s="149" t="inlineStr">
        <is>
          <t>Not Reported</t>
        </is>
      </c>
      <c r="AH313" s="285" t="n">
        <v>0</v>
      </c>
      <c r="AI313" s="285" t="inlineStr">
        <is>
          <t>Not Reported</t>
        </is>
      </c>
      <c r="AJ313" s="147" t="inlineStr">
        <is>
          <t>Not Reported</t>
        </is>
      </c>
      <c r="AK313" s="127" t="inlineStr">
        <is>
          <t>Not Reported</t>
        </is>
      </c>
    </row>
    <row r="314">
      <c r="A314" s="21" t="inlineStr">
        <is>
          <t>Schaeffler</t>
        </is>
      </c>
      <c r="B314" s="5" t="inlineStr">
        <is>
          <t>West 2</t>
        </is>
      </c>
      <c r="C314" s="76" t="inlineStr">
        <is>
          <t>Shweta</t>
        </is>
      </c>
      <c r="D314" s="26" t="inlineStr">
        <is>
          <t>Debashreeta</t>
        </is>
      </c>
      <c r="E314" s="26" t="inlineStr">
        <is>
          <t>Category (B)</t>
        </is>
      </c>
      <c r="F314" s="21" t="inlineStr">
        <is>
          <t>Internal KPI</t>
        </is>
      </c>
      <c r="G314" s="21" t="inlineStr">
        <is>
          <t>No</t>
        </is>
      </c>
      <c r="H314" s="27" t="inlineStr">
        <is>
          <t>First Time Right Ratio</t>
        </is>
      </c>
      <c r="I314" s="11" t="n">
        <v>0.7</v>
      </c>
      <c r="J314" s="29" t="n">
        <v>0.6899999999999999</v>
      </c>
      <c r="K314" s="28" t="inlineStr">
        <is>
          <t>Not Met</t>
        </is>
      </c>
      <c r="L314" s="20" t="n">
        <v>0.7522935779816514</v>
      </c>
      <c r="M314" s="28" t="inlineStr">
        <is>
          <t>Met</t>
        </is>
      </c>
      <c r="N314" s="52" t="n">
        <v>0.8</v>
      </c>
      <c r="O314" s="28" t="inlineStr">
        <is>
          <t>Met</t>
        </is>
      </c>
      <c r="P314" s="52" t="n">
        <v>0.76</v>
      </c>
      <c r="Q314" s="28" t="inlineStr">
        <is>
          <t>Met</t>
        </is>
      </c>
      <c r="R314" s="29" t="n">
        <v>0.7</v>
      </c>
      <c r="S314" s="28" t="inlineStr">
        <is>
          <t>Met</t>
        </is>
      </c>
      <c r="T314" s="20" t="n">
        <v>0.63</v>
      </c>
      <c r="U314" s="28" t="inlineStr">
        <is>
          <t>Not Met</t>
        </is>
      </c>
      <c r="V314" s="52" t="n">
        <v>0.3837209302325582</v>
      </c>
      <c r="W314" s="28" t="inlineStr">
        <is>
          <t>Not Met</t>
        </is>
      </c>
      <c r="X314" s="14" t="inlineStr">
        <is>
          <t>Not Reported</t>
        </is>
      </c>
      <c r="Y314" s="28" t="inlineStr">
        <is>
          <t>Not Reported</t>
        </is>
      </c>
      <c r="Z314" s="28" t="inlineStr">
        <is>
          <t>Not Reported</t>
        </is>
      </c>
      <c r="AA314" s="28" t="inlineStr">
        <is>
          <t>Not Reported</t>
        </is>
      </c>
      <c r="AB314" s="83" t="n">
        <v>0.62</v>
      </c>
      <c r="AC314" s="28" t="inlineStr">
        <is>
          <t>Not Met</t>
        </is>
      </c>
      <c r="AD314" s="97" t="inlineStr">
        <is>
          <t>Not Reported</t>
        </is>
      </c>
      <c r="AE314" s="126" t="inlineStr">
        <is>
          <t>Not Reported</t>
        </is>
      </c>
      <c r="AF314" s="147" t="inlineStr">
        <is>
          <t>Not Reported</t>
        </is>
      </c>
      <c r="AG314" s="149" t="inlineStr">
        <is>
          <t>Not Reported</t>
        </is>
      </c>
      <c r="AH314" s="285" t="n">
        <v>0</v>
      </c>
      <c r="AI314" s="285" t="inlineStr">
        <is>
          <t>Not Reported</t>
        </is>
      </c>
      <c r="AJ314" s="147" t="inlineStr">
        <is>
          <t>Not Reported</t>
        </is>
      </c>
      <c r="AK314" s="126" t="inlineStr">
        <is>
          <t>Not Reported</t>
        </is>
      </c>
    </row>
    <row r="315">
      <c r="A315" s="21" t="inlineStr">
        <is>
          <t>Schaeffler</t>
        </is>
      </c>
      <c r="B315" s="5" t="inlineStr">
        <is>
          <t>West 2</t>
        </is>
      </c>
      <c r="C315" s="76" t="inlineStr">
        <is>
          <t>Shweta</t>
        </is>
      </c>
      <c r="D315" s="26" t="inlineStr">
        <is>
          <t>Debashreeta</t>
        </is>
      </c>
      <c r="E315" s="26" t="inlineStr">
        <is>
          <t>Category (B)</t>
        </is>
      </c>
      <c r="F315" s="21" t="inlineStr">
        <is>
          <t>Contractual SLA</t>
        </is>
      </c>
      <c r="G315" s="21" t="inlineStr">
        <is>
          <t>Yes</t>
        </is>
      </c>
      <c r="H315" s="27" t="inlineStr">
        <is>
          <t>Hit Ratio</t>
        </is>
      </c>
      <c r="I315" s="16" t="n">
        <v>0.3756944444444444</v>
      </c>
      <c r="J315" s="58" t="n">
        <v>0.2506944444444444</v>
      </c>
      <c r="K315" s="59" t="inlineStr">
        <is>
          <t>Met</t>
        </is>
      </c>
      <c r="L315" s="60" t="n">
        <v>0.2923611111111111</v>
      </c>
      <c r="M315" s="59" t="inlineStr">
        <is>
          <t>Met</t>
        </is>
      </c>
      <c r="N315" s="60" t="n">
        <v>0.2506944444444444</v>
      </c>
      <c r="O315" s="59" t="inlineStr">
        <is>
          <t>Met</t>
        </is>
      </c>
      <c r="P315" s="60" t="n">
        <v>0.2923611111111111</v>
      </c>
      <c r="Q315" s="59" t="inlineStr">
        <is>
          <t>Met</t>
        </is>
      </c>
      <c r="R315" s="59" t="inlineStr">
        <is>
          <t>Not Reported</t>
        </is>
      </c>
      <c r="S315" s="59" t="inlineStr">
        <is>
          <t xml:space="preserve">Not Reported </t>
        </is>
      </c>
      <c r="T315" s="61" t="n">
        <v>0.009722222222222222</v>
      </c>
      <c r="U315" s="59" t="inlineStr">
        <is>
          <t>Not Met</t>
        </is>
      </c>
      <c r="V315" s="62" t="n">
        <v>0.01</v>
      </c>
      <c r="W315" s="59" t="inlineStr">
        <is>
          <t>Not Met</t>
        </is>
      </c>
      <c r="X315" s="63" t="inlineStr">
        <is>
          <t>Not Reported</t>
        </is>
      </c>
      <c r="Y315" s="59" t="inlineStr">
        <is>
          <t>Not Reported</t>
        </is>
      </c>
      <c r="Z315" s="28" t="inlineStr">
        <is>
          <t>Not Reported</t>
        </is>
      </c>
      <c r="AA315" s="28" t="inlineStr">
        <is>
          <t>Not Reported</t>
        </is>
      </c>
      <c r="AB315" s="112" t="n">
        <v>0.5423611111111111</v>
      </c>
      <c r="AC315" s="28" t="inlineStr">
        <is>
          <t>Not Met</t>
        </is>
      </c>
      <c r="AD315" s="97" t="inlineStr">
        <is>
          <t>Not Reported</t>
        </is>
      </c>
      <c r="AE315" s="126" t="inlineStr">
        <is>
          <t>Not Reported</t>
        </is>
      </c>
      <c r="AF315" s="147" t="inlineStr">
        <is>
          <t>Not Reported</t>
        </is>
      </c>
      <c r="AG315" s="149" t="inlineStr">
        <is>
          <t>Not Reported</t>
        </is>
      </c>
      <c r="AH315" s="285" t="n">
        <v>0</v>
      </c>
      <c r="AI315" s="285" t="inlineStr">
        <is>
          <t>Not Reported</t>
        </is>
      </c>
      <c r="AJ315" s="147" t="inlineStr">
        <is>
          <t>Not Reported</t>
        </is>
      </c>
      <c r="AK315" s="126" t="inlineStr">
        <is>
          <t>Not Reported</t>
        </is>
      </c>
    </row>
    <row r="316">
      <c r="A316" s="21" t="inlineStr">
        <is>
          <t>Schaeffler</t>
        </is>
      </c>
      <c r="B316" s="5" t="inlineStr">
        <is>
          <t>West 2</t>
        </is>
      </c>
      <c r="C316" s="76" t="inlineStr">
        <is>
          <t>Shweta</t>
        </is>
      </c>
      <c r="D316" s="26" t="inlineStr">
        <is>
          <t>Debashreeta</t>
        </is>
      </c>
      <c r="E316" s="26" t="inlineStr">
        <is>
          <t>Category (B)</t>
        </is>
      </c>
      <c r="F316" s="21" t="inlineStr">
        <is>
          <t>Internal KPI</t>
        </is>
      </c>
      <c r="G316" s="21" t="inlineStr">
        <is>
          <t>No</t>
        </is>
      </c>
      <c r="H316" s="21" t="inlineStr">
        <is>
          <t>Offer Drop</t>
        </is>
      </c>
      <c r="I316" s="14" t="inlineStr">
        <is>
          <t>&lt;10%</t>
        </is>
      </c>
      <c r="J316" s="29" t="n">
        <v>0.17</v>
      </c>
      <c r="K316" s="28" t="inlineStr">
        <is>
          <t>Not Met</t>
        </is>
      </c>
      <c r="L316" s="20" t="n">
        <v>0.05263157894736842</v>
      </c>
      <c r="M316" s="28" t="inlineStr">
        <is>
          <t>Met</t>
        </is>
      </c>
      <c r="N316" s="52" t="n">
        <v>0</v>
      </c>
      <c r="O316" s="28" t="inlineStr">
        <is>
          <t>Met</t>
        </is>
      </c>
      <c r="P316" s="52" t="n">
        <v>0.15625</v>
      </c>
      <c r="Q316" s="28" t="inlineStr">
        <is>
          <t>Not Met</t>
        </is>
      </c>
      <c r="R316" s="29" t="n">
        <v>0.17</v>
      </c>
      <c r="S316" s="28" t="inlineStr">
        <is>
          <t>Not Met</t>
        </is>
      </c>
      <c r="T316" s="20" t="n">
        <v>0.07000000000000001</v>
      </c>
      <c r="U316" s="28" t="inlineStr">
        <is>
          <t>Met</t>
        </is>
      </c>
      <c r="V316" s="29" t="n">
        <v>0.58</v>
      </c>
      <c r="W316" s="28" t="inlineStr">
        <is>
          <t>Not Met</t>
        </is>
      </c>
      <c r="X316" s="14" t="inlineStr">
        <is>
          <t>Not Reported</t>
        </is>
      </c>
      <c r="Y316" s="28" t="inlineStr">
        <is>
          <t>Not Reported</t>
        </is>
      </c>
      <c r="Z316" s="29" t="n">
        <v>0.1</v>
      </c>
      <c r="AA316" s="28" t="inlineStr">
        <is>
          <t>Met</t>
        </is>
      </c>
      <c r="AB316" s="83" t="n">
        <v>0</v>
      </c>
      <c r="AC316" s="28" t="inlineStr">
        <is>
          <t>Met</t>
        </is>
      </c>
      <c r="AD316" s="97" t="inlineStr">
        <is>
          <t>Not Reported</t>
        </is>
      </c>
      <c r="AE316" s="126" t="inlineStr">
        <is>
          <t>Not Reported</t>
        </is>
      </c>
      <c r="AF316" s="147" t="inlineStr">
        <is>
          <t>Not Reported</t>
        </is>
      </c>
      <c r="AG316" s="149" t="inlineStr">
        <is>
          <t>Not Reported</t>
        </is>
      </c>
      <c r="AH316" s="285" t="n">
        <v>0</v>
      </c>
      <c r="AI316" s="285" t="inlineStr">
        <is>
          <t>Not Reported</t>
        </is>
      </c>
      <c r="AJ316" s="147" t="inlineStr">
        <is>
          <t>Not Reported</t>
        </is>
      </c>
      <c r="AK316" s="126" t="inlineStr">
        <is>
          <t>Not Reported</t>
        </is>
      </c>
    </row>
    <row r="317">
      <c r="A317" s="21" t="inlineStr">
        <is>
          <t>Schaeffler</t>
        </is>
      </c>
      <c r="B317" s="5" t="inlineStr">
        <is>
          <t>West 2</t>
        </is>
      </c>
      <c r="C317" s="76" t="inlineStr">
        <is>
          <t>Shweta</t>
        </is>
      </c>
      <c r="D317" s="26" t="inlineStr">
        <is>
          <t>Debashreeta</t>
        </is>
      </c>
      <c r="E317" s="26" t="inlineStr">
        <is>
          <t>Category (B)</t>
        </is>
      </c>
      <c r="F317" s="21" t="inlineStr">
        <is>
          <t>Internal KPI</t>
        </is>
      </c>
      <c r="G317" s="21" t="inlineStr">
        <is>
          <t>No</t>
        </is>
      </c>
      <c r="H317" s="27" t="inlineStr">
        <is>
          <t xml:space="preserve">Fulfilment </t>
        </is>
      </c>
      <c r="I317" s="11" t="n">
        <v>0.9</v>
      </c>
      <c r="J317" s="29" t="n">
        <v>1.1</v>
      </c>
      <c r="K317" s="28" t="inlineStr">
        <is>
          <t>Met</t>
        </is>
      </c>
      <c r="L317" s="20" t="n">
        <v>1.363636363636364</v>
      </c>
      <c r="M317" s="28" t="inlineStr">
        <is>
          <t>Met</t>
        </is>
      </c>
      <c r="N317" s="52" t="n">
        <v>0.6190476190476191</v>
      </c>
      <c r="O317" s="28" t="inlineStr">
        <is>
          <t>Not Met</t>
        </is>
      </c>
      <c r="P317" s="52" t="n">
        <v>1.03</v>
      </c>
      <c r="Q317" s="28" t="inlineStr">
        <is>
          <t>Met</t>
        </is>
      </c>
      <c r="R317" s="29" t="n">
        <v>0.9</v>
      </c>
      <c r="S317" s="28" t="inlineStr">
        <is>
          <t>Met</t>
        </is>
      </c>
      <c r="T317" s="20" t="n">
        <v>0.92</v>
      </c>
      <c r="U317" s="28" t="inlineStr">
        <is>
          <t>Met</t>
        </is>
      </c>
      <c r="V317" s="29" t="n">
        <v>0.53</v>
      </c>
      <c r="W317" s="28" t="inlineStr">
        <is>
          <t>Not Met</t>
        </is>
      </c>
      <c r="X317" s="14" t="inlineStr">
        <is>
          <t>Not Reported</t>
        </is>
      </c>
      <c r="Y317" s="28" t="inlineStr">
        <is>
          <t>Not Reported</t>
        </is>
      </c>
      <c r="Z317" s="29" t="n">
        <v>0.75</v>
      </c>
      <c r="AA317" s="28" t="inlineStr">
        <is>
          <t>Not Met</t>
        </is>
      </c>
      <c r="AB317" s="82" t="n">
        <v>0.6190476190476191</v>
      </c>
      <c r="AC317" s="28" t="inlineStr">
        <is>
          <t>Not Met</t>
        </is>
      </c>
      <c r="AD317" s="97" t="inlineStr">
        <is>
          <t>Not Reported</t>
        </is>
      </c>
      <c r="AE317" s="126" t="inlineStr">
        <is>
          <t>Not Reported</t>
        </is>
      </c>
      <c r="AF317" s="147" t="inlineStr">
        <is>
          <t>Not Reported</t>
        </is>
      </c>
      <c r="AG317" s="149" t="inlineStr">
        <is>
          <t>Not Reported</t>
        </is>
      </c>
      <c r="AH317" s="285" t="n">
        <v>0</v>
      </c>
      <c r="AI317" s="285" t="inlineStr">
        <is>
          <t>Not Reported</t>
        </is>
      </c>
      <c r="AJ317" s="147" t="inlineStr">
        <is>
          <t>Not Reported</t>
        </is>
      </c>
      <c r="AK317" s="126" t="inlineStr">
        <is>
          <t>Not Reported</t>
        </is>
      </c>
    </row>
    <row r="318">
      <c r="A318" s="21" t="inlineStr">
        <is>
          <t>Schaeffler</t>
        </is>
      </c>
      <c r="B318" s="5" t="inlineStr">
        <is>
          <t>West 2</t>
        </is>
      </c>
      <c r="C318" s="76" t="inlineStr">
        <is>
          <t>Shweta</t>
        </is>
      </c>
      <c r="D318" s="26" t="inlineStr">
        <is>
          <t>Debashreeta</t>
        </is>
      </c>
      <c r="E318" s="26" t="inlineStr">
        <is>
          <t>Category (B)</t>
        </is>
      </c>
      <c r="F318" s="21" t="inlineStr">
        <is>
          <t>Contractual SLA</t>
        </is>
      </c>
      <c r="G318" s="21" t="inlineStr">
        <is>
          <t>Yes</t>
        </is>
      </c>
      <c r="H318" s="26" t="inlineStr">
        <is>
          <t>Diversity</t>
        </is>
      </c>
      <c r="I318" s="11" t="n">
        <v>0.3</v>
      </c>
      <c r="J318" s="29" t="n">
        <v>0.04</v>
      </c>
      <c r="K318" s="28" t="inlineStr">
        <is>
          <t>Not Met</t>
        </is>
      </c>
      <c r="L318" s="20" t="n">
        <v>0.06666666666666667</v>
      </c>
      <c r="M318" s="28" t="inlineStr">
        <is>
          <t>Not Met</t>
        </is>
      </c>
      <c r="N318" s="28" t="inlineStr">
        <is>
          <t>Not reported</t>
        </is>
      </c>
      <c r="O318" s="28" t="inlineStr">
        <is>
          <t>Not Reported</t>
        </is>
      </c>
      <c r="P318" s="52" t="inlineStr">
        <is>
          <t>Not reported</t>
        </is>
      </c>
      <c r="Q318" s="28" t="inlineStr">
        <is>
          <t>Not Reported</t>
        </is>
      </c>
      <c r="R318" s="29" t="n">
        <v>0.05</v>
      </c>
      <c r="S318" s="28" t="inlineStr">
        <is>
          <t>Not Met</t>
        </is>
      </c>
      <c r="T318" s="20" t="n">
        <v>0</v>
      </c>
      <c r="U318" s="28" t="inlineStr">
        <is>
          <t>Not Met</t>
        </is>
      </c>
      <c r="V318" s="29" t="n">
        <v>0.11</v>
      </c>
      <c r="W318" s="28" t="inlineStr">
        <is>
          <t>Not Met</t>
        </is>
      </c>
      <c r="X318" s="14" t="inlineStr">
        <is>
          <t>Not Reported</t>
        </is>
      </c>
      <c r="Y318" s="28" t="inlineStr">
        <is>
          <t>Not Reported</t>
        </is>
      </c>
      <c r="Z318" s="29" t="n">
        <v>0</v>
      </c>
      <c r="AA318" s="28" t="inlineStr">
        <is>
          <t>Not Met</t>
        </is>
      </c>
      <c r="AB318" s="83" t="n">
        <v>0</v>
      </c>
      <c r="AC318" s="28" t="inlineStr">
        <is>
          <t>Not Met</t>
        </is>
      </c>
      <c r="AD318" s="97" t="inlineStr">
        <is>
          <t>Not Reported</t>
        </is>
      </c>
      <c r="AE318" s="97" t="inlineStr">
        <is>
          <t>Not Reported</t>
        </is>
      </c>
      <c r="AF318" s="147" t="inlineStr">
        <is>
          <t>Not Reported</t>
        </is>
      </c>
      <c r="AG318" s="149" t="inlineStr">
        <is>
          <t>Not Reported</t>
        </is>
      </c>
      <c r="AH318" s="285" t="n">
        <v>0</v>
      </c>
      <c r="AI318" s="285" t="inlineStr">
        <is>
          <t>Not Reported</t>
        </is>
      </c>
      <c r="AJ318" s="147" t="inlineStr">
        <is>
          <t>Not Reported</t>
        </is>
      </c>
      <c r="AK318" s="97" t="inlineStr">
        <is>
          <t>Not Reported</t>
        </is>
      </c>
    </row>
    <row r="319">
      <c r="A319" s="204" t="inlineStr">
        <is>
          <t>Servify</t>
        </is>
      </c>
      <c r="B319" s="205" t="inlineStr">
        <is>
          <t>West 1</t>
        </is>
      </c>
      <c r="C319" s="279" t="inlineStr">
        <is>
          <t>Ashish</t>
        </is>
      </c>
      <c r="D319" s="206" t="inlineStr">
        <is>
          <t>Sahil</t>
        </is>
      </c>
      <c r="E319" s="206" t="inlineStr">
        <is>
          <t>Category (A)</t>
        </is>
      </c>
      <c r="F319" s="204" t="inlineStr">
        <is>
          <t>Internal KPI</t>
        </is>
      </c>
      <c r="G319" s="204" t="inlineStr">
        <is>
          <t>No</t>
        </is>
      </c>
      <c r="H319" s="210" t="inlineStr">
        <is>
          <t>Time to Fill</t>
        </is>
      </c>
      <c r="I319" s="200" t="inlineStr">
        <is>
          <t>Not Shared</t>
        </is>
      </c>
      <c r="J319" s="200" t="inlineStr">
        <is>
          <t xml:space="preserve">NA </t>
        </is>
      </c>
      <c r="K319" s="200" t="inlineStr">
        <is>
          <t>NA</t>
        </is>
      </c>
      <c r="L319" s="200" t="inlineStr">
        <is>
          <t xml:space="preserve">NA </t>
        </is>
      </c>
      <c r="M319" s="200" t="inlineStr">
        <is>
          <t>NA</t>
        </is>
      </c>
      <c r="N319" s="200" t="inlineStr">
        <is>
          <t xml:space="preserve">NA </t>
        </is>
      </c>
      <c r="O319" s="200" t="inlineStr">
        <is>
          <t>NA</t>
        </is>
      </c>
      <c r="P319" s="200" t="inlineStr">
        <is>
          <t xml:space="preserve">NA </t>
        </is>
      </c>
      <c r="Q319" s="200" t="inlineStr">
        <is>
          <t>NA</t>
        </is>
      </c>
      <c r="R319" s="213" t="inlineStr">
        <is>
          <t>NA</t>
        </is>
      </c>
      <c r="S319" s="200" t="inlineStr">
        <is>
          <t>NA</t>
        </is>
      </c>
      <c r="T319" s="213" t="inlineStr">
        <is>
          <t>NA</t>
        </is>
      </c>
      <c r="U319" s="200" t="inlineStr">
        <is>
          <t>NA</t>
        </is>
      </c>
      <c r="V319" s="213" t="inlineStr">
        <is>
          <t>NA</t>
        </is>
      </c>
      <c r="W319" s="200" t="inlineStr">
        <is>
          <t>NA</t>
        </is>
      </c>
      <c r="X319" s="213" t="inlineStr">
        <is>
          <t>NA</t>
        </is>
      </c>
      <c r="Y319" s="200" t="inlineStr">
        <is>
          <t>NA</t>
        </is>
      </c>
      <c r="Z319" s="213" t="inlineStr">
        <is>
          <t>NA</t>
        </is>
      </c>
      <c r="AA319" s="200" t="inlineStr">
        <is>
          <t>NA</t>
        </is>
      </c>
      <c r="AB319" s="159" t="inlineStr">
        <is>
          <t>NA</t>
        </is>
      </c>
      <c r="AC319" s="200" t="inlineStr">
        <is>
          <t>NA</t>
        </is>
      </c>
      <c r="AD319" s="203" t="inlineStr">
        <is>
          <t>NA</t>
        </is>
      </c>
      <c r="AE319" s="203" t="inlineStr">
        <is>
          <t>NA</t>
        </is>
      </c>
      <c r="AF319" s="93" t="inlineStr">
        <is>
          <t>NA</t>
        </is>
      </c>
      <c r="AG319" s="97" t="inlineStr">
        <is>
          <t>NA</t>
        </is>
      </c>
      <c r="AH319" s="285" t="n">
        <v>0</v>
      </c>
      <c r="AI319" s="285" t="inlineStr">
        <is>
          <t>Not Reported</t>
        </is>
      </c>
      <c r="AJ319" s="93" t="inlineStr">
        <is>
          <t>NA</t>
        </is>
      </c>
      <c r="AK319" s="126" t="inlineStr">
        <is>
          <t>NA</t>
        </is>
      </c>
    </row>
    <row r="320">
      <c r="A320" s="21" t="inlineStr">
        <is>
          <t>Servify</t>
        </is>
      </c>
      <c r="B320" s="5" t="inlineStr">
        <is>
          <t>West 1</t>
        </is>
      </c>
      <c r="C320" s="76" t="inlineStr">
        <is>
          <t>Ashish</t>
        </is>
      </c>
      <c r="D320" s="26" t="inlineStr">
        <is>
          <t>Sahil</t>
        </is>
      </c>
      <c r="E320" s="26" t="inlineStr">
        <is>
          <t>Category (A)</t>
        </is>
      </c>
      <c r="F320" s="21" t="inlineStr">
        <is>
          <t>Internal KPI</t>
        </is>
      </c>
      <c r="G320" s="21" t="inlineStr">
        <is>
          <t>No</t>
        </is>
      </c>
      <c r="H320" s="27" t="inlineStr">
        <is>
          <t>Time to Hire</t>
        </is>
      </c>
      <c r="I320" s="20" t="inlineStr">
        <is>
          <t>Not Shared</t>
        </is>
      </c>
      <c r="J320" s="20" t="inlineStr">
        <is>
          <t xml:space="preserve">NA </t>
        </is>
      </c>
      <c r="K320" s="20" t="inlineStr">
        <is>
          <t>NA</t>
        </is>
      </c>
      <c r="L320" s="20" t="inlineStr">
        <is>
          <t xml:space="preserve">NA </t>
        </is>
      </c>
      <c r="M320" s="20" t="inlineStr">
        <is>
          <t>NA</t>
        </is>
      </c>
      <c r="N320" s="20" t="inlineStr">
        <is>
          <t xml:space="preserve">NA </t>
        </is>
      </c>
      <c r="O320" s="20" t="inlineStr">
        <is>
          <t>NA</t>
        </is>
      </c>
      <c r="P320" s="20" t="inlineStr">
        <is>
          <t xml:space="preserve">NA </t>
        </is>
      </c>
      <c r="Q320" s="20" t="inlineStr">
        <is>
          <t>NA</t>
        </is>
      </c>
      <c r="R320" s="17" t="inlineStr">
        <is>
          <t>NA</t>
        </is>
      </c>
      <c r="S320" s="20" t="inlineStr">
        <is>
          <t>NA</t>
        </is>
      </c>
      <c r="T320" s="17" t="inlineStr">
        <is>
          <t>NA</t>
        </is>
      </c>
      <c r="U320" s="20" t="inlineStr">
        <is>
          <t>NA</t>
        </is>
      </c>
      <c r="V320" s="17" t="inlineStr">
        <is>
          <t>NA</t>
        </is>
      </c>
      <c r="W320" s="20" t="inlineStr">
        <is>
          <t>NA</t>
        </is>
      </c>
      <c r="X320" s="17" t="inlineStr">
        <is>
          <t>NA</t>
        </is>
      </c>
      <c r="Y320" s="20" t="inlineStr">
        <is>
          <t>NA</t>
        </is>
      </c>
      <c r="Z320" s="17" t="inlineStr">
        <is>
          <t>NA</t>
        </is>
      </c>
      <c r="AA320" s="20" t="inlineStr">
        <is>
          <t>NA</t>
        </is>
      </c>
      <c r="AB320" s="93" t="inlineStr">
        <is>
          <t>NA</t>
        </is>
      </c>
      <c r="AC320" s="20" t="inlineStr">
        <is>
          <t>NA</t>
        </is>
      </c>
      <c r="AD320" s="126" t="inlineStr">
        <is>
          <t>NA</t>
        </is>
      </c>
      <c r="AE320" s="97" t="inlineStr">
        <is>
          <t>NA</t>
        </is>
      </c>
      <c r="AF320" s="93" t="inlineStr">
        <is>
          <t>NA</t>
        </is>
      </c>
      <c r="AG320" s="97" t="inlineStr">
        <is>
          <t>NA</t>
        </is>
      </c>
      <c r="AH320" s="285" t="n">
        <v>0</v>
      </c>
      <c r="AI320" s="285" t="inlineStr">
        <is>
          <t>Not Reported</t>
        </is>
      </c>
      <c r="AJ320" s="93" t="inlineStr">
        <is>
          <t>NA</t>
        </is>
      </c>
      <c r="AK320" s="97" t="inlineStr">
        <is>
          <t>NA</t>
        </is>
      </c>
    </row>
    <row r="321">
      <c r="A321" s="21" t="inlineStr">
        <is>
          <t>Servify</t>
        </is>
      </c>
      <c r="B321" s="5" t="inlineStr">
        <is>
          <t>West 1</t>
        </is>
      </c>
      <c r="C321" s="76" t="inlineStr">
        <is>
          <t>Ashish</t>
        </is>
      </c>
      <c r="D321" s="26" t="inlineStr">
        <is>
          <t>Sahil</t>
        </is>
      </c>
      <c r="E321" s="26" t="inlineStr">
        <is>
          <t>Category (A)</t>
        </is>
      </c>
      <c r="F321" s="21" t="inlineStr">
        <is>
          <t>Internal KPI</t>
        </is>
      </c>
      <c r="G321" s="21" t="inlineStr">
        <is>
          <t>No</t>
        </is>
      </c>
      <c r="H321" s="27" t="inlineStr">
        <is>
          <t>Hit Ratio</t>
        </is>
      </c>
      <c r="I321" s="20" t="inlineStr">
        <is>
          <t>Not Shared</t>
        </is>
      </c>
      <c r="J321" s="20" t="inlineStr">
        <is>
          <t xml:space="preserve">NA </t>
        </is>
      </c>
      <c r="K321" s="20" t="inlineStr">
        <is>
          <t>NA</t>
        </is>
      </c>
      <c r="L321" s="20" t="inlineStr">
        <is>
          <t xml:space="preserve">NA </t>
        </is>
      </c>
      <c r="M321" s="20" t="inlineStr">
        <is>
          <t>NA</t>
        </is>
      </c>
      <c r="N321" s="20" t="inlineStr">
        <is>
          <t xml:space="preserve">NA </t>
        </is>
      </c>
      <c r="O321" s="20" t="inlineStr">
        <is>
          <t>NA</t>
        </is>
      </c>
      <c r="P321" s="20" t="inlineStr">
        <is>
          <t xml:space="preserve">NA </t>
        </is>
      </c>
      <c r="Q321" s="20" t="inlineStr">
        <is>
          <t>NA</t>
        </is>
      </c>
      <c r="R321" s="17" t="inlineStr">
        <is>
          <t>NA</t>
        </is>
      </c>
      <c r="S321" s="20" t="inlineStr">
        <is>
          <t>NA</t>
        </is>
      </c>
      <c r="T321" s="17" t="inlineStr">
        <is>
          <t>NA</t>
        </is>
      </c>
      <c r="U321" s="20" t="inlineStr">
        <is>
          <t>NA</t>
        </is>
      </c>
      <c r="V321" s="17" t="inlineStr">
        <is>
          <t>NA</t>
        </is>
      </c>
      <c r="W321" s="20" t="inlineStr">
        <is>
          <t>NA</t>
        </is>
      </c>
      <c r="X321" s="17" t="inlineStr">
        <is>
          <t>NA</t>
        </is>
      </c>
      <c r="Y321" s="20" t="inlineStr">
        <is>
          <t>NA</t>
        </is>
      </c>
      <c r="Z321" s="17" t="inlineStr">
        <is>
          <t>NA</t>
        </is>
      </c>
      <c r="AA321" s="20" t="inlineStr">
        <is>
          <t>NA</t>
        </is>
      </c>
      <c r="AB321" s="93" t="inlineStr">
        <is>
          <t>NA</t>
        </is>
      </c>
      <c r="AC321" s="20" t="inlineStr">
        <is>
          <t>NA</t>
        </is>
      </c>
      <c r="AD321" s="126" t="inlineStr">
        <is>
          <t>NA</t>
        </is>
      </c>
      <c r="AE321" s="126" t="inlineStr">
        <is>
          <t>NA</t>
        </is>
      </c>
      <c r="AF321" s="93" t="inlineStr">
        <is>
          <t>NA</t>
        </is>
      </c>
      <c r="AG321" s="97" t="inlineStr">
        <is>
          <t>NA</t>
        </is>
      </c>
      <c r="AH321" s="285" t="n">
        <v>0</v>
      </c>
      <c r="AI321" s="285" t="inlineStr">
        <is>
          <t>Not Reported</t>
        </is>
      </c>
      <c r="AJ321" s="93" t="inlineStr">
        <is>
          <t>NA</t>
        </is>
      </c>
      <c r="AK321" s="126" t="inlineStr">
        <is>
          <t>NA</t>
        </is>
      </c>
    </row>
    <row r="322">
      <c r="A322" s="21" t="inlineStr">
        <is>
          <t>Servify</t>
        </is>
      </c>
      <c r="B322" s="5" t="inlineStr">
        <is>
          <t>West 1</t>
        </is>
      </c>
      <c r="C322" s="76" t="inlineStr">
        <is>
          <t>Ashish</t>
        </is>
      </c>
      <c r="D322" s="26" t="inlineStr">
        <is>
          <t>Sahil</t>
        </is>
      </c>
      <c r="E322" s="26" t="inlineStr">
        <is>
          <t>Category (A)</t>
        </is>
      </c>
      <c r="F322" s="21" t="inlineStr">
        <is>
          <t>Internal KPI</t>
        </is>
      </c>
      <c r="G322" s="21" t="inlineStr">
        <is>
          <t>No</t>
        </is>
      </c>
      <c r="H322" s="21" t="inlineStr">
        <is>
          <t>Source Mix : % Closed through Employee Referral</t>
        </is>
      </c>
      <c r="I322" s="20" t="inlineStr">
        <is>
          <t>Not Shared</t>
        </is>
      </c>
      <c r="J322" s="20" t="inlineStr">
        <is>
          <t xml:space="preserve">NA </t>
        </is>
      </c>
      <c r="K322" s="20" t="inlineStr">
        <is>
          <t>NA</t>
        </is>
      </c>
      <c r="L322" s="20" t="inlineStr">
        <is>
          <t xml:space="preserve">NA </t>
        </is>
      </c>
      <c r="M322" s="20" t="inlineStr">
        <is>
          <t>NA</t>
        </is>
      </c>
      <c r="N322" s="20" t="inlineStr">
        <is>
          <t xml:space="preserve">NA </t>
        </is>
      </c>
      <c r="O322" s="20" t="inlineStr">
        <is>
          <t>NA</t>
        </is>
      </c>
      <c r="P322" s="20" t="inlineStr">
        <is>
          <t xml:space="preserve">NA </t>
        </is>
      </c>
      <c r="Q322" s="20" t="inlineStr">
        <is>
          <t>NA</t>
        </is>
      </c>
      <c r="R322" s="17" t="inlineStr">
        <is>
          <t>NA</t>
        </is>
      </c>
      <c r="S322" s="20" t="inlineStr">
        <is>
          <t>NA</t>
        </is>
      </c>
      <c r="T322" s="17" t="inlineStr">
        <is>
          <t>NA</t>
        </is>
      </c>
      <c r="U322" s="20" t="inlineStr">
        <is>
          <t>NA</t>
        </is>
      </c>
      <c r="V322" s="17" t="inlineStr">
        <is>
          <t>NA</t>
        </is>
      </c>
      <c r="W322" s="20" t="inlineStr">
        <is>
          <t>NA</t>
        </is>
      </c>
      <c r="X322" s="17" t="inlineStr">
        <is>
          <t>NA</t>
        </is>
      </c>
      <c r="Y322" s="20" t="inlineStr">
        <is>
          <t>NA</t>
        </is>
      </c>
      <c r="Z322" s="17" t="inlineStr">
        <is>
          <t>NA</t>
        </is>
      </c>
      <c r="AA322" s="20" t="inlineStr">
        <is>
          <t>NA</t>
        </is>
      </c>
      <c r="AB322" s="93" t="inlineStr">
        <is>
          <t>NA</t>
        </is>
      </c>
      <c r="AC322" s="20" t="inlineStr">
        <is>
          <t>NA</t>
        </is>
      </c>
      <c r="AD322" s="126" t="inlineStr">
        <is>
          <t>NA</t>
        </is>
      </c>
      <c r="AE322" s="97" t="inlineStr">
        <is>
          <t>NA</t>
        </is>
      </c>
      <c r="AF322" s="93" t="inlineStr">
        <is>
          <t>NA</t>
        </is>
      </c>
      <c r="AG322" s="97" t="inlineStr">
        <is>
          <t>NA</t>
        </is>
      </c>
      <c r="AH322" s="285" t="n">
        <v>0</v>
      </c>
      <c r="AI322" s="285" t="inlineStr">
        <is>
          <t>Not Reported</t>
        </is>
      </c>
      <c r="AJ322" s="93" t="inlineStr">
        <is>
          <t>NA</t>
        </is>
      </c>
      <c r="AK322" s="97" t="inlineStr">
        <is>
          <t>NA</t>
        </is>
      </c>
    </row>
    <row r="323">
      <c r="A323" s="164" t="inlineStr">
        <is>
          <t>Servify</t>
        </is>
      </c>
      <c r="B323" s="165" t="inlineStr">
        <is>
          <t>West 1</t>
        </is>
      </c>
      <c r="C323" s="278" t="inlineStr">
        <is>
          <t>Ashish</t>
        </is>
      </c>
      <c r="D323" s="166" t="inlineStr">
        <is>
          <t>Sahil</t>
        </is>
      </c>
      <c r="E323" s="166" t="inlineStr">
        <is>
          <t>Category (A)</t>
        </is>
      </c>
      <c r="F323" s="164" t="inlineStr">
        <is>
          <t>Internal KPI</t>
        </is>
      </c>
      <c r="G323" s="164" t="inlineStr">
        <is>
          <t>No</t>
        </is>
      </c>
      <c r="H323" s="164" t="inlineStr">
        <is>
          <t>Offer Drop</t>
        </is>
      </c>
      <c r="I323" s="191" t="inlineStr">
        <is>
          <t>Not Shared</t>
        </is>
      </c>
      <c r="J323" s="191" t="inlineStr">
        <is>
          <t xml:space="preserve">NA </t>
        </is>
      </c>
      <c r="K323" s="191" t="inlineStr">
        <is>
          <t>NA</t>
        </is>
      </c>
      <c r="L323" s="191" t="inlineStr">
        <is>
          <t xml:space="preserve">NA </t>
        </is>
      </c>
      <c r="M323" s="191" t="inlineStr">
        <is>
          <t>NA</t>
        </is>
      </c>
      <c r="N323" s="191" t="inlineStr">
        <is>
          <t xml:space="preserve">NA </t>
        </is>
      </c>
      <c r="O323" s="191" t="inlineStr">
        <is>
          <t>NA</t>
        </is>
      </c>
      <c r="P323" s="191" t="inlineStr">
        <is>
          <t xml:space="preserve">NA </t>
        </is>
      </c>
      <c r="Q323" s="191" t="inlineStr">
        <is>
          <t>NA</t>
        </is>
      </c>
      <c r="R323" s="171" t="inlineStr">
        <is>
          <t>NA</t>
        </is>
      </c>
      <c r="S323" s="191" t="inlineStr">
        <is>
          <t>NA</t>
        </is>
      </c>
      <c r="T323" s="171" t="inlineStr">
        <is>
          <t>NA</t>
        </is>
      </c>
      <c r="U323" s="191" t="inlineStr">
        <is>
          <t>NA</t>
        </is>
      </c>
      <c r="V323" s="171" t="inlineStr">
        <is>
          <t>NA</t>
        </is>
      </c>
      <c r="W323" s="191" t="inlineStr">
        <is>
          <t>NA</t>
        </is>
      </c>
      <c r="X323" s="171" t="inlineStr">
        <is>
          <t>NA</t>
        </is>
      </c>
      <c r="Y323" s="191" t="inlineStr">
        <is>
          <t>NA</t>
        </is>
      </c>
      <c r="Z323" s="171" t="inlineStr">
        <is>
          <t>NA</t>
        </is>
      </c>
      <c r="AA323" s="191" t="inlineStr">
        <is>
          <t>NA</t>
        </is>
      </c>
      <c r="AB323" s="162" t="inlineStr">
        <is>
          <t>NA</t>
        </is>
      </c>
      <c r="AC323" s="191" t="inlineStr">
        <is>
          <t>NA</t>
        </is>
      </c>
      <c r="AD323" s="177" t="inlineStr">
        <is>
          <t>NA</t>
        </is>
      </c>
      <c r="AE323" s="177" t="inlineStr">
        <is>
          <t>NA</t>
        </is>
      </c>
      <c r="AF323" s="93" t="inlineStr">
        <is>
          <t>NA</t>
        </is>
      </c>
      <c r="AG323" s="97" t="inlineStr">
        <is>
          <t>NA</t>
        </is>
      </c>
      <c r="AH323" s="285" t="n">
        <v>0</v>
      </c>
      <c r="AI323" s="285" t="inlineStr">
        <is>
          <t>Not Reported</t>
        </is>
      </c>
      <c r="AJ323" s="93" t="inlineStr">
        <is>
          <t>NA</t>
        </is>
      </c>
      <c r="AK323" s="126" t="inlineStr">
        <is>
          <t>NA</t>
        </is>
      </c>
    </row>
    <row r="324">
      <c r="A324" s="21" t="inlineStr">
        <is>
          <t>Siemens - Advanta</t>
        </is>
      </c>
      <c r="B324" s="5" t="inlineStr">
        <is>
          <t xml:space="preserve">South 1 </t>
        </is>
      </c>
      <c r="C324" s="5" t="inlineStr">
        <is>
          <t>TBH</t>
        </is>
      </c>
      <c r="D324" s="26" t="inlineStr">
        <is>
          <t>Debashreeta</t>
        </is>
      </c>
      <c r="E324" s="26" t="inlineStr">
        <is>
          <t>Category (B)</t>
        </is>
      </c>
      <c r="F324" s="26" t="inlineStr">
        <is>
          <t>Contractual SLA</t>
        </is>
      </c>
      <c r="G324" s="21" t="inlineStr">
        <is>
          <t>No</t>
        </is>
      </c>
      <c r="H324" s="27" t="inlineStr">
        <is>
          <t>Time to Hire</t>
        </is>
      </c>
      <c r="I324" s="14" t="inlineStr">
        <is>
          <t>120 Days</t>
        </is>
      </c>
      <c r="J324" s="8" t="n">
        <v>97</v>
      </c>
      <c r="K324" s="28" t="inlineStr">
        <is>
          <t>Met</t>
        </is>
      </c>
      <c r="L324" s="28" t="n">
        <v>98</v>
      </c>
      <c r="M324" s="28" t="inlineStr">
        <is>
          <t>Met</t>
        </is>
      </c>
      <c r="N324" s="28" t="n">
        <v>88</v>
      </c>
      <c r="O324" s="28" t="inlineStr">
        <is>
          <t>Met</t>
        </is>
      </c>
      <c r="P324" s="28" t="n">
        <v>94</v>
      </c>
      <c r="Q324" s="28" t="inlineStr">
        <is>
          <t>Met</t>
        </is>
      </c>
      <c r="R324" s="28" t="n">
        <v>83</v>
      </c>
      <c r="S324" s="28" t="inlineStr">
        <is>
          <t>Met</t>
        </is>
      </c>
      <c r="T324" s="28" t="n">
        <v>86</v>
      </c>
      <c r="U324" s="28" t="inlineStr">
        <is>
          <t>Met</t>
        </is>
      </c>
      <c r="V324" s="13" t="n">
        <v>104</v>
      </c>
      <c r="W324" s="28" t="inlineStr">
        <is>
          <t>Met</t>
        </is>
      </c>
      <c r="X324" s="13" t="n">
        <v>85</v>
      </c>
      <c r="Y324" s="28" t="inlineStr">
        <is>
          <t>Met</t>
        </is>
      </c>
      <c r="Z324" s="28" t="inlineStr">
        <is>
          <t>85 Days</t>
        </is>
      </c>
      <c r="AA324" s="28" t="inlineStr">
        <is>
          <t>Met</t>
        </is>
      </c>
      <c r="AB324" s="95" t="n">
        <v>87</v>
      </c>
      <c r="AC324" s="28" t="inlineStr">
        <is>
          <t>Met</t>
        </is>
      </c>
      <c r="AD324" s="97" t="inlineStr">
        <is>
          <t>Not Reported</t>
        </is>
      </c>
      <c r="AE324" s="97" t="inlineStr">
        <is>
          <t>Not Reported</t>
        </is>
      </c>
      <c r="AF324" s="95" t="n">
        <v>85</v>
      </c>
      <c r="AG324" s="202" t="inlineStr">
        <is>
          <t>Met</t>
        </is>
      </c>
      <c r="AH324" s="285" t="n">
        <v>0</v>
      </c>
      <c r="AI324" s="285" t="inlineStr">
        <is>
          <t>Not Reported</t>
        </is>
      </c>
      <c r="AJ324" s="78" t="n">
        <v>90</v>
      </c>
      <c r="AK324" s="202" t="inlineStr">
        <is>
          <t>Met</t>
        </is>
      </c>
    </row>
    <row r="325">
      <c r="A325" s="21" t="inlineStr">
        <is>
          <t>Siemens - Advanta</t>
        </is>
      </c>
      <c r="B325" s="5" t="inlineStr">
        <is>
          <t xml:space="preserve">South 1 </t>
        </is>
      </c>
      <c r="C325" s="5" t="inlineStr">
        <is>
          <t>TBH</t>
        </is>
      </c>
      <c r="D325" s="26" t="inlineStr">
        <is>
          <t>Debashreeta</t>
        </is>
      </c>
      <c r="E325" s="26" t="inlineStr">
        <is>
          <t>Category (B)</t>
        </is>
      </c>
      <c r="F325" s="26" t="inlineStr">
        <is>
          <t>Contractual SLA</t>
        </is>
      </c>
      <c r="G325" s="21" t="inlineStr">
        <is>
          <t>No</t>
        </is>
      </c>
      <c r="H325" s="27" t="inlineStr">
        <is>
          <t>Time to Fill</t>
        </is>
      </c>
      <c r="I325" s="14" t="inlineStr">
        <is>
          <t>60 Days</t>
        </is>
      </c>
      <c r="J325" s="8" t="n">
        <v>50</v>
      </c>
      <c r="K325" s="28" t="inlineStr">
        <is>
          <t>Met</t>
        </is>
      </c>
      <c r="L325" s="28" t="n">
        <v>33</v>
      </c>
      <c r="M325" s="28" t="inlineStr">
        <is>
          <t>Met</t>
        </is>
      </c>
      <c r="N325" s="28" t="n">
        <v>54</v>
      </c>
      <c r="O325" s="28" t="inlineStr">
        <is>
          <t>Met</t>
        </is>
      </c>
      <c r="P325" s="28" t="n">
        <v>46</v>
      </c>
      <c r="Q325" s="28" t="inlineStr">
        <is>
          <t>Met</t>
        </is>
      </c>
      <c r="R325" s="28" t="n">
        <v>35</v>
      </c>
      <c r="S325" s="28" t="inlineStr">
        <is>
          <t>Met</t>
        </is>
      </c>
      <c r="T325" s="28" t="n">
        <v>50</v>
      </c>
      <c r="U325" s="28" t="inlineStr">
        <is>
          <t>Met</t>
        </is>
      </c>
      <c r="V325" s="13" t="n">
        <v>42</v>
      </c>
      <c r="W325" s="28" t="inlineStr">
        <is>
          <t>Met</t>
        </is>
      </c>
      <c r="X325" s="13" t="n">
        <v>18</v>
      </c>
      <c r="Y325" s="28" t="inlineStr">
        <is>
          <t>Met</t>
        </is>
      </c>
      <c r="Z325" s="28" t="inlineStr">
        <is>
          <t>18 Days</t>
        </is>
      </c>
      <c r="AA325" s="28" t="inlineStr">
        <is>
          <t>Met</t>
        </is>
      </c>
      <c r="AB325" s="95" t="n">
        <v>32</v>
      </c>
      <c r="AC325" s="28" t="inlineStr">
        <is>
          <t>Met</t>
        </is>
      </c>
      <c r="AD325" s="97" t="inlineStr">
        <is>
          <t>Not Reported</t>
        </is>
      </c>
      <c r="AE325" s="97" t="inlineStr">
        <is>
          <t>Not Reported</t>
        </is>
      </c>
      <c r="AF325" s="95" t="n">
        <v>46</v>
      </c>
      <c r="AG325" s="202" t="inlineStr">
        <is>
          <t>Met</t>
        </is>
      </c>
      <c r="AH325" s="285" t="n">
        <v>0</v>
      </c>
      <c r="AI325" s="285" t="inlineStr">
        <is>
          <t>Not Reported</t>
        </is>
      </c>
      <c r="AJ325" s="78" t="n">
        <v>40</v>
      </c>
      <c r="AK325" s="202" t="inlineStr">
        <is>
          <t>Met</t>
        </is>
      </c>
    </row>
    <row r="326">
      <c r="A326" s="21" t="inlineStr">
        <is>
          <t>Siemens - Advanta</t>
        </is>
      </c>
      <c r="B326" s="5" t="inlineStr">
        <is>
          <t xml:space="preserve">South 1 </t>
        </is>
      </c>
      <c r="C326" s="5" t="inlineStr">
        <is>
          <t>TBH</t>
        </is>
      </c>
      <c r="D326" s="26" t="inlineStr">
        <is>
          <t>Debashreeta</t>
        </is>
      </c>
      <c r="E326" s="26" t="inlineStr">
        <is>
          <t>Category (B)</t>
        </is>
      </c>
      <c r="F326" s="26" t="inlineStr">
        <is>
          <t>Contractual SLA</t>
        </is>
      </c>
      <c r="G326" s="21" t="inlineStr">
        <is>
          <t>No</t>
        </is>
      </c>
      <c r="H326" s="26" t="inlineStr">
        <is>
          <t>Offer to Joining %</t>
        </is>
      </c>
      <c r="I326" s="11" t="n">
        <v>0.8</v>
      </c>
      <c r="J326" s="20" t="n">
        <v>0.7142857142857143</v>
      </c>
      <c r="K326" s="28" t="inlineStr">
        <is>
          <t>Not Met</t>
        </is>
      </c>
      <c r="L326" s="52" t="n">
        <v>0.5714285714285714</v>
      </c>
      <c r="M326" s="28" t="inlineStr">
        <is>
          <t>Not Met</t>
        </is>
      </c>
      <c r="N326" s="52" t="n">
        <v>0.7777777777777778</v>
      </c>
      <c r="O326" s="28" t="inlineStr">
        <is>
          <t>Not Met</t>
        </is>
      </c>
      <c r="P326" s="52" t="n">
        <v>0.7</v>
      </c>
      <c r="Q326" s="28" t="inlineStr">
        <is>
          <t>Not Met</t>
        </is>
      </c>
      <c r="R326" s="52" t="n">
        <v>0.6666666666666666</v>
      </c>
      <c r="S326" s="28" t="inlineStr">
        <is>
          <t>Not Met</t>
        </is>
      </c>
      <c r="T326" s="52" t="n">
        <v>0.6</v>
      </c>
      <c r="U326" s="28" t="inlineStr">
        <is>
          <t>Not Met</t>
        </is>
      </c>
      <c r="V326" s="50" t="n">
        <v>0.8333333333333334</v>
      </c>
      <c r="W326" s="28" t="inlineStr">
        <is>
          <t>Met</t>
        </is>
      </c>
      <c r="X326" s="50" t="n">
        <v>0.8571428571428571</v>
      </c>
      <c r="Y326" s="28" t="inlineStr">
        <is>
          <t>Met</t>
        </is>
      </c>
      <c r="Z326" s="29" t="n">
        <v>0.86</v>
      </c>
      <c r="AA326" s="28" t="inlineStr">
        <is>
          <t>Met</t>
        </is>
      </c>
      <c r="AB326" s="102" t="n">
        <v>0.71</v>
      </c>
      <c r="AC326" s="28" t="inlineStr">
        <is>
          <t>Not Met</t>
        </is>
      </c>
      <c r="AD326" s="97" t="inlineStr">
        <is>
          <t>Not Reported</t>
        </is>
      </c>
      <c r="AE326" s="126" t="inlineStr">
        <is>
          <t>Not Reported</t>
        </is>
      </c>
      <c r="AF326" s="102" t="n">
        <v>0.86</v>
      </c>
      <c r="AG326" s="202" t="inlineStr">
        <is>
          <t>Met</t>
        </is>
      </c>
      <c r="AH326" s="285" t="n">
        <v>0</v>
      </c>
      <c r="AI326" s="285" t="inlineStr">
        <is>
          <t>Not Reported</t>
        </is>
      </c>
      <c r="AJ326" s="119" t="n">
        <v>0.75</v>
      </c>
      <c r="AK326" s="28" t="inlineStr">
        <is>
          <t>Not Met</t>
        </is>
      </c>
    </row>
    <row r="327">
      <c r="A327" s="21" t="inlineStr">
        <is>
          <t>Siemens - Advanta</t>
        </is>
      </c>
      <c r="B327" s="5" t="inlineStr">
        <is>
          <t xml:space="preserve">South 1 </t>
        </is>
      </c>
      <c r="C327" s="5" t="inlineStr">
        <is>
          <t>TBH</t>
        </is>
      </c>
      <c r="D327" s="26" t="inlineStr">
        <is>
          <t>Debashreeta</t>
        </is>
      </c>
      <c r="E327" s="26" t="inlineStr">
        <is>
          <t>Category (B)</t>
        </is>
      </c>
      <c r="F327" s="26" t="inlineStr">
        <is>
          <t>Contractual SLA</t>
        </is>
      </c>
      <c r="G327" s="21" t="inlineStr">
        <is>
          <t>No</t>
        </is>
      </c>
      <c r="H327" s="21" t="inlineStr">
        <is>
          <t>Interview To Offer Ratio</t>
        </is>
      </c>
      <c r="I327" s="16" t="n">
        <v>0.04722222222222222</v>
      </c>
      <c r="J327" s="51" t="n">
        <v>0.04375</v>
      </c>
      <c r="K327" s="28" t="inlineStr">
        <is>
          <t>Met</t>
        </is>
      </c>
      <c r="L327" s="51" t="n">
        <v>0.04375</v>
      </c>
      <c r="M327" s="28" t="inlineStr">
        <is>
          <t>Met</t>
        </is>
      </c>
      <c r="N327" s="51" t="n">
        <v>0.04444444444444445</v>
      </c>
      <c r="O327" s="28" t="inlineStr">
        <is>
          <t>Met</t>
        </is>
      </c>
      <c r="P327" s="51" t="n">
        <v>0.04375</v>
      </c>
      <c r="Q327" s="28" t="inlineStr">
        <is>
          <t>Met</t>
        </is>
      </c>
      <c r="R327" s="51" t="n">
        <v>0.04444444444444445</v>
      </c>
      <c r="S327" s="28" t="inlineStr">
        <is>
          <t>Met</t>
        </is>
      </c>
      <c r="T327" s="52" t="n">
        <v>0.04375</v>
      </c>
      <c r="U327" s="28" t="inlineStr">
        <is>
          <t>Met</t>
        </is>
      </c>
      <c r="V327" s="51" t="n">
        <v>0.04375</v>
      </c>
      <c r="W327" s="28" t="inlineStr">
        <is>
          <t>Met</t>
        </is>
      </c>
      <c r="X327" s="51" t="n">
        <v>0.04375</v>
      </c>
      <c r="Y327" s="28" t="inlineStr">
        <is>
          <t>Met</t>
        </is>
      </c>
      <c r="Z327" s="51" t="n">
        <v>0.04375</v>
      </c>
      <c r="AA327" s="28" t="inlineStr">
        <is>
          <t>Met</t>
        </is>
      </c>
      <c r="AB327" s="105" t="n">
        <v>0.04444444444444445</v>
      </c>
      <c r="AC327" s="28" t="inlineStr">
        <is>
          <t>Met</t>
        </is>
      </c>
      <c r="AD327" s="97" t="inlineStr">
        <is>
          <t>Not Reported</t>
        </is>
      </c>
      <c r="AE327" s="126" t="inlineStr">
        <is>
          <t>Not Reported</t>
        </is>
      </c>
      <c r="AF327" s="105" t="n">
        <v>0.04444444444444445</v>
      </c>
      <c r="AG327" s="202" t="inlineStr">
        <is>
          <t>Met</t>
        </is>
      </c>
      <c r="AH327" s="285" t="n">
        <v>0</v>
      </c>
      <c r="AI327" s="285" t="inlineStr">
        <is>
          <t>Not Reported</t>
        </is>
      </c>
      <c r="AJ327" s="271" t="n">
        <v>0.04375</v>
      </c>
      <c r="AK327" s="202" t="inlineStr">
        <is>
          <t>Met</t>
        </is>
      </c>
    </row>
    <row r="328">
      <c r="A328" s="21" t="inlineStr">
        <is>
          <t>Siemens - Advanta</t>
        </is>
      </c>
      <c r="B328" s="5" t="inlineStr">
        <is>
          <t xml:space="preserve">South 1 </t>
        </is>
      </c>
      <c r="C328" s="5" t="inlineStr">
        <is>
          <t>TBH</t>
        </is>
      </c>
      <c r="D328" s="26" t="inlineStr">
        <is>
          <t>Debashreeta</t>
        </is>
      </c>
      <c r="E328" s="26" t="inlineStr">
        <is>
          <t>Category (B)</t>
        </is>
      </c>
      <c r="F328" s="26" t="inlineStr">
        <is>
          <t>Contractual SLA</t>
        </is>
      </c>
      <c r="G328" s="21" t="inlineStr">
        <is>
          <t>No</t>
        </is>
      </c>
      <c r="H328" s="21" t="inlineStr">
        <is>
          <t>Source Mix</t>
        </is>
      </c>
      <c r="I328" s="14" t="inlineStr">
        <is>
          <t>ER &gt;=15%</t>
        </is>
      </c>
      <c r="J328" s="20" t="n">
        <v>0.6</v>
      </c>
      <c r="K328" s="28" t="inlineStr">
        <is>
          <t>Met</t>
        </is>
      </c>
      <c r="L328" s="52" t="n">
        <v>0.25</v>
      </c>
      <c r="M328" s="28" t="inlineStr">
        <is>
          <t>Met</t>
        </is>
      </c>
      <c r="N328" s="52" t="n">
        <v>0.1428571428571428</v>
      </c>
      <c r="O328" s="28" t="inlineStr">
        <is>
          <t>Not Met</t>
        </is>
      </c>
      <c r="P328" s="52" t="n">
        <v>0.6666666666666666</v>
      </c>
      <c r="Q328" s="28" t="inlineStr">
        <is>
          <t>Met</t>
        </is>
      </c>
      <c r="R328" s="52" t="n">
        <v>0</v>
      </c>
      <c r="S328" s="28" t="inlineStr">
        <is>
          <t>Not Met</t>
        </is>
      </c>
      <c r="T328" s="52" t="n">
        <v>0.3333333333333333</v>
      </c>
      <c r="U328" s="28" t="inlineStr">
        <is>
          <t>Met</t>
        </is>
      </c>
      <c r="V328" s="52" t="n">
        <v>0.2</v>
      </c>
      <c r="W328" s="28" t="inlineStr">
        <is>
          <t>Met</t>
        </is>
      </c>
      <c r="X328" s="52" t="n">
        <v>0.4166666666666667</v>
      </c>
      <c r="Y328" s="28" t="inlineStr">
        <is>
          <t>Met</t>
        </is>
      </c>
      <c r="Z328" s="52" t="n">
        <v>0.4166666666666667</v>
      </c>
      <c r="AA328" s="28" t="inlineStr">
        <is>
          <t>Met</t>
        </is>
      </c>
      <c r="AB328" s="102" t="n">
        <v>0.2</v>
      </c>
      <c r="AC328" s="28" t="inlineStr">
        <is>
          <t>Met</t>
        </is>
      </c>
      <c r="AD328" s="97" t="inlineStr">
        <is>
          <t>Not Reported</t>
        </is>
      </c>
      <c r="AE328" s="97" t="inlineStr">
        <is>
          <t>Not Reported</t>
        </is>
      </c>
      <c r="AF328" s="102" t="n">
        <v>0.17</v>
      </c>
      <c r="AG328" s="202" t="inlineStr">
        <is>
          <t>Met</t>
        </is>
      </c>
      <c r="AH328" s="285" t="n">
        <v>0</v>
      </c>
      <c r="AI328" s="285" t="inlineStr">
        <is>
          <t>Not Reported</t>
        </is>
      </c>
      <c r="AJ328" s="116" t="n">
        <v>0.23</v>
      </c>
      <c r="AK328" s="202" t="inlineStr">
        <is>
          <t>Met</t>
        </is>
      </c>
    </row>
    <row r="329">
      <c r="A329" s="21" t="inlineStr">
        <is>
          <t>Siemens - Advanta</t>
        </is>
      </c>
      <c r="B329" s="5" t="inlineStr">
        <is>
          <t xml:space="preserve">South 1 </t>
        </is>
      </c>
      <c r="C329" s="5" t="inlineStr">
        <is>
          <t>TBH</t>
        </is>
      </c>
      <c r="D329" s="26" t="inlineStr">
        <is>
          <t>Debashreeta</t>
        </is>
      </c>
      <c r="E329" s="26" t="inlineStr">
        <is>
          <t>Category (B)</t>
        </is>
      </c>
      <c r="F329" s="21" t="inlineStr">
        <is>
          <t>Internal KPI</t>
        </is>
      </c>
      <c r="G329" s="21" t="inlineStr">
        <is>
          <t>No</t>
        </is>
      </c>
      <c r="H329" s="21" t="inlineStr">
        <is>
          <t>Ageing</t>
        </is>
      </c>
      <c r="I329" s="20" t="n">
        <v>0.2</v>
      </c>
      <c r="J329" s="20" t="n">
        <v>0.1764705882352941</v>
      </c>
      <c r="K329" s="28" t="inlineStr">
        <is>
          <t>Met</t>
        </is>
      </c>
      <c r="L329" s="52" t="n">
        <v>0.1578947368421053</v>
      </c>
      <c r="M329" s="28" t="inlineStr">
        <is>
          <t>Met</t>
        </is>
      </c>
      <c r="N329" s="52" t="n">
        <v>0.1851851851851852</v>
      </c>
      <c r="O329" s="28" t="inlineStr">
        <is>
          <t>Met</t>
        </is>
      </c>
      <c r="P329" s="52" t="n">
        <v>0.1746031746031746</v>
      </c>
      <c r="Q329" s="28" t="inlineStr">
        <is>
          <t>Met</t>
        </is>
      </c>
      <c r="R329" s="52" t="n">
        <v>0.1351351351351351</v>
      </c>
      <c r="S329" s="28" t="inlineStr">
        <is>
          <t>Met</t>
        </is>
      </c>
      <c r="T329" s="52" t="n">
        <v>0.1351351351351351</v>
      </c>
      <c r="U329" s="28" t="inlineStr">
        <is>
          <t>Met</t>
        </is>
      </c>
      <c r="V329" s="50" t="n">
        <v>0.2285714285714286</v>
      </c>
      <c r="W329" s="28" t="inlineStr">
        <is>
          <t>Not Met</t>
        </is>
      </c>
      <c r="X329" s="50" t="n">
        <v>0.1842105263157895</v>
      </c>
      <c r="Y329" s="28" t="inlineStr">
        <is>
          <t>Met</t>
        </is>
      </c>
      <c r="Z329" s="50" t="n">
        <v>0.1842105263157895</v>
      </c>
      <c r="AA329" s="28" t="inlineStr">
        <is>
          <t>Met</t>
        </is>
      </c>
      <c r="AB329" s="102" t="n">
        <v>0.17</v>
      </c>
      <c r="AC329" s="28" t="inlineStr">
        <is>
          <t>Met</t>
        </is>
      </c>
      <c r="AD329" s="97" t="inlineStr">
        <is>
          <t>Not Reported</t>
        </is>
      </c>
      <c r="AE329" s="127" t="inlineStr">
        <is>
          <t>Not Reported</t>
        </is>
      </c>
      <c r="AF329" s="102" t="n">
        <v>0.24</v>
      </c>
      <c r="AG329" s="28" t="inlineStr">
        <is>
          <t>Not Met</t>
        </is>
      </c>
      <c r="AH329" s="285" t="n">
        <v>0</v>
      </c>
      <c r="AI329" s="285" t="inlineStr">
        <is>
          <t>Not Reported</t>
        </is>
      </c>
      <c r="AJ329" s="119" t="n">
        <v>0.19</v>
      </c>
      <c r="AK329" s="202" t="inlineStr">
        <is>
          <t>Met</t>
        </is>
      </c>
    </row>
    <row r="330">
      <c r="A330" s="21" t="inlineStr">
        <is>
          <t>Siemens - Advanta</t>
        </is>
      </c>
      <c r="B330" s="5" t="inlineStr">
        <is>
          <t xml:space="preserve">South 1 </t>
        </is>
      </c>
      <c r="C330" s="5" t="inlineStr">
        <is>
          <t>TBH</t>
        </is>
      </c>
      <c r="D330" s="26" t="inlineStr">
        <is>
          <t>Debashreeta</t>
        </is>
      </c>
      <c r="E330" s="26" t="inlineStr">
        <is>
          <t>Category (B)</t>
        </is>
      </c>
      <c r="F330" s="21" t="inlineStr">
        <is>
          <t>Internal KPI</t>
        </is>
      </c>
      <c r="G330" s="21" t="inlineStr">
        <is>
          <t>No</t>
        </is>
      </c>
      <c r="H330" s="27" t="inlineStr">
        <is>
          <t>First Time Right Ratio</t>
        </is>
      </c>
      <c r="I330" s="20" t="n">
        <v>0.7</v>
      </c>
      <c r="J330" s="20" t="n">
        <v>0.4354838709677419</v>
      </c>
      <c r="K330" s="28" t="inlineStr">
        <is>
          <t>Not Met</t>
        </is>
      </c>
      <c r="L330" s="52" t="n">
        <v>0.5625</v>
      </c>
      <c r="M330" s="28" t="inlineStr">
        <is>
          <t>Not Met</t>
        </is>
      </c>
      <c r="N330" s="52" t="n">
        <v>0.7777777777777778</v>
      </c>
      <c r="O330" s="28" t="inlineStr">
        <is>
          <t>Met</t>
        </is>
      </c>
      <c r="P330" s="52" t="n">
        <v>0.601010101010101</v>
      </c>
      <c r="Q330" s="28" t="inlineStr">
        <is>
          <t>Not Met</t>
        </is>
      </c>
      <c r="R330" s="52" t="n">
        <v>0.7471264367816092</v>
      </c>
      <c r="S330" s="28" t="inlineStr">
        <is>
          <t>Met</t>
        </is>
      </c>
      <c r="T330" s="52" t="n">
        <v>0.6835443037974683</v>
      </c>
      <c r="U330" s="28" t="inlineStr">
        <is>
          <t>Not Met</t>
        </is>
      </c>
      <c r="V330" s="50" t="n">
        <v>0.75</v>
      </c>
      <c r="W330" s="28" t="inlineStr">
        <is>
          <t>Met</t>
        </is>
      </c>
      <c r="X330" s="50" t="n">
        <v>0.7</v>
      </c>
      <c r="Y330" s="28" t="inlineStr">
        <is>
          <t>Met</t>
        </is>
      </c>
      <c r="Z330" s="50" t="n">
        <v>0.7</v>
      </c>
      <c r="AA330" s="28" t="inlineStr">
        <is>
          <t>Met</t>
        </is>
      </c>
      <c r="AB330" s="102" t="n">
        <v>0.83</v>
      </c>
      <c r="AC330" s="28" t="inlineStr">
        <is>
          <t>Met</t>
        </is>
      </c>
      <c r="AD330" s="97" t="inlineStr">
        <is>
          <t>Not Reported</t>
        </is>
      </c>
      <c r="AE330" s="126" t="inlineStr">
        <is>
          <t>Not Reported</t>
        </is>
      </c>
      <c r="AF330" s="102" t="n">
        <v>0.5600000000000001</v>
      </c>
      <c r="AG330" s="28" t="inlineStr">
        <is>
          <t>Not Met</t>
        </is>
      </c>
      <c r="AH330" s="285" t="n">
        <v>0</v>
      </c>
      <c r="AI330" s="285" t="inlineStr">
        <is>
          <t>Not Reported</t>
        </is>
      </c>
      <c r="AJ330" s="119" t="n">
        <v>0.68</v>
      </c>
      <c r="AK330" s="28" t="inlineStr">
        <is>
          <t>Not Met</t>
        </is>
      </c>
    </row>
    <row r="331">
      <c r="A331" s="21" t="inlineStr">
        <is>
          <t>Siemens - Advanta</t>
        </is>
      </c>
      <c r="B331" s="5" t="inlineStr">
        <is>
          <t xml:space="preserve">South 1 </t>
        </is>
      </c>
      <c r="C331" s="5" t="inlineStr">
        <is>
          <t>TBH</t>
        </is>
      </c>
      <c r="D331" s="26" t="inlineStr">
        <is>
          <t>Debashreeta</t>
        </is>
      </c>
      <c r="E331" s="26" t="inlineStr">
        <is>
          <t>Category (B)</t>
        </is>
      </c>
      <c r="F331" s="21" t="inlineStr">
        <is>
          <t>Internal KPI</t>
        </is>
      </c>
      <c r="G331" s="21" t="inlineStr">
        <is>
          <t>No</t>
        </is>
      </c>
      <c r="H331" s="27" t="inlineStr">
        <is>
          <t>Hit Ratio</t>
        </is>
      </c>
      <c r="I331" s="20" t="n">
        <v>0.5</v>
      </c>
      <c r="J331" s="20" t="n">
        <v>0.06451612903225806</v>
      </c>
      <c r="K331" s="28" t="inlineStr">
        <is>
          <t>Not Met</t>
        </is>
      </c>
      <c r="L331" s="52" t="n">
        <v>0.03125</v>
      </c>
      <c r="M331" s="28" t="inlineStr">
        <is>
          <t>Not Met</t>
        </is>
      </c>
      <c r="N331" s="52" t="n">
        <v>0.09722222222222222</v>
      </c>
      <c r="O331" s="28" t="inlineStr">
        <is>
          <t>Not Met</t>
        </is>
      </c>
      <c r="P331" s="52" t="n">
        <v>0.06565656565656566</v>
      </c>
      <c r="Q331" s="28" t="inlineStr">
        <is>
          <t>Not Met</t>
        </is>
      </c>
      <c r="R331" s="52" t="n">
        <v>0.1379310344827586</v>
      </c>
      <c r="S331" s="28" t="inlineStr">
        <is>
          <t>Not Met</t>
        </is>
      </c>
      <c r="T331" s="52" t="n">
        <v>0.1139240506329114</v>
      </c>
      <c r="U331" s="28" t="inlineStr">
        <is>
          <t>Not Met</t>
        </is>
      </c>
      <c r="V331" s="50" t="n">
        <v>0.35</v>
      </c>
      <c r="W331" s="28" t="inlineStr">
        <is>
          <t>Not Met</t>
        </is>
      </c>
      <c r="X331" s="50" t="n">
        <v>0.3333333333333333</v>
      </c>
      <c r="Y331" s="28" t="inlineStr">
        <is>
          <t>Not Met</t>
        </is>
      </c>
      <c r="Z331" s="50" t="n">
        <v>0.3333333333333333</v>
      </c>
      <c r="AA331" s="28" t="inlineStr">
        <is>
          <t>Not Met</t>
        </is>
      </c>
      <c r="AB331" s="102" t="n">
        <v>0.13</v>
      </c>
      <c r="AC331" s="28" t="inlineStr">
        <is>
          <t>Not Met</t>
        </is>
      </c>
      <c r="AD331" s="97" t="inlineStr">
        <is>
          <t>Not Reported</t>
        </is>
      </c>
      <c r="AE331" s="126" t="inlineStr">
        <is>
          <t>Not Reported</t>
        </is>
      </c>
      <c r="AF331" s="102" t="n">
        <v>0.08</v>
      </c>
      <c r="AG331" s="28" t="inlineStr">
        <is>
          <t>Not Met</t>
        </is>
      </c>
      <c r="AH331" s="285" t="n">
        <v>0</v>
      </c>
      <c r="AI331" s="285" t="inlineStr">
        <is>
          <t>Not Reported</t>
        </is>
      </c>
      <c r="AJ331" s="119" t="n">
        <v>0.15</v>
      </c>
      <c r="AK331" s="28" t="inlineStr">
        <is>
          <t>Not Met</t>
        </is>
      </c>
    </row>
    <row r="332">
      <c r="A332" s="21" t="inlineStr">
        <is>
          <t>Siemens - Advanta</t>
        </is>
      </c>
      <c r="B332" s="5" t="inlineStr">
        <is>
          <t xml:space="preserve">South 1 </t>
        </is>
      </c>
      <c r="C332" s="5" t="inlineStr">
        <is>
          <t>TBH</t>
        </is>
      </c>
      <c r="D332" s="26" t="inlineStr">
        <is>
          <t>Debashreeta</t>
        </is>
      </c>
      <c r="E332" s="26" t="inlineStr">
        <is>
          <t>Category (B)</t>
        </is>
      </c>
      <c r="F332" s="21" t="inlineStr">
        <is>
          <t>Internal KPI</t>
        </is>
      </c>
      <c r="G332" s="21" t="inlineStr">
        <is>
          <t>No</t>
        </is>
      </c>
      <c r="H332" s="21" t="inlineStr">
        <is>
          <t>Offer Drop</t>
        </is>
      </c>
      <c r="I332" s="20" t="n">
        <v>0.2</v>
      </c>
      <c r="J332" s="20" t="n">
        <v>0.25</v>
      </c>
      <c r="K332" s="28" t="inlineStr">
        <is>
          <t>Not Met</t>
        </is>
      </c>
      <c r="L332" s="52" t="n">
        <v>0</v>
      </c>
      <c r="M332" s="28" t="inlineStr">
        <is>
          <t>Met</t>
        </is>
      </c>
      <c r="N332" s="52" t="n">
        <v>0.2</v>
      </c>
      <c r="O332" s="28" t="inlineStr">
        <is>
          <t>Met</t>
        </is>
      </c>
      <c r="P332" s="52" t="n">
        <v>0.1666666666666667</v>
      </c>
      <c r="Q332" s="28" t="inlineStr">
        <is>
          <t>Met</t>
        </is>
      </c>
      <c r="R332" s="52" t="n">
        <v>0</v>
      </c>
      <c r="S332" s="28" t="inlineStr">
        <is>
          <t>Met</t>
        </is>
      </c>
      <c r="T332" s="52" t="n">
        <v>0.2</v>
      </c>
      <c r="U332" s="28" t="inlineStr">
        <is>
          <t>Met</t>
        </is>
      </c>
      <c r="V332" s="50" t="n">
        <v>0</v>
      </c>
      <c r="W332" s="28" t="inlineStr">
        <is>
          <t>Met</t>
        </is>
      </c>
      <c r="X332" s="50" t="n">
        <v>0</v>
      </c>
      <c r="Y332" s="28" t="inlineStr">
        <is>
          <t>Met</t>
        </is>
      </c>
      <c r="Z332" s="50" t="n">
        <v>0</v>
      </c>
      <c r="AA332" s="28" t="inlineStr">
        <is>
          <t>Met</t>
        </is>
      </c>
      <c r="AB332" s="102" t="n">
        <v>0</v>
      </c>
      <c r="AC332" s="28" t="inlineStr">
        <is>
          <t>Met</t>
        </is>
      </c>
      <c r="AD332" s="97" t="inlineStr">
        <is>
          <t>Not Reported</t>
        </is>
      </c>
      <c r="AE332" s="126" t="inlineStr">
        <is>
          <t>Not Reported</t>
        </is>
      </c>
      <c r="AF332" s="102" t="n">
        <v>0.33</v>
      </c>
      <c r="AG332" s="28" t="inlineStr">
        <is>
          <t>Not Met</t>
        </is>
      </c>
      <c r="AH332" s="285" t="n">
        <v>0</v>
      </c>
      <c r="AI332" s="285" t="inlineStr">
        <is>
          <t>Not Reported</t>
        </is>
      </c>
      <c r="AJ332" s="119" t="n">
        <v>0.12</v>
      </c>
      <c r="AK332" s="202" t="inlineStr">
        <is>
          <t>Met</t>
        </is>
      </c>
    </row>
    <row r="333">
      <c r="A333" s="21" t="inlineStr">
        <is>
          <t>Siemens - Advanta</t>
        </is>
      </c>
      <c r="B333" s="5" t="inlineStr">
        <is>
          <t xml:space="preserve">South 1 </t>
        </is>
      </c>
      <c r="C333" s="5" t="inlineStr">
        <is>
          <t>TBH</t>
        </is>
      </c>
      <c r="D333" s="26" t="inlineStr">
        <is>
          <t>Debashreeta</t>
        </is>
      </c>
      <c r="E333" s="26" t="inlineStr">
        <is>
          <t>Category (B)</t>
        </is>
      </c>
      <c r="F333" s="21" t="inlineStr">
        <is>
          <t>Internal KPI</t>
        </is>
      </c>
      <c r="G333" s="21" t="inlineStr">
        <is>
          <t>No</t>
        </is>
      </c>
      <c r="H333" s="27" t="inlineStr">
        <is>
          <t xml:space="preserve">Fulfilment </t>
        </is>
      </c>
      <c r="I333" s="20" t="n">
        <v>0.2</v>
      </c>
      <c r="J333" s="20" t="n">
        <v>0.5882352941176471</v>
      </c>
      <c r="K333" s="28" t="inlineStr">
        <is>
          <t>Met</t>
        </is>
      </c>
      <c r="L333" s="52" t="n">
        <v>0.2105263157894737</v>
      </c>
      <c r="M333" s="28" t="inlineStr">
        <is>
          <t>Met</t>
        </is>
      </c>
      <c r="N333" s="52" t="n">
        <v>0.2592592592592592</v>
      </c>
      <c r="O333" s="28" t="inlineStr">
        <is>
          <t>Met</t>
        </is>
      </c>
      <c r="P333" s="52" t="n">
        <v>0.3333333333333333</v>
      </c>
      <c r="Q333" s="28" t="inlineStr">
        <is>
          <t>Met</t>
        </is>
      </c>
      <c r="R333" s="52" t="n">
        <v>0.05405405405405406</v>
      </c>
      <c r="S333" s="28" t="inlineStr">
        <is>
          <t>Not Met</t>
        </is>
      </c>
      <c r="T333" s="52" t="n">
        <v>0.08108108108108109</v>
      </c>
      <c r="U333" s="28" t="inlineStr">
        <is>
          <t>Not Met</t>
        </is>
      </c>
      <c r="V333" s="50" t="n">
        <v>0.2</v>
      </c>
      <c r="W333" s="28" t="inlineStr">
        <is>
          <t>Met</t>
        </is>
      </c>
      <c r="X333" s="50" t="n">
        <v>0.3157894736842105</v>
      </c>
      <c r="Y333" s="28" t="inlineStr">
        <is>
          <t>Met</t>
        </is>
      </c>
      <c r="Z333" s="50" t="n">
        <v>0.3157894736842105</v>
      </c>
      <c r="AA333" s="28" t="inlineStr">
        <is>
          <t>Met</t>
        </is>
      </c>
      <c r="AB333" s="102" t="n">
        <v>0.14</v>
      </c>
      <c r="AC333" s="28" t="inlineStr">
        <is>
          <t>Not Met</t>
        </is>
      </c>
      <c r="AD333" s="97" t="inlineStr">
        <is>
          <t>Not Reported</t>
        </is>
      </c>
      <c r="AE333" s="126" t="inlineStr">
        <is>
          <t>Not Reported</t>
        </is>
      </c>
      <c r="AF333" s="102" t="n">
        <v>0.32</v>
      </c>
      <c r="AG333" s="202" t="inlineStr">
        <is>
          <t>Met</t>
        </is>
      </c>
      <c r="AH333" s="285" t="n">
        <v>0</v>
      </c>
      <c r="AI333" s="285" t="inlineStr">
        <is>
          <t>Not Reported</t>
        </is>
      </c>
      <c r="AJ333" s="119" t="n">
        <v>0.23</v>
      </c>
      <c r="AK333" s="202" t="inlineStr">
        <is>
          <t>Met</t>
        </is>
      </c>
    </row>
    <row r="334">
      <c r="A334" s="21" t="inlineStr">
        <is>
          <t>Siemens - Advanta</t>
        </is>
      </c>
      <c r="B334" s="5" t="inlineStr">
        <is>
          <t xml:space="preserve">South 1 </t>
        </is>
      </c>
      <c r="C334" s="5" t="inlineStr">
        <is>
          <t>TBH</t>
        </is>
      </c>
      <c r="D334" s="26" t="inlineStr">
        <is>
          <t>Debashreeta</t>
        </is>
      </c>
      <c r="E334" s="26" t="inlineStr">
        <is>
          <t>Category (B)</t>
        </is>
      </c>
      <c r="F334" s="21" t="inlineStr">
        <is>
          <t>Internal KPI</t>
        </is>
      </c>
      <c r="G334" s="21" t="inlineStr">
        <is>
          <t>No</t>
        </is>
      </c>
      <c r="H334" s="26" t="inlineStr">
        <is>
          <t>Diversity</t>
        </is>
      </c>
      <c r="I334" s="20" t="n">
        <v>0.35</v>
      </c>
      <c r="J334" s="20" t="n">
        <v>0.4</v>
      </c>
      <c r="K334" s="28" t="inlineStr">
        <is>
          <t>Met</t>
        </is>
      </c>
      <c r="L334" s="52" t="n">
        <v>0</v>
      </c>
      <c r="M334" s="28" t="inlineStr">
        <is>
          <t>Not Met</t>
        </is>
      </c>
      <c r="N334" s="52" t="n">
        <v>0.2857142857142857</v>
      </c>
      <c r="O334" s="28" t="inlineStr">
        <is>
          <t>Not Met</t>
        </is>
      </c>
      <c r="P334" s="52" t="n">
        <v>0.2857142857142857</v>
      </c>
      <c r="Q334" s="28" t="inlineStr">
        <is>
          <t>Not Met</t>
        </is>
      </c>
      <c r="R334" s="52" t="n">
        <v>0.5</v>
      </c>
      <c r="S334" s="28" t="inlineStr">
        <is>
          <t>Met</t>
        </is>
      </c>
      <c r="T334" s="52" t="n">
        <v>0.3333333333333333</v>
      </c>
      <c r="U334" s="28" t="inlineStr">
        <is>
          <t>Not Met</t>
        </is>
      </c>
      <c r="V334" s="50" t="n">
        <v>0.2</v>
      </c>
      <c r="W334" s="28" t="inlineStr">
        <is>
          <t>Not Met</t>
        </is>
      </c>
      <c r="X334" s="50" t="n">
        <v>0.25</v>
      </c>
      <c r="Y334" s="28" t="inlineStr">
        <is>
          <t>Not Met</t>
        </is>
      </c>
      <c r="Z334" s="50" t="n">
        <v>0.25</v>
      </c>
      <c r="AA334" s="28" t="inlineStr">
        <is>
          <t>Not Met</t>
        </is>
      </c>
      <c r="AB334" s="102" t="n">
        <v>0.4</v>
      </c>
      <c r="AC334" s="28" t="inlineStr">
        <is>
          <t>Met</t>
        </is>
      </c>
      <c r="AD334" s="97" t="inlineStr">
        <is>
          <t>Not Reported</t>
        </is>
      </c>
      <c r="AE334" s="97" t="inlineStr">
        <is>
          <t>Not Reported</t>
        </is>
      </c>
      <c r="AF334" s="102" t="n">
        <v>0.08</v>
      </c>
      <c r="AG334" s="28" t="inlineStr">
        <is>
          <t>Not Met</t>
        </is>
      </c>
      <c r="AH334" s="285" t="n">
        <v>0</v>
      </c>
      <c r="AI334" s="285" t="inlineStr">
        <is>
          <t>Not Reported</t>
        </is>
      </c>
      <c r="AJ334" s="119" t="n">
        <v>0.25</v>
      </c>
      <c r="AK334" s="28" t="inlineStr">
        <is>
          <t>Not Met</t>
        </is>
      </c>
    </row>
    <row r="335">
      <c r="A335" s="21" t="inlineStr">
        <is>
          <t>Siemens - Energy</t>
        </is>
      </c>
      <c r="B335" s="5" t="inlineStr">
        <is>
          <t xml:space="preserve">South 1 </t>
        </is>
      </c>
      <c r="C335" s="5" t="inlineStr">
        <is>
          <t>TBH</t>
        </is>
      </c>
      <c r="D335" s="26" t="inlineStr">
        <is>
          <t>Debashreeta</t>
        </is>
      </c>
      <c r="E335" s="26" t="inlineStr">
        <is>
          <t>Category (B)</t>
        </is>
      </c>
      <c r="F335" s="21" t="inlineStr">
        <is>
          <t>Contractual SLA</t>
        </is>
      </c>
      <c r="G335" s="21" t="inlineStr">
        <is>
          <t>No</t>
        </is>
      </c>
      <c r="H335" s="27" t="inlineStr">
        <is>
          <t>Time to Hire</t>
        </is>
      </c>
      <c r="I335" s="14" t="inlineStr">
        <is>
          <t>120 Days</t>
        </is>
      </c>
      <c r="J335" s="14" t="n">
        <v>107</v>
      </c>
      <c r="K335" s="28" t="inlineStr">
        <is>
          <t>Met</t>
        </is>
      </c>
      <c r="L335" s="14" t="n">
        <v>102</v>
      </c>
      <c r="M335" s="28" t="inlineStr">
        <is>
          <t>Met</t>
        </is>
      </c>
      <c r="N335" s="14" t="n">
        <v>115</v>
      </c>
      <c r="O335" s="28" t="inlineStr">
        <is>
          <t>Met</t>
        </is>
      </c>
      <c r="P335" s="14" t="n">
        <v>108</v>
      </c>
      <c r="Q335" s="28" t="inlineStr">
        <is>
          <t>Met</t>
        </is>
      </c>
      <c r="R335" s="14" t="n">
        <v>90</v>
      </c>
      <c r="S335" s="28" t="inlineStr">
        <is>
          <t>Met</t>
        </is>
      </c>
      <c r="T335" s="14" t="n">
        <v>97</v>
      </c>
      <c r="U335" s="28" t="inlineStr">
        <is>
          <t>Met</t>
        </is>
      </c>
      <c r="V335" s="14" t="n">
        <v>101</v>
      </c>
      <c r="W335" s="28" t="inlineStr">
        <is>
          <t>Met</t>
        </is>
      </c>
      <c r="X335" s="14" t="n">
        <v>108</v>
      </c>
      <c r="Y335" s="28" t="inlineStr">
        <is>
          <t>Met</t>
        </is>
      </c>
      <c r="Z335" s="14" t="n">
        <v>108</v>
      </c>
      <c r="AA335" s="28" t="inlineStr">
        <is>
          <t>Met</t>
        </is>
      </c>
      <c r="AB335" s="95" t="n">
        <v>97</v>
      </c>
      <c r="AC335" s="28" t="inlineStr">
        <is>
          <t>Met</t>
        </is>
      </c>
      <c r="AD335" s="97" t="inlineStr">
        <is>
          <t>Not Reported</t>
        </is>
      </c>
      <c r="AE335" s="97" t="inlineStr">
        <is>
          <t>Not Reported</t>
        </is>
      </c>
      <c r="AF335" s="95" t="n">
        <v>87</v>
      </c>
      <c r="AG335" s="202" t="inlineStr">
        <is>
          <t>Met</t>
        </is>
      </c>
      <c r="AH335" s="285" t="n">
        <v>0</v>
      </c>
      <c r="AI335" s="285" t="inlineStr">
        <is>
          <t>Not Reported</t>
        </is>
      </c>
      <c r="AJ335" s="147" t="n">
        <v>101</v>
      </c>
      <c r="AK335" s="202" t="inlineStr">
        <is>
          <t>Met</t>
        </is>
      </c>
    </row>
    <row r="336">
      <c r="A336" s="21" t="inlineStr">
        <is>
          <t>Siemens - Energy</t>
        </is>
      </c>
      <c r="B336" s="5" t="inlineStr">
        <is>
          <t xml:space="preserve">South 1 </t>
        </is>
      </c>
      <c r="C336" s="5" t="inlineStr">
        <is>
          <t>TBH</t>
        </is>
      </c>
      <c r="D336" s="26" t="inlineStr">
        <is>
          <t>Debashreeta</t>
        </is>
      </c>
      <c r="E336" s="26" t="inlineStr">
        <is>
          <t>Category (B)</t>
        </is>
      </c>
      <c r="F336" s="21" t="inlineStr">
        <is>
          <t>Contractual SLA</t>
        </is>
      </c>
      <c r="G336" s="21" t="inlineStr">
        <is>
          <t>No</t>
        </is>
      </c>
      <c r="H336" s="27" t="inlineStr">
        <is>
          <t>Time to Fill</t>
        </is>
      </c>
      <c r="I336" s="14" t="inlineStr">
        <is>
          <t>60 Days</t>
        </is>
      </c>
      <c r="J336" s="14" t="n">
        <v>51</v>
      </c>
      <c r="K336" s="28" t="inlineStr">
        <is>
          <t>Met</t>
        </is>
      </c>
      <c r="L336" s="14" t="n">
        <v>19</v>
      </c>
      <c r="M336" s="28" t="inlineStr">
        <is>
          <t>Met</t>
        </is>
      </c>
      <c r="N336" s="14" t="n">
        <v>35</v>
      </c>
      <c r="O336" s="28" t="inlineStr">
        <is>
          <t>Met</t>
        </is>
      </c>
      <c r="P336" s="14" t="n">
        <v>35</v>
      </c>
      <c r="Q336" s="28" t="inlineStr">
        <is>
          <t>Met</t>
        </is>
      </c>
      <c r="R336" s="14" t="n">
        <v>37</v>
      </c>
      <c r="S336" s="28" t="inlineStr">
        <is>
          <t>Met</t>
        </is>
      </c>
      <c r="T336" s="14" t="n">
        <v>43</v>
      </c>
      <c r="U336" s="28" t="inlineStr">
        <is>
          <t>Met</t>
        </is>
      </c>
      <c r="V336" s="14" t="n">
        <v>41</v>
      </c>
      <c r="W336" s="28" t="inlineStr">
        <is>
          <t>Met</t>
        </is>
      </c>
      <c r="X336" s="14" t="n">
        <v>48</v>
      </c>
      <c r="Y336" s="28" t="inlineStr">
        <is>
          <t>Met</t>
        </is>
      </c>
      <c r="Z336" s="14" t="n">
        <v>48</v>
      </c>
      <c r="AA336" s="28" t="inlineStr">
        <is>
          <t>Met</t>
        </is>
      </c>
      <c r="AB336" s="95" t="n">
        <v>47</v>
      </c>
      <c r="AC336" s="28" t="inlineStr">
        <is>
          <t>Met</t>
        </is>
      </c>
      <c r="AD336" s="97" t="inlineStr">
        <is>
          <t>Not Reported</t>
        </is>
      </c>
      <c r="AE336" s="97" t="inlineStr">
        <is>
          <t>Not Reported</t>
        </is>
      </c>
      <c r="AF336" s="95" t="n">
        <v>34</v>
      </c>
      <c r="AG336" s="202" t="inlineStr">
        <is>
          <t>Met</t>
        </is>
      </c>
      <c r="AH336" s="285" t="n">
        <v>0</v>
      </c>
      <c r="AI336" s="285" t="inlineStr">
        <is>
          <t>Not Reported</t>
        </is>
      </c>
      <c r="AJ336" s="147" t="n">
        <v>40</v>
      </c>
      <c r="AK336" s="202" t="inlineStr">
        <is>
          <t>Met</t>
        </is>
      </c>
    </row>
    <row r="337">
      <c r="A337" s="21" t="inlineStr">
        <is>
          <t>Siemens - Energy</t>
        </is>
      </c>
      <c r="B337" s="5" t="inlineStr">
        <is>
          <t xml:space="preserve">South 1 </t>
        </is>
      </c>
      <c r="C337" s="5" t="inlineStr">
        <is>
          <t>TBH</t>
        </is>
      </c>
      <c r="D337" s="26" t="inlineStr">
        <is>
          <t>Debashreeta</t>
        </is>
      </c>
      <c r="E337" s="26" t="inlineStr">
        <is>
          <t>Category (B)</t>
        </is>
      </c>
      <c r="F337" s="21" t="inlineStr">
        <is>
          <t>Contractual SLA</t>
        </is>
      </c>
      <c r="G337" s="21" t="inlineStr">
        <is>
          <t>No</t>
        </is>
      </c>
      <c r="H337" s="26" t="inlineStr">
        <is>
          <t>Offer to Joining %</t>
        </is>
      </c>
      <c r="I337" s="11" t="n">
        <v>0.8</v>
      </c>
      <c r="J337" s="11" t="n">
        <v>0.86</v>
      </c>
      <c r="K337" s="28" t="inlineStr">
        <is>
          <t>Met</t>
        </is>
      </c>
      <c r="L337" s="20" t="n">
        <v>1</v>
      </c>
      <c r="M337" s="28" t="inlineStr">
        <is>
          <t>Met</t>
        </is>
      </c>
      <c r="N337" s="20" t="n">
        <v>0.8636363636363636</v>
      </c>
      <c r="O337" s="28" t="inlineStr">
        <is>
          <t>Met</t>
        </is>
      </c>
      <c r="P337" s="20" t="n">
        <v>0.9148936170212766</v>
      </c>
      <c r="Q337" s="28" t="inlineStr">
        <is>
          <t>Met</t>
        </is>
      </c>
      <c r="R337" s="20" t="n">
        <v>0.7931034482758621</v>
      </c>
      <c r="S337" s="28" t="inlineStr">
        <is>
          <t>Not Met</t>
        </is>
      </c>
      <c r="T337" s="20" t="n">
        <v>0.8076923076923077</v>
      </c>
      <c r="U337" s="28" t="inlineStr">
        <is>
          <t>Met</t>
        </is>
      </c>
      <c r="V337" s="20" t="n">
        <v>0.9736842105263158</v>
      </c>
      <c r="W337" s="28" t="inlineStr">
        <is>
          <t>Met</t>
        </is>
      </c>
      <c r="X337" s="20" t="n">
        <v>1</v>
      </c>
      <c r="Y337" s="28" t="inlineStr">
        <is>
          <t>Met</t>
        </is>
      </c>
      <c r="Z337" s="20" t="n">
        <v>1</v>
      </c>
      <c r="AA337" s="28" t="inlineStr">
        <is>
          <t>Met</t>
        </is>
      </c>
      <c r="AB337" s="102" t="n">
        <v>0.84</v>
      </c>
      <c r="AC337" s="28" t="inlineStr">
        <is>
          <t>Met</t>
        </is>
      </c>
      <c r="AD337" s="97" t="inlineStr">
        <is>
          <t>Not Reported</t>
        </is>
      </c>
      <c r="AE337" s="97" t="inlineStr">
        <is>
          <t>Not Reported</t>
        </is>
      </c>
      <c r="AF337" s="102" t="n">
        <v>0.93</v>
      </c>
      <c r="AG337" s="202" t="inlineStr">
        <is>
          <t>Met</t>
        </is>
      </c>
      <c r="AH337" s="285" t="n">
        <v>0</v>
      </c>
      <c r="AI337" s="285" t="inlineStr">
        <is>
          <t>Not Reported</t>
        </is>
      </c>
      <c r="AJ337" s="149">
        <f>138/154</f>
        <v/>
      </c>
      <c r="AK337" s="202" t="inlineStr">
        <is>
          <t>Met</t>
        </is>
      </c>
    </row>
    <row r="338">
      <c r="A338" s="21" t="inlineStr">
        <is>
          <t>Siemens - Energy</t>
        </is>
      </c>
      <c r="B338" s="5" t="inlineStr">
        <is>
          <t xml:space="preserve">South 1 </t>
        </is>
      </c>
      <c r="C338" s="5" t="inlineStr">
        <is>
          <t>TBH</t>
        </is>
      </c>
      <c r="D338" s="26" t="inlineStr">
        <is>
          <t>Debashreeta</t>
        </is>
      </c>
      <c r="E338" s="26" t="inlineStr">
        <is>
          <t>Category (B)</t>
        </is>
      </c>
      <c r="F338" s="21" t="inlineStr">
        <is>
          <t>Contractual SLA</t>
        </is>
      </c>
      <c r="G338" s="21" t="inlineStr">
        <is>
          <t>No</t>
        </is>
      </c>
      <c r="H338" s="21" t="inlineStr">
        <is>
          <t>Interview To Offer Ratio</t>
        </is>
      </c>
      <c r="I338" s="16" t="n">
        <v>0.04722222222222222</v>
      </c>
      <c r="J338" s="16" t="n">
        <v>0.04722222222222222</v>
      </c>
      <c r="K338" s="28" t="inlineStr">
        <is>
          <t>Met</t>
        </is>
      </c>
      <c r="L338" s="16" t="n">
        <v>0.04375</v>
      </c>
      <c r="M338" s="28" t="inlineStr">
        <is>
          <t>Met</t>
        </is>
      </c>
      <c r="N338" s="16" t="n">
        <v>0.04375</v>
      </c>
      <c r="O338" s="28" t="inlineStr">
        <is>
          <t>Met</t>
        </is>
      </c>
      <c r="P338" s="16" t="n">
        <v>0.04444444444444445</v>
      </c>
      <c r="Q338" s="28" t="inlineStr">
        <is>
          <t>Met</t>
        </is>
      </c>
      <c r="R338" s="16" t="n">
        <v>0.04305555555555556</v>
      </c>
      <c r="S338" s="28" t="inlineStr">
        <is>
          <t>Met</t>
        </is>
      </c>
      <c r="T338" s="16" t="n">
        <v>0.04305555555555556</v>
      </c>
      <c r="U338" s="28" t="inlineStr">
        <is>
          <t>Met</t>
        </is>
      </c>
      <c r="V338" s="16" t="n">
        <v>0.04375</v>
      </c>
      <c r="W338" s="28" t="inlineStr">
        <is>
          <t>Met</t>
        </is>
      </c>
      <c r="X338" s="16" t="n">
        <v>0.04513888888888889</v>
      </c>
      <c r="Y338" s="28" t="inlineStr">
        <is>
          <t>Met</t>
        </is>
      </c>
      <c r="Z338" s="16" t="n">
        <v>0.04513888888888889</v>
      </c>
      <c r="AA338" s="28" t="inlineStr">
        <is>
          <t>Met</t>
        </is>
      </c>
      <c r="AB338" s="105" t="n">
        <v>0.04444444444444445</v>
      </c>
      <c r="AC338" s="28" t="inlineStr">
        <is>
          <t>Met</t>
        </is>
      </c>
      <c r="AD338" s="97" t="inlineStr">
        <is>
          <t>Not Reported</t>
        </is>
      </c>
      <c r="AE338" s="97" t="inlineStr">
        <is>
          <t>Not Reported</t>
        </is>
      </c>
      <c r="AF338" s="105" t="n">
        <v>0.04305555555555556</v>
      </c>
      <c r="AG338" s="202" t="inlineStr">
        <is>
          <t>Met</t>
        </is>
      </c>
      <c r="AH338" s="285" t="n">
        <v>0</v>
      </c>
      <c r="AI338" s="285" t="inlineStr">
        <is>
          <t>Not Reported</t>
        </is>
      </c>
      <c r="AJ338" s="141" t="n">
        <v>0.04375</v>
      </c>
      <c r="AK338" s="202" t="inlineStr">
        <is>
          <t>Met</t>
        </is>
      </c>
    </row>
    <row r="339">
      <c r="A339" s="21" t="inlineStr">
        <is>
          <t>Siemens - Energy</t>
        </is>
      </c>
      <c r="B339" s="5" t="inlineStr">
        <is>
          <t xml:space="preserve">South 1 </t>
        </is>
      </c>
      <c r="C339" s="5" t="inlineStr">
        <is>
          <t>TBH</t>
        </is>
      </c>
      <c r="D339" s="26" t="inlineStr">
        <is>
          <t>Debashreeta</t>
        </is>
      </c>
      <c r="E339" s="26" t="inlineStr">
        <is>
          <t>Category (B)</t>
        </is>
      </c>
      <c r="F339" s="21" t="inlineStr">
        <is>
          <t>Contractual SLA</t>
        </is>
      </c>
      <c r="G339" s="21" t="inlineStr">
        <is>
          <t>No</t>
        </is>
      </c>
      <c r="H339" s="21" t="inlineStr">
        <is>
          <t>Source Mix - ER</t>
        </is>
      </c>
      <c r="I339" s="11" t="n">
        <v>0.15</v>
      </c>
      <c r="J339" s="20" t="n">
        <v>0.1666666666666667</v>
      </c>
      <c r="K339" s="28" t="inlineStr">
        <is>
          <t>Met</t>
        </is>
      </c>
      <c r="L339" s="11" t="n">
        <v>0.2777777777777778</v>
      </c>
      <c r="M339" s="28" t="inlineStr">
        <is>
          <t>Met</t>
        </is>
      </c>
      <c r="N339" s="11" t="n">
        <v>0.2631578947368421</v>
      </c>
      <c r="O339" s="28" t="inlineStr">
        <is>
          <t>Met</t>
        </is>
      </c>
      <c r="P339" s="11" t="n">
        <v>0.2558139534883721</v>
      </c>
      <c r="Q339" s="28" t="inlineStr">
        <is>
          <t>Met</t>
        </is>
      </c>
      <c r="R339" s="11" t="n">
        <v>0.2608695652173913</v>
      </c>
      <c r="S339" s="28" t="inlineStr">
        <is>
          <t>Met</t>
        </is>
      </c>
      <c r="T339" s="11" t="n">
        <v>0.1904761904761905</v>
      </c>
      <c r="U339" s="28" t="inlineStr">
        <is>
          <t>Met</t>
        </is>
      </c>
      <c r="V339" s="11" t="n">
        <v>0.2162162162162162</v>
      </c>
      <c r="W339" s="28" t="inlineStr">
        <is>
          <t>Met</t>
        </is>
      </c>
      <c r="X339" s="11" t="n">
        <v>0.3076923076923077</v>
      </c>
      <c r="Y339" s="28" t="inlineStr">
        <is>
          <t>Met</t>
        </is>
      </c>
      <c r="Z339" s="11" t="n">
        <v>0.3076923076923077</v>
      </c>
      <c r="AA339" s="28" t="inlineStr">
        <is>
          <t>Met</t>
        </is>
      </c>
      <c r="AB339" s="102" t="n">
        <v>0.38</v>
      </c>
      <c r="AC339" s="28" t="inlineStr">
        <is>
          <t>Met</t>
        </is>
      </c>
      <c r="AD339" s="97" t="inlineStr">
        <is>
          <t>Not Reported</t>
        </is>
      </c>
      <c r="AE339" s="97" t="inlineStr">
        <is>
          <t>Not Reported</t>
        </is>
      </c>
      <c r="AF339" s="102" t="n">
        <v>0.52</v>
      </c>
      <c r="AG339" s="202" t="inlineStr">
        <is>
          <t>Met</t>
        </is>
      </c>
      <c r="AH339" s="285" t="n">
        <v>0</v>
      </c>
      <c r="AI339" s="285" t="inlineStr">
        <is>
          <t>Not Reported</t>
        </is>
      </c>
      <c r="AJ339" s="135" t="n">
        <v>0.29</v>
      </c>
      <c r="AK339" s="202" t="inlineStr">
        <is>
          <t>Met</t>
        </is>
      </c>
    </row>
    <row r="340">
      <c r="A340" s="21" t="inlineStr">
        <is>
          <t>Siemens - Energy</t>
        </is>
      </c>
      <c r="B340" s="5" t="inlineStr">
        <is>
          <t xml:space="preserve">South 1 </t>
        </is>
      </c>
      <c r="C340" s="5" t="inlineStr">
        <is>
          <t>TBH</t>
        </is>
      </c>
      <c r="D340" s="26" t="inlineStr">
        <is>
          <t>Debashreeta</t>
        </is>
      </c>
      <c r="E340" s="26" t="inlineStr">
        <is>
          <t>Category (B)</t>
        </is>
      </c>
      <c r="F340" s="21" t="inlineStr">
        <is>
          <t>Internal KPI</t>
        </is>
      </c>
      <c r="G340" s="21" t="inlineStr">
        <is>
          <t>No</t>
        </is>
      </c>
      <c r="H340" s="21" t="inlineStr">
        <is>
          <t>Ageing</t>
        </is>
      </c>
      <c r="I340" s="20" t="n">
        <v>0.2</v>
      </c>
      <c r="J340" s="20" t="n">
        <v>0.09836065573770492</v>
      </c>
      <c r="K340" s="28" t="inlineStr">
        <is>
          <t>Met</t>
        </is>
      </c>
      <c r="L340" s="52" t="n">
        <v>0.1506849315068493</v>
      </c>
      <c r="M340" s="28" t="inlineStr">
        <is>
          <t>Met</t>
        </is>
      </c>
      <c r="N340" s="52" t="n">
        <v>0.1071428571428571</v>
      </c>
      <c r="O340" s="28" t="inlineStr">
        <is>
          <t>Met</t>
        </is>
      </c>
      <c r="P340" s="52" t="n">
        <v>0.1192660550458716</v>
      </c>
      <c r="Q340" s="28" t="inlineStr">
        <is>
          <t>Met</t>
        </is>
      </c>
      <c r="R340" s="52" t="n">
        <v>0.2247191011235955</v>
      </c>
      <c r="S340" s="28" t="inlineStr">
        <is>
          <t>Not Met</t>
        </is>
      </c>
      <c r="T340" s="52" t="n">
        <v>0.3265306122448979</v>
      </c>
      <c r="U340" s="28" t="inlineStr">
        <is>
          <t>Not Met</t>
        </is>
      </c>
      <c r="V340" s="50" t="n">
        <v>0.4666666666666667</v>
      </c>
      <c r="W340" s="28" t="inlineStr">
        <is>
          <t>Not Met</t>
        </is>
      </c>
      <c r="X340" s="50" t="n">
        <v>0.3</v>
      </c>
      <c r="Y340" s="28" t="inlineStr">
        <is>
          <t>Not Met</t>
        </is>
      </c>
      <c r="Z340" s="50" t="n">
        <v>0.3</v>
      </c>
      <c r="AA340" s="28" t="inlineStr">
        <is>
          <t>Not Met</t>
        </is>
      </c>
      <c r="AB340" s="102" t="n">
        <v>0.19</v>
      </c>
      <c r="AC340" s="28" t="inlineStr">
        <is>
          <t>Met</t>
        </is>
      </c>
      <c r="AD340" s="97" t="inlineStr">
        <is>
          <t>Not Reported</t>
        </is>
      </c>
      <c r="AE340" s="127" t="inlineStr">
        <is>
          <t>Not Reported</t>
        </is>
      </c>
      <c r="AF340" s="102" t="n">
        <v>0.23</v>
      </c>
      <c r="AG340" s="28" t="inlineStr">
        <is>
          <t>Not Met</t>
        </is>
      </c>
      <c r="AH340" s="285" t="n">
        <v>0</v>
      </c>
      <c r="AI340" s="285" t="inlineStr">
        <is>
          <t>Not Reported</t>
        </is>
      </c>
      <c r="AJ340" s="119" t="n">
        <v>0.22</v>
      </c>
      <c r="AK340" s="28" t="inlineStr">
        <is>
          <t>Not Met</t>
        </is>
      </c>
    </row>
    <row r="341">
      <c r="A341" s="21" t="inlineStr">
        <is>
          <t>Siemens - Energy</t>
        </is>
      </c>
      <c r="B341" s="5" t="inlineStr">
        <is>
          <t xml:space="preserve">South 1 </t>
        </is>
      </c>
      <c r="C341" s="5" t="inlineStr">
        <is>
          <t>TBH</t>
        </is>
      </c>
      <c r="D341" s="26" t="inlineStr">
        <is>
          <t>Debashreeta</t>
        </is>
      </c>
      <c r="E341" s="26" t="inlineStr">
        <is>
          <t>Category (B)</t>
        </is>
      </c>
      <c r="F341" s="21" t="inlineStr">
        <is>
          <t>Internal KPI</t>
        </is>
      </c>
      <c r="G341" s="21" t="inlineStr">
        <is>
          <t>No</t>
        </is>
      </c>
      <c r="H341" s="27" t="inlineStr">
        <is>
          <t>First Time Right Ratio</t>
        </is>
      </c>
      <c r="I341" s="20" t="n">
        <v>0.7</v>
      </c>
      <c r="J341" s="20" t="n">
        <v>0.7142857142857143</v>
      </c>
      <c r="K341" s="28" t="inlineStr">
        <is>
          <t>Met</t>
        </is>
      </c>
      <c r="L341" s="52" t="n">
        <v>0.5980392156862745</v>
      </c>
      <c r="M341" s="28" t="inlineStr">
        <is>
          <t>Not Met</t>
        </is>
      </c>
      <c r="N341" s="52" t="n">
        <v>0.925</v>
      </c>
      <c r="O341" s="28" t="inlineStr">
        <is>
          <t>Met</t>
        </is>
      </c>
      <c r="P341" s="52" t="n">
        <v>0.7216117216117216</v>
      </c>
      <c r="Q341" s="28" t="inlineStr">
        <is>
          <t>Met</t>
        </is>
      </c>
      <c r="R341" s="52" t="n">
        <v>0.7007299270072993</v>
      </c>
      <c r="S341" s="28" t="inlineStr">
        <is>
          <t>Met</t>
        </is>
      </c>
      <c r="T341" s="52" t="n">
        <v>0.5555555555555556</v>
      </c>
      <c r="U341" s="28" t="inlineStr">
        <is>
          <t>Not Met</t>
        </is>
      </c>
      <c r="V341" s="50" t="n">
        <v>0.7464788732394366</v>
      </c>
      <c r="W341" s="28" t="inlineStr">
        <is>
          <t>Met</t>
        </is>
      </c>
      <c r="X341" s="50" t="n">
        <v>0.6153846153846154</v>
      </c>
      <c r="Y341" s="28" t="inlineStr">
        <is>
          <t>Not Met</t>
        </is>
      </c>
      <c r="Z341" s="50" t="n">
        <v>0.6153846153846154</v>
      </c>
      <c r="AA341" s="28" t="inlineStr">
        <is>
          <t>Not Met</t>
        </is>
      </c>
      <c r="AB341" s="102" t="n">
        <v>0.54</v>
      </c>
      <c r="AC341" s="28" t="inlineStr">
        <is>
          <t>Not Met</t>
        </is>
      </c>
      <c r="AD341" s="97" t="inlineStr">
        <is>
          <t>Not Reported</t>
        </is>
      </c>
      <c r="AE341" s="126" t="inlineStr">
        <is>
          <t>Not Reported</t>
        </is>
      </c>
      <c r="AF341" s="194" t="n">
        <v>0.75</v>
      </c>
      <c r="AG341" s="202" t="inlineStr">
        <is>
          <t>Met</t>
        </is>
      </c>
      <c r="AH341" s="285" t="n">
        <v>0</v>
      </c>
      <c r="AI341" s="285" t="inlineStr">
        <is>
          <t>Not Reported</t>
        </is>
      </c>
      <c r="AJ341" s="119" t="n">
        <v>0.7</v>
      </c>
      <c r="AK341" s="202" t="inlineStr">
        <is>
          <t>Met</t>
        </is>
      </c>
    </row>
    <row r="342">
      <c r="A342" s="21" t="inlineStr">
        <is>
          <t>Siemens - Energy</t>
        </is>
      </c>
      <c r="B342" s="5" t="inlineStr">
        <is>
          <t xml:space="preserve">South 1 </t>
        </is>
      </c>
      <c r="C342" s="5" t="inlineStr">
        <is>
          <t>TBH</t>
        </is>
      </c>
      <c r="D342" s="26" t="inlineStr">
        <is>
          <t>Debashreeta</t>
        </is>
      </c>
      <c r="E342" s="26" t="inlineStr">
        <is>
          <t>Category (B)</t>
        </is>
      </c>
      <c r="F342" s="21" t="inlineStr">
        <is>
          <t>Internal KPI</t>
        </is>
      </c>
      <c r="G342" s="21" t="inlineStr">
        <is>
          <t>No</t>
        </is>
      </c>
      <c r="H342" s="27" t="inlineStr">
        <is>
          <t>Hit Ratio</t>
        </is>
      </c>
      <c r="I342" s="20" t="n">
        <v>0.5</v>
      </c>
      <c r="J342" s="20" t="n">
        <v>0.4065934065934066</v>
      </c>
      <c r="K342" s="28" t="inlineStr">
        <is>
          <t>Not Met</t>
        </is>
      </c>
      <c r="L342" s="52" t="n">
        <v>0.4509803921568628</v>
      </c>
      <c r="M342" s="28" t="inlineStr">
        <is>
          <t>Not Met</t>
        </is>
      </c>
      <c r="N342" s="52" t="n">
        <v>0.3375</v>
      </c>
      <c r="O342" s="28" t="inlineStr">
        <is>
          <t>Not Met</t>
        </is>
      </c>
      <c r="P342" s="52" t="n">
        <v>0.4029304029304029</v>
      </c>
      <c r="Q342" s="28" t="inlineStr">
        <is>
          <t>Not Met</t>
        </is>
      </c>
      <c r="R342" s="52" t="n">
        <v>0.2554744525547445</v>
      </c>
      <c r="S342" s="28" t="inlineStr">
        <is>
          <t>Not Met</t>
        </is>
      </c>
      <c r="T342" s="52" t="n">
        <v>0.212962962962963</v>
      </c>
      <c r="U342" s="28" t="inlineStr">
        <is>
          <t>Not Met</t>
        </is>
      </c>
      <c r="V342" s="50" t="n">
        <v>0.5660377358490566</v>
      </c>
      <c r="W342" s="28" t="inlineStr">
        <is>
          <t>Met</t>
        </is>
      </c>
      <c r="X342" s="50" t="n">
        <v>0.3125</v>
      </c>
      <c r="Y342" s="28" t="inlineStr">
        <is>
          <t>Not Met</t>
        </is>
      </c>
      <c r="Z342" s="50" t="n">
        <v>0.3125</v>
      </c>
      <c r="AA342" s="28" t="inlineStr">
        <is>
          <t>Not Met</t>
        </is>
      </c>
      <c r="AB342" s="102" t="n">
        <v>0.41</v>
      </c>
      <c r="AC342" s="28" t="inlineStr">
        <is>
          <t>Not Met</t>
        </is>
      </c>
      <c r="AD342" s="97" t="inlineStr">
        <is>
          <t>Not Reported</t>
        </is>
      </c>
      <c r="AE342" s="126" t="inlineStr">
        <is>
          <t>Not Reported</t>
        </is>
      </c>
      <c r="AF342" s="102" t="n">
        <v>0.22</v>
      </c>
      <c r="AG342" s="28" t="inlineStr">
        <is>
          <t>Not Met</t>
        </is>
      </c>
      <c r="AH342" s="285" t="n">
        <v>0</v>
      </c>
      <c r="AI342" s="285" t="inlineStr">
        <is>
          <t>Not Reported</t>
        </is>
      </c>
      <c r="AJ342" s="119" t="n">
        <v>0.35</v>
      </c>
      <c r="AK342" s="28" t="inlineStr">
        <is>
          <t>Not Met</t>
        </is>
      </c>
    </row>
    <row r="343">
      <c r="A343" s="21" t="inlineStr">
        <is>
          <t>Siemens - Energy</t>
        </is>
      </c>
      <c r="B343" s="5" t="inlineStr">
        <is>
          <t xml:space="preserve">South 1 </t>
        </is>
      </c>
      <c r="C343" s="5" t="inlineStr">
        <is>
          <t>TBH</t>
        </is>
      </c>
      <c r="D343" s="26" t="inlineStr">
        <is>
          <t>Debashreeta</t>
        </is>
      </c>
      <c r="E343" s="26" t="inlineStr">
        <is>
          <t>Category (B)</t>
        </is>
      </c>
      <c r="F343" s="21" t="inlineStr">
        <is>
          <t>Internal KPI</t>
        </is>
      </c>
      <c r="G343" s="21" t="inlineStr">
        <is>
          <t>No</t>
        </is>
      </c>
      <c r="H343" s="21" t="inlineStr">
        <is>
          <t>Offer Drop</t>
        </is>
      </c>
      <c r="I343" s="20" t="n">
        <v>0.2</v>
      </c>
      <c r="J343" s="11" t="n">
        <v>0</v>
      </c>
      <c r="K343" s="28" t="inlineStr">
        <is>
          <t>Met</t>
        </is>
      </c>
      <c r="L343" s="52" t="n">
        <v>0</v>
      </c>
      <c r="M343" s="28" t="inlineStr">
        <is>
          <t>Met</t>
        </is>
      </c>
      <c r="N343" s="52" t="n">
        <v>0.0625</v>
      </c>
      <c r="O343" s="28" t="inlineStr">
        <is>
          <t>Met</t>
        </is>
      </c>
      <c r="P343" s="52" t="n">
        <v>0.02631578947368421</v>
      </c>
      <c r="Q343" s="28" t="inlineStr">
        <is>
          <t>Met</t>
        </is>
      </c>
      <c r="R343" s="52" t="n">
        <v>0.04</v>
      </c>
      <c r="S343" s="28" t="inlineStr">
        <is>
          <t>Met</t>
        </is>
      </c>
      <c r="T343" s="52" t="n">
        <v>0</v>
      </c>
      <c r="U343" s="28" t="inlineStr">
        <is>
          <t>Met</t>
        </is>
      </c>
      <c r="V343" s="50" t="n">
        <v>0</v>
      </c>
      <c r="W343" s="28" t="inlineStr">
        <is>
          <t>Met</t>
        </is>
      </c>
      <c r="X343" s="50" t="n">
        <v>0.06666666666666667</v>
      </c>
      <c r="Y343" s="28" t="inlineStr">
        <is>
          <t>Met</t>
        </is>
      </c>
      <c r="Z343" s="50" t="n">
        <v>0.06666666666666667</v>
      </c>
      <c r="AA343" s="28" t="inlineStr">
        <is>
          <t>Met</t>
        </is>
      </c>
      <c r="AB343" s="102" t="n">
        <v>0.11</v>
      </c>
      <c r="AC343" s="28" t="inlineStr">
        <is>
          <t>Met</t>
        </is>
      </c>
      <c r="AD343" s="97" t="inlineStr">
        <is>
          <t>Not Reported</t>
        </is>
      </c>
      <c r="AE343" s="126" t="inlineStr">
        <is>
          <t>Not Reported</t>
        </is>
      </c>
      <c r="AF343" s="246" t="n">
        <v>0.02</v>
      </c>
      <c r="AG343" s="202" t="inlineStr">
        <is>
          <t>Met</t>
        </is>
      </c>
      <c r="AH343" s="285" t="n">
        <v>0</v>
      </c>
      <c r="AI343" s="285" t="inlineStr">
        <is>
          <t>Not Reported</t>
        </is>
      </c>
      <c r="AJ343" s="119" t="n">
        <v>0.13</v>
      </c>
      <c r="AK343" s="202" t="inlineStr">
        <is>
          <t>Met</t>
        </is>
      </c>
    </row>
    <row r="344">
      <c r="A344" s="21" t="inlineStr">
        <is>
          <t>Siemens - Energy</t>
        </is>
      </c>
      <c r="B344" s="5" t="inlineStr">
        <is>
          <t xml:space="preserve">South 1 </t>
        </is>
      </c>
      <c r="C344" s="5" t="inlineStr">
        <is>
          <t>TBH</t>
        </is>
      </c>
      <c r="D344" s="26" t="inlineStr">
        <is>
          <t>Debashreeta</t>
        </is>
      </c>
      <c r="E344" s="26" t="inlineStr">
        <is>
          <t>Category (B)</t>
        </is>
      </c>
      <c r="F344" s="21" t="inlineStr">
        <is>
          <t>Internal KPI</t>
        </is>
      </c>
      <c r="G344" s="21" t="inlineStr">
        <is>
          <t>No</t>
        </is>
      </c>
      <c r="H344" s="27" t="inlineStr">
        <is>
          <t xml:space="preserve">Fulfilment </t>
        </is>
      </c>
      <c r="I344" s="20" t="n">
        <v>0.2</v>
      </c>
      <c r="J344" s="20" t="n">
        <v>0.09836065573770492</v>
      </c>
      <c r="K344" s="28" t="inlineStr">
        <is>
          <t>Not Met</t>
        </is>
      </c>
      <c r="L344" s="52" t="n">
        <v>0.2465753424657534</v>
      </c>
      <c r="M344" s="28" t="inlineStr">
        <is>
          <t>Met</t>
        </is>
      </c>
      <c r="N344" s="52" t="n">
        <v>0.2261904761904762</v>
      </c>
      <c r="O344" s="28" t="inlineStr">
        <is>
          <t>Met</t>
        </is>
      </c>
      <c r="P344" s="52" t="n">
        <v>0.1972477064220184</v>
      </c>
      <c r="Q344" s="28" t="inlineStr">
        <is>
          <t>Met</t>
        </is>
      </c>
      <c r="R344" s="52" t="n">
        <v>0.2584269662921349</v>
      </c>
      <c r="S344" s="28" t="inlineStr">
        <is>
          <t>Met</t>
        </is>
      </c>
      <c r="T344" s="52" t="n">
        <v>0.1428571428571428</v>
      </c>
      <c r="U344" s="28" t="inlineStr">
        <is>
          <t>Not Met</t>
        </is>
      </c>
      <c r="V344" s="50" t="n">
        <v>0.4933333333333333</v>
      </c>
      <c r="W344" s="28" t="inlineStr">
        <is>
          <t>Met</t>
        </is>
      </c>
      <c r="X344" s="50" t="n">
        <v>0.1733333333333333</v>
      </c>
      <c r="Y344" s="28" t="inlineStr">
        <is>
          <t>Not Met</t>
        </is>
      </c>
      <c r="Z344" s="50" t="n">
        <v>0.1733333333333333</v>
      </c>
      <c r="AA344" s="28" t="inlineStr">
        <is>
          <t>Not Met</t>
        </is>
      </c>
      <c r="AB344" s="102" t="n">
        <v>0.11</v>
      </c>
      <c r="AC344" s="28" t="inlineStr">
        <is>
          <t>Not Met</t>
        </is>
      </c>
      <c r="AD344" s="97" t="inlineStr">
        <is>
          <t>Not Reported</t>
        </is>
      </c>
      <c r="AE344" s="126" t="inlineStr">
        <is>
          <t>Not Reported</t>
        </is>
      </c>
      <c r="AF344" s="102" t="n">
        <v>0.14</v>
      </c>
      <c r="AG344" s="28" t="inlineStr">
        <is>
          <t>Not Met</t>
        </is>
      </c>
      <c r="AH344" s="285" t="n">
        <v>0</v>
      </c>
      <c r="AI344" s="285" t="inlineStr">
        <is>
          <t>Not Reported</t>
        </is>
      </c>
      <c r="AJ344" s="119" t="n">
        <v>0.2</v>
      </c>
      <c r="AK344" s="202" t="inlineStr">
        <is>
          <t>Met</t>
        </is>
      </c>
    </row>
    <row r="345">
      <c r="A345" s="21" t="inlineStr">
        <is>
          <t>Siemens - Energy</t>
        </is>
      </c>
      <c r="B345" s="5" t="inlineStr">
        <is>
          <t xml:space="preserve">South 1 </t>
        </is>
      </c>
      <c r="C345" s="5" t="inlineStr">
        <is>
          <t>TBH</t>
        </is>
      </c>
      <c r="D345" s="26" t="inlineStr">
        <is>
          <t>Debashreeta</t>
        </is>
      </c>
      <c r="E345" s="26" t="inlineStr">
        <is>
          <t>Category (B)</t>
        </is>
      </c>
      <c r="F345" s="21" t="inlineStr">
        <is>
          <t>Internal KPI</t>
        </is>
      </c>
      <c r="G345" s="21" t="inlineStr">
        <is>
          <t>No</t>
        </is>
      </c>
      <c r="H345" s="26" t="inlineStr">
        <is>
          <t>Diversity</t>
        </is>
      </c>
      <c r="I345" s="20" t="n">
        <v>0.35</v>
      </c>
      <c r="J345" s="20" t="n">
        <v>0.5</v>
      </c>
      <c r="K345" s="28" t="inlineStr">
        <is>
          <t>Met</t>
        </is>
      </c>
      <c r="L345" s="52" t="n">
        <v>0.2222222222222222</v>
      </c>
      <c r="M345" s="28" t="inlineStr">
        <is>
          <t>Not Met</t>
        </is>
      </c>
      <c r="N345" s="52" t="n">
        <v>0.2105263157894737</v>
      </c>
      <c r="O345" s="28" t="inlineStr">
        <is>
          <t>Not Met</t>
        </is>
      </c>
      <c r="P345" s="52" t="n">
        <v>0.2558139534883721</v>
      </c>
      <c r="Q345" s="28" t="inlineStr">
        <is>
          <t>Not Met</t>
        </is>
      </c>
      <c r="R345" s="52" t="n">
        <v>0.2608695652173913</v>
      </c>
      <c r="S345" s="28" t="inlineStr">
        <is>
          <t>Not Met</t>
        </is>
      </c>
      <c r="T345" s="52" t="n">
        <v>0.2380952380952381</v>
      </c>
      <c r="U345" s="28" t="inlineStr">
        <is>
          <t>Not Met</t>
        </is>
      </c>
      <c r="V345" s="50" t="n">
        <v>0.2432432432432433</v>
      </c>
      <c r="W345" s="28" t="inlineStr">
        <is>
          <t>Not Met</t>
        </is>
      </c>
      <c r="X345" s="50" t="n">
        <v>0.3076923076923077</v>
      </c>
      <c r="Y345" s="28" t="inlineStr">
        <is>
          <t>Not Met</t>
        </is>
      </c>
      <c r="Z345" s="50" t="n">
        <v>0.3076923076923077</v>
      </c>
      <c r="AA345" s="28" t="inlineStr">
        <is>
          <t>Not Met</t>
        </is>
      </c>
      <c r="AB345" s="102" t="n">
        <v>0.25</v>
      </c>
      <c r="AC345" s="28" t="inlineStr">
        <is>
          <t>Not Met</t>
        </is>
      </c>
      <c r="AD345" s="97" t="inlineStr">
        <is>
          <t>Not Reported</t>
        </is>
      </c>
      <c r="AE345" s="97" t="inlineStr">
        <is>
          <t>Not Reported</t>
        </is>
      </c>
      <c r="AF345" s="102" t="n">
        <v>0.32</v>
      </c>
      <c r="AG345" s="28" t="inlineStr">
        <is>
          <t>Not Met</t>
        </is>
      </c>
      <c r="AH345" s="285" t="n">
        <v>0</v>
      </c>
      <c r="AI345" s="285" t="inlineStr">
        <is>
          <t>Not Reported</t>
        </is>
      </c>
      <c r="AJ345" s="119" t="n">
        <v>0.31</v>
      </c>
      <c r="AK345" s="28" t="inlineStr">
        <is>
          <t>Not Met</t>
        </is>
      </c>
    </row>
    <row r="346">
      <c r="A346" s="21" t="inlineStr">
        <is>
          <t>Siemens - GBS</t>
        </is>
      </c>
      <c r="B346" s="5" t="inlineStr">
        <is>
          <t xml:space="preserve">South 1 </t>
        </is>
      </c>
      <c r="C346" s="5" t="inlineStr">
        <is>
          <t>TBH</t>
        </is>
      </c>
      <c r="D346" s="26" t="inlineStr">
        <is>
          <t>Debashreeta</t>
        </is>
      </c>
      <c r="E346" s="26" t="inlineStr">
        <is>
          <t>Category (B)</t>
        </is>
      </c>
      <c r="F346" s="26" t="inlineStr">
        <is>
          <t>Contractual SLA</t>
        </is>
      </c>
      <c r="G346" s="21" t="inlineStr">
        <is>
          <t>No</t>
        </is>
      </c>
      <c r="H346" s="27" t="inlineStr">
        <is>
          <t>Time to Hire</t>
        </is>
      </c>
      <c r="I346" s="46" t="inlineStr">
        <is>
          <t>70 Days</t>
        </is>
      </c>
      <c r="J346" s="46" t="n">
        <v>48</v>
      </c>
      <c r="K346" s="28" t="inlineStr">
        <is>
          <t>Met</t>
        </is>
      </c>
      <c r="L346" s="28" t="n">
        <v>70</v>
      </c>
      <c r="M346" s="28" t="inlineStr">
        <is>
          <t>Met</t>
        </is>
      </c>
      <c r="N346" s="28" t="n">
        <v>65</v>
      </c>
      <c r="O346" s="28" t="inlineStr">
        <is>
          <t>Met</t>
        </is>
      </c>
      <c r="P346" s="28" t="n">
        <v>59</v>
      </c>
      <c r="Q346" s="28" t="inlineStr">
        <is>
          <t>Met</t>
        </is>
      </c>
      <c r="R346" s="28" t="n">
        <v>54</v>
      </c>
      <c r="S346" s="28" t="inlineStr">
        <is>
          <t>Met</t>
        </is>
      </c>
      <c r="T346" s="28" t="n">
        <v>26</v>
      </c>
      <c r="U346" s="28" t="inlineStr">
        <is>
          <t>Met</t>
        </is>
      </c>
      <c r="V346" s="13" t="n">
        <v>44</v>
      </c>
      <c r="W346" s="28" t="inlineStr">
        <is>
          <t>Met</t>
        </is>
      </c>
      <c r="X346" s="13" t="n">
        <v>52</v>
      </c>
      <c r="Y346" s="28" t="inlineStr">
        <is>
          <t>Met</t>
        </is>
      </c>
      <c r="Z346" s="13" t="n">
        <v>52</v>
      </c>
      <c r="AA346" s="28" t="inlineStr">
        <is>
          <t>Met</t>
        </is>
      </c>
      <c r="AB346" s="95" t="n">
        <v>24</v>
      </c>
      <c r="AC346" s="28" t="inlineStr">
        <is>
          <t>Met</t>
        </is>
      </c>
      <c r="AD346" s="97" t="inlineStr">
        <is>
          <t>Not Reported</t>
        </is>
      </c>
      <c r="AE346" s="97" t="inlineStr">
        <is>
          <t>Not Reported</t>
        </is>
      </c>
      <c r="AF346" s="95" t="n">
        <v>59</v>
      </c>
      <c r="AG346" s="202" t="inlineStr">
        <is>
          <t>Met</t>
        </is>
      </c>
      <c r="AH346" s="285" t="n">
        <v>0</v>
      </c>
      <c r="AI346" s="285" t="inlineStr">
        <is>
          <t>Not Reported</t>
        </is>
      </c>
      <c r="AJ346" s="253" t="n">
        <v>49</v>
      </c>
      <c r="AK346" s="202" t="inlineStr">
        <is>
          <t>Met</t>
        </is>
      </c>
    </row>
    <row r="347">
      <c r="A347" s="21" t="inlineStr">
        <is>
          <t>Siemens - GBS</t>
        </is>
      </c>
      <c r="B347" s="5" t="inlineStr">
        <is>
          <t xml:space="preserve">South 1 </t>
        </is>
      </c>
      <c r="C347" s="5" t="inlineStr">
        <is>
          <t>TBH</t>
        </is>
      </c>
      <c r="D347" s="26" t="inlineStr">
        <is>
          <t>Debashreeta</t>
        </is>
      </c>
      <c r="E347" s="26" t="inlineStr">
        <is>
          <t>Category (B)</t>
        </is>
      </c>
      <c r="F347" s="26" t="inlineStr">
        <is>
          <t>Contractual SLA</t>
        </is>
      </c>
      <c r="G347" s="21" t="inlineStr">
        <is>
          <t>No</t>
        </is>
      </c>
      <c r="H347" s="27" t="inlineStr">
        <is>
          <t>Time to Fill</t>
        </is>
      </c>
      <c r="I347" s="14" t="inlineStr">
        <is>
          <t>45 Days</t>
        </is>
      </c>
      <c r="J347" s="46" t="n">
        <v>23</v>
      </c>
      <c r="K347" s="28" t="inlineStr">
        <is>
          <t>Met</t>
        </is>
      </c>
      <c r="L347" s="14" t="n">
        <v>31</v>
      </c>
      <c r="M347" s="28" t="inlineStr">
        <is>
          <t>Met</t>
        </is>
      </c>
      <c r="N347" s="14" t="n">
        <v>44</v>
      </c>
      <c r="O347" s="28" t="inlineStr">
        <is>
          <t>Met</t>
        </is>
      </c>
      <c r="P347" s="14" t="n">
        <v>29</v>
      </c>
      <c r="Q347" s="28" t="inlineStr">
        <is>
          <t>Met</t>
        </is>
      </c>
      <c r="R347" s="14" t="n">
        <v>23</v>
      </c>
      <c r="S347" s="28" t="inlineStr">
        <is>
          <t>Met</t>
        </is>
      </c>
      <c r="T347" s="14" t="n">
        <v>17</v>
      </c>
      <c r="U347" s="28" t="inlineStr">
        <is>
          <t>Met</t>
        </is>
      </c>
      <c r="V347" s="14" t="n">
        <v>25</v>
      </c>
      <c r="W347" s="28" t="inlineStr">
        <is>
          <t>Met</t>
        </is>
      </c>
      <c r="X347" s="14" t="n">
        <v>31</v>
      </c>
      <c r="Y347" s="28" t="inlineStr">
        <is>
          <t>Met</t>
        </is>
      </c>
      <c r="Z347" s="14" t="n">
        <v>31</v>
      </c>
      <c r="AA347" s="28" t="inlineStr">
        <is>
          <t>Met</t>
        </is>
      </c>
      <c r="AB347" s="95" t="n">
        <v>35</v>
      </c>
      <c r="AC347" s="28" t="inlineStr">
        <is>
          <t>Met</t>
        </is>
      </c>
      <c r="AD347" s="97" t="inlineStr">
        <is>
          <t>Not Reported</t>
        </is>
      </c>
      <c r="AE347" s="97" t="inlineStr">
        <is>
          <t>Not Reported</t>
        </is>
      </c>
      <c r="AF347" s="95" t="n">
        <v>32</v>
      </c>
      <c r="AG347" s="202" t="inlineStr">
        <is>
          <t>Met</t>
        </is>
      </c>
      <c r="AH347" s="285" t="n">
        <v>0</v>
      </c>
      <c r="AI347" s="285" t="inlineStr">
        <is>
          <t>Not Reported</t>
        </is>
      </c>
      <c r="AJ347" s="147" t="n">
        <v>28</v>
      </c>
      <c r="AK347" s="202" t="inlineStr">
        <is>
          <t>Met</t>
        </is>
      </c>
    </row>
    <row r="348">
      <c r="A348" s="21" t="inlineStr">
        <is>
          <t>Siemens - GBS</t>
        </is>
      </c>
      <c r="B348" s="5" t="inlineStr">
        <is>
          <t xml:space="preserve">South 1 </t>
        </is>
      </c>
      <c r="C348" s="5" t="inlineStr">
        <is>
          <t>TBH</t>
        </is>
      </c>
      <c r="D348" s="26" t="inlineStr">
        <is>
          <t>Debashreeta</t>
        </is>
      </c>
      <c r="E348" s="26" t="inlineStr">
        <is>
          <t>Category (B)</t>
        </is>
      </c>
      <c r="F348" s="26" t="inlineStr">
        <is>
          <t>Contractual SLA</t>
        </is>
      </c>
      <c r="G348" s="21" t="inlineStr">
        <is>
          <t>No</t>
        </is>
      </c>
      <c r="H348" s="26" t="inlineStr">
        <is>
          <t>Offer to Joining %</t>
        </is>
      </c>
      <c r="I348" s="11" t="n">
        <v>0.8</v>
      </c>
      <c r="J348" s="47" t="n">
        <v>0.9166666666666666</v>
      </c>
      <c r="K348" s="28" t="inlineStr">
        <is>
          <t>Met</t>
        </is>
      </c>
      <c r="L348" s="20" t="n">
        <v>0.9230769230769231</v>
      </c>
      <c r="M348" s="28" t="inlineStr">
        <is>
          <t>Met</t>
        </is>
      </c>
      <c r="N348" s="20" t="n">
        <v>0.8947368421052632</v>
      </c>
      <c r="O348" s="28" t="inlineStr">
        <is>
          <t>Met</t>
        </is>
      </c>
      <c r="P348" s="20" t="n">
        <v>0.9107142857142857</v>
      </c>
      <c r="Q348" s="28" t="inlineStr">
        <is>
          <t>Met</t>
        </is>
      </c>
      <c r="R348" s="20" t="n">
        <v>0.6666666666666666</v>
      </c>
      <c r="S348" s="28" t="inlineStr">
        <is>
          <t>Not Met</t>
        </is>
      </c>
      <c r="T348" s="20" t="n">
        <v>0.9615384615384616</v>
      </c>
      <c r="U348" s="28" t="inlineStr">
        <is>
          <t>Met</t>
        </is>
      </c>
      <c r="V348" s="20" t="n">
        <v>0.9090909090909091</v>
      </c>
      <c r="W348" s="28" t="inlineStr">
        <is>
          <t>Met</t>
        </is>
      </c>
      <c r="X348" s="20" t="n">
        <v>1</v>
      </c>
      <c r="Y348" s="28" t="inlineStr">
        <is>
          <t>Met</t>
        </is>
      </c>
      <c r="Z348" s="20" t="n">
        <v>1</v>
      </c>
      <c r="AA348" s="28" t="inlineStr">
        <is>
          <t>Met</t>
        </is>
      </c>
      <c r="AB348" s="102" t="n">
        <v>0.97</v>
      </c>
      <c r="AC348" s="28" t="inlineStr">
        <is>
          <t>Met</t>
        </is>
      </c>
      <c r="AD348" s="97" t="inlineStr">
        <is>
          <t>Not Reported</t>
        </is>
      </c>
      <c r="AE348" s="126" t="inlineStr">
        <is>
          <t>Not Reported</t>
        </is>
      </c>
      <c r="AF348" s="102" t="n">
        <v>0.92</v>
      </c>
      <c r="AG348" s="202" t="inlineStr">
        <is>
          <t>Met</t>
        </is>
      </c>
      <c r="AH348" s="285" t="n">
        <v>0</v>
      </c>
      <c r="AI348" s="285" t="inlineStr">
        <is>
          <t>Not Reported</t>
        </is>
      </c>
      <c r="AJ348" s="149" t="n">
        <v>0.88</v>
      </c>
      <c r="AK348" s="202" t="inlineStr">
        <is>
          <t>Met</t>
        </is>
      </c>
    </row>
    <row r="349">
      <c r="A349" s="21" t="inlineStr">
        <is>
          <t>Siemens - GBS</t>
        </is>
      </c>
      <c r="B349" s="5" t="inlineStr">
        <is>
          <t xml:space="preserve">South 1 </t>
        </is>
      </c>
      <c r="C349" s="5" t="inlineStr">
        <is>
          <t>TBH</t>
        </is>
      </c>
      <c r="D349" s="26" t="inlineStr">
        <is>
          <t>Debashreeta</t>
        </is>
      </c>
      <c r="E349" s="26" t="inlineStr">
        <is>
          <t>Category (B)</t>
        </is>
      </c>
      <c r="F349" s="26" t="inlineStr">
        <is>
          <t>Contractual SLA</t>
        </is>
      </c>
      <c r="G349" s="21" t="inlineStr">
        <is>
          <t>No</t>
        </is>
      </c>
      <c r="H349" s="48" t="inlineStr">
        <is>
          <t>Interview to Offer Ratio</t>
        </is>
      </c>
      <c r="I349" s="16" t="n">
        <v>0.04722222222222222</v>
      </c>
      <c r="J349" s="49" t="n">
        <v>0.04305555555555556</v>
      </c>
      <c r="K349" s="28" t="inlineStr">
        <is>
          <t>Met</t>
        </is>
      </c>
      <c r="L349" s="16" t="n">
        <v>0.04652777777777778</v>
      </c>
      <c r="M349" s="28" t="inlineStr">
        <is>
          <t>Met</t>
        </is>
      </c>
      <c r="N349" s="16" t="n">
        <v>0.04652777777777778</v>
      </c>
      <c r="O349" s="28" t="inlineStr">
        <is>
          <t>Met</t>
        </is>
      </c>
      <c r="P349" s="16" t="n">
        <v>0.04513888888888889</v>
      </c>
      <c r="Q349" s="28" t="inlineStr">
        <is>
          <t>Met</t>
        </is>
      </c>
      <c r="R349" s="16" t="n">
        <v>0.04375</v>
      </c>
      <c r="S349" s="28" t="inlineStr">
        <is>
          <t>Met</t>
        </is>
      </c>
      <c r="T349" s="16" t="n">
        <v>0.04305555555555556</v>
      </c>
      <c r="U349" s="28" t="inlineStr">
        <is>
          <t>Met</t>
        </is>
      </c>
      <c r="V349" s="16" t="n">
        <v>0.04305555555555556</v>
      </c>
      <c r="W349" s="28" t="inlineStr">
        <is>
          <t>Met</t>
        </is>
      </c>
      <c r="X349" s="16" t="n">
        <v>0.04375</v>
      </c>
      <c r="Y349" s="28" t="inlineStr">
        <is>
          <t>Met</t>
        </is>
      </c>
      <c r="Z349" s="16" t="n">
        <v>0.04375</v>
      </c>
      <c r="AA349" s="28" t="inlineStr">
        <is>
          <t>Met</t>
        </is>
      </c>
      <c r="AB349" s="105" t="n">
        <v>0.04305555555555556</v>
      </c>
      <c r="AC349" s="28" t="inlineStr">
        <is>
          <t>Met</t>
        </is>
      </c>
      <c r="AD349" s="97" t="inlineStr">
        <is>
          <t>Not Reported</t>
        </is>
      </c>
      <c r="AE349" s="126" t="inlineStr">
        <is>
          <t>Not Reported</t>
        </is>
      </c>
      <c r="AF349" s="105" t="n">
        <v>0.04375</v>
      </c>
      <c r="AG349" s="202" t="inlineStr">
        <is>
          <t>Met</t>
        </is>
      </c>
      <c r="AH349" s="285" t="n">
        <v>0</v>
      </c>
      <c r="AI349" s="285" t="inlineStr">
        <is>
          <t>Not Reported</t>
        </is>
      </c>
      <c r="AJ349" s="141" t="n">
        <v>0.04375</v>
      </c>
      <c r="AK349" s="202" t="inlineStr">
        <is>
          <t>Met</t>
        </is>
      </c>
    </row>
    <row r="350">
      <c r="A350" s="21" t="inlineStr">
        <is>
          <t>Siemens - GBS</t>
        </is>
      </c>
      <c r="B350" s="5" t="inlineStr">
        <is>
          <t xml:space="preserve">South 1 </t>
        </is>
      </c>
      <c r="C350" s="5" t="inlineStr">
        <is>
          <t>TBH</t>
        </is>
      </c>
      <c r="D350" s="26" t="inlineStr">
        <is>
          <t>Debashreeta</t>
        </is>
      </c>
      <c r="E350" s="26" t="inlineStr">
        <is>
          <t>Category (B)</t>
        </is>
      </c>
      <c r="F350" s="26" t="inlineStr">
        <is>
          <t>Contractual SLA</t>
        </is>
      </c>
      <c r="G350" s="21" t="inlineStr">
        <is>
          <t>No</t>
        </is>
      </c>
      <c r="H350" s="48" t="inlineStr">
        <is>
          <t>Source Mix</t>
        </is>
      </c>
      <c r="I350" s="14" t="inlineStr">
        <is>
          <t>ER 15%</t>
        </is>
      </c>
      <c r="J350" s="47" t="n">
        <v>0.4090909090909091</v>
      </c>
      <c r="K350" s="28" t="inlineStr">
        <is>
          <t>Met</t>
        </is>
      </c>
      <c r="L350" s="20" t="n">
        <v>0.1666666666666667</v>
      </c>
      <c r="M350" s="28" t="inlineStr">
        <is>
          <t>Met</t>
        </is>
      </c>
      <c r="N350" s="20" t="n">
        <v>0.2941176470588235</v>
      </c>
      <c r="O350" s="28" t="inlineStr">
        <is>
          <t>Met</t>
        </is>
      </c>
      <c r="P350" s="20" t="n">
        <v>0.3137254901960784</v>
      </c>
      <c r="Q350" s="28" t="inlineStr">
        <is>
          <t>Met</t>
        </is>
      </c>
      <c r="R350" s="20" t="n">
        <v>0</v>
      </c>
      <c r="S350" s="28" t="inlineStr">
        <is>
          <t>Not Met</t>
        </is>
      </c>
      <c r="T350" s="52" t="n">
        <v>0.08</v>
      </c>
      <c r="U350" s="28" t="inlineStr">
        <is>
          <t>Not Met</t>
        </is>
      </c>
      <c r="V350" s="20" t="n">
        <v>0.125</v>
      </c>
      <c r="W350" s="28" t="inlineStr">
        <is>
          <t>Not Met</t>
        </is>
      </c>
      <c r="X350" s="20" t="n">
        <v>0.5625</v>
      </c>
      <c r="Y350" s="28" t="inlineStr">
        <is>
          <t>Met</t>
        </is>
      </c>
      <c r="Z350" s="20" t="n">
        <v>0</v>
      </c>
      <c r="AA350" s="28" t="inlineStr">
        <is>
          <t>Not Met</t>
        </is>
      </c>
      <c r="AB350" s="102" t="n">
        <v>0.06</v>
      </c>
      <c r="AC350" s="28" t="inlineStr">
        <is>
          <t>Not Met</t>
        </is>
      </c>
      <c r="AD350" s="97" t="inlineStr">
        <is>
          <t>Not Reported</t>
        </is>
      </c>
      <c r="AE350" s="97" t="inlineStr">
        <is>
          <t>Not Reported</t>
        </is>
      </c>
      <c r="AF350" s="102" t="n">
        <v>0.36</v>
      </c>
      <c r="AG350" s="202" t="inlineStr">
        <is>
          <t>Met</t>
        </is>
      </c>
      <c r="AH350" s="285" t="n">
        <v>0</v>
      </c>
      <c r="AI350" s="285" t="inlineStr">
        <is>
          <t>Not Reported</t>
        </is>
      </c>
      <c r="AJ350" s="149" t="n">
        <v>0.16</v>
      </c>
      <c r="AK350" s="202" t="inlineStr">
        <is>
          <t>Met</t>
        </is>
      </c>
    </row>
    <row r="351">
      <c r="A351" s="21" t="inlineStr">
        <is>
          <t>Siemens - GBS</t>
        </is>
      </c>
      <c r="B351" s="5" t="inlineStr">
        <is>
          <t xml:space="preserve">South 1 </t>
        </is>
      </c>
      <c r="C351" s="5" t="inlineStr">
        <is>
          <t>TBH</t>
        </is>
      </c>
      <c r="D351" s="26" t="inlineStr">
        <is>
          <t>Debashreeta</t>
        </is>
      </c>
      <c r="E351" s="26" t="inlineStr">
        <is>
          <t>Category (B)</t>
        </is>
      </c>
      <c r="F351" s="21" t="inlineStr">
        <is>
          <t>Internal KPI</t>
        </is>
      </c>
      <c r="G351" s="21" t="inlineStr">
        <is>
          <t>No</t>
        </is>
      </c>
      <c r="H351" s="21" t="inlineStr">
        <is>
          <t>Ageing</t>
        </is>
      </c>
      <c r="I351" s="20" t="n">
        <v>0.2</v>
      </c>
      <c r="J351" s="47" t="n">
        <v>0.07894736842105263</v>
      </c>
      <c r="K351" s="28" t="inlineStr">
        <is>
          <t>Met</t>
        </is>
      </c>
      <c r="L351" s="52" t="n">
        <v>0.15625</v>
      </c>
      <c r="M351" s="28" t="inlineStr">
        <is>
          <t>Met</t>
        </is>
      </c>
      <c r="N351" s="52" t="n">
        <v>0.1764705882352941</v>
      </c>
      <c r="O351" s="28" t="inlineStr">
        <is>
          <t>Met</t>
        </is>
      </c>
      <c r="P351" s="52" t="n">
        <v>0.1264367816091954</v>
      </c>
      <c r="Q351" s="28" t="inlineStr">
        <is>
          <t>Met</t>
        </is>
      </c>
      <c r="R351" s="20" t="n">
        <v>0.1071428571428571</v>
      </c>
      <c r="S351" s="28" t="inlineStr">
        <is>
          <t>Met</t>
        </is>
      </c>
      <c r="T351" s="52" t="n">
        <v>0.1666666666666667</v>
      </c>
      <c r="U351" s="28" t="inlineStr">
        <is>
          <t>Met</t>
        </is>
      </c>
      <c r="V351" s="50" t="n">
        <v>0.2</v>
      </c>
      <c r="W351" s="28" t="inlineStr">
        <is>
          <t>Met</t>
        </is>
      </c>
      <c r="X351" s="50" t="n">
        <v>0.1</v>
      </c>
      <c r="Y351" s="28" t="inlineStr">
        <is>
          <t>Met</t>
        </is>
      </c>
      <c r="Z351" s="50" t="n">
        <v>0.1</v>
      </c>
      <c r="AA351" s="28" t="inlineStr">
        <is>
          <t>Met</t>
        </is>
      </c>
      <c r="AB351" s="102" t="n">
        <v>0.15</v>
      </c>
      <c r="AC351" s="28" t="inlineStr">
        <is>
          <t>Met</t>
        </is>
      </c>
      <c r="AD351" s="97" t="inlineStr">
        <is>
          <t>Not Reported</t>
        </is>
      </c>
      <c r="AE351" s="127" t="inlineStr">
        <is>
          <t>Not Reported</t>
        </is>
      </c>
      <c r="AF351" s="102" t="n">
        <v>0.19</v>
      </c>
      <c r="AG351" s="202" t="inlineStr">
        <is>
          <t>Met</t>
        </is>
      </c>
      <c r="AH351" s="285" t="n">
        <v>0</v>
      </c>
      <c r="AI351" s="285" t="inlineStr">
        <is>
          <t>Not Reported</t>
        </is>
      </c>
      <c r="AJ351" s="119" t="n">
        <v>0.16</v>
      </c>
      <c r="AK351" s="202" t="inlineStr">
        <is>
          <t>Met</t>
        </is>
      </c>
    </row>
    <row r="352">
      <c r="A352" s="21" t="inlineStr">
        <is>
          <t>Siemens - GBS</t>
        </is>
      </c>
      <c r="B352" s="5" t="inlineStr">
        <is>
          <t xml:space="preserve">South 1 </t>
        </is>
      </c>
      <c r="C352" s="5" t="inlineStr">
        <is>
          <t>TBH</t>
        </is>
      </c>
      <c r="D352" s="26" t="inlineStr">
        <is>
          <t>Debashreeta</t>
        </is>
      </c>
      <c r="E352" s="26" t="inlineStr">
        <is>
          <t>Category (B)</t>
        </is>
      </c>
      <c r="F352" s="21" t="inlineStr">
        <is>
          <t>Internal KPI</t>
        </is>
      </c>
      <c r="G352" s="21" t="inlineStr">
        <is>
          <t>No</t>
        </is>
      </c>
      <c r="H352" s="27" t="inlineStr">
        <is>
          <t>First Time Right Ratio</t>
        </is>
      </c>
      <c r="I352" s="20" t="n">
        <v>0.7</v>
      </c>
      <c r="J352" s="47" t="n">
        <v>0.8787878787878788</v>
      </c>
      <c r="K352" s="28" t="inlineStr">
        <is>
          <t>Met</t>
        </is>
      </c>
      <c r="L352" s="52" t="n">
        <v>0.8702290076335878</v>
      </c>
      <c r="M352" s="28" t="inlineStr">
        <is>
          <t>Met</t>
        </is>
      </c>
      <c r="N352" s="52" t="n">
        <v>0.9625</v>
      </c>
      <c r="O352" s="28" t="inlineStr">
        <is>
          <t>Met</t>
        </is>
      </c>
      <c r="P352" s="52" t="n">
        <v>0.8967741935483871</v>
      </c>
      <c r="Q352" s="28" t="inlineStr">
        <is>
          <t>Met</t>
        </is>
      </c>
      <c r="R352" s="20" t="n">
        <v>0.8714285714285714</v>
      </c>
      <c r="S352" s="28" t="inlineStr">
        <is>
          <t>Met</t>
        </is>
      </c>
      <c r="T352" s="52" t="n">
        <v>0.8333333333333334</v>
      </c>
      <c r="U352" s="28" t="inlineStr">
        <is>
          <t>Met</t>
        </is>
      </c>
      <c r="V352" s="50" t="n">
        <v>0.91</v>
      </c>
      <c r="W352" s="28" t="inlineStr">
        <is>
          <t>Met</t>
        </is>
      </c>
      <c r="X352" s="50" t="n">
        <v>1</v>
      </c>
      <c r="Y352" s="28" t="inlineStr">
        <is>
          <t>Met</t>
        </is>
      </c>
      <c r="Z352" s="50" t="n">
        <v>1</v>
      </c>
      <c r="AA352" s="28" t="inlineStr">
        <is>
          <t>Met</t>
        </is>
      </c>
      <c r="AB352" s="102" t="n">
        <v>0.88</v>
      </c>
      <c r="AC352" s="28" t="inlineStr">
        <is>
          <t>Met</t>
        </is>
      </c>
      <c r="AD352" s="97" t="inlineStr">
        <is>
          <t>Not Reported</t>
        </is>
      </c>
      <c r="AE352" s="126" t="inlineStr">
        <is>
          <t>Not Reported</t>
        </is>
      </c>
      <c r="AF352" s="102" t="n">
        <v>0.89</v>
      </c>
      <c r="AG352" s="202" t="inlineStr">
        <is>
          <t>Met</t>
        </is>
      </c>
      <c r="AH352" s="285" t="n">
        <v>0</v>
      </c>
      <c r="AI352" s="285" t="inlineStr">
        <is>
          <t>Not Reported</t>
        </is>
      </c>
      <c r="AJ352" s="119" t="n">
        <v>0.93</v>
      </c>
      <c r="AK352" s="202" t="inlineStr">
        <is>
          <t>Met</t>
        </is>
      </c>
    </row>
    <row r="353">
      <c r="A353" s="21" t="inlineStr">
        <is>
          <t>Siemens - GBS</t>
        </is>
      </c>
      <c r="B353" s="5" t="inlineStr">
        <is>
          <t xml:space="preserve">South 1 </t>
        </is>
      </c>
      <c r="C353" s="5" t="inlineStr">
        <is>
          <t>TBH</t>
        </is>
      </c>
      <c r="D353" s="26" t="inlineStr">
        <is>
          <t>Debashreeta</t>
        </is>
      </c>
      <c r="E353" s="26" t="inlineStr">
        <is>
          <t>Category (B)</t>
        </is>
      </c>
      <c r="F353" s="21" t="inlineStr">
        <is>
          <t>Internal KPI</t>
        </is>
      </c>
      <c r="G353" s="21" t="inlineStr">
        <is>
          <t>No</t>
        </is>
      </c>
      <c r="H353" s="27" t="inlineStr">
        <is>
          <t>Hit Ratio</t>
        </is>
      </c>
      <c r="I353" s="20" t="n">
        <v>0.5</v>
      </c>
      <c r="J353" s="47" t="n">
        <v>0.1818181818181818</v>
      </c>
      <c r="K353" s="28" t="inlineStr">
        <is>
          <t>Not Met</t>
        </is>
      </c>
      <c r="L353" s="52" t="n">
        <v>0.1428571428571428</v>
      </c>
      <c r="M353" s="28" t="inlineStr">
        <is>
          <t>Not Met</t>
        </is>
      </c>
      <c r="N353" s="52" t="n">
        <v>0.275</v>
      </c>
      <c r="O353" s="28" t="inlineStr">
        <is>
          <t>Not Met</t>
        </is>
      </c>
      <c r="P353" s="52" t="n">
        <v>0.3245901639344262</v>
      </c>
      <c r="Q353" s="28" t="inlineStr">
        <is>
          <t>Not Met</t>
        </is>
      </c>
      <c r="R353" s="20" t="n">
        <v>0.2714285714285714</v>
      </c>
      <c r="S353" s="28" t="inlineStr">
        <is>
          <t>Not Met</t>
        </is>
      </c>
      <c r="T353" s="52" t="n">
        <v>0.2833333333333333</v>
      </c>
      <c r="U353" s="28" t="inlineStr">
        <is>
          <t>Not Met</t>
        </is>
      </c>
      <c r="V353" s="50" t="n">
        <v>0.36</v>
      </c>
      <c r="W353" s="28" t="inlineStr">
        <is>
          <t>Not Met</t>
        </is>
      </c>
      <c r="X353" s="50" t="n">
        <v>0.3538461538461539</v>
      </c>
      <c r="Y353" s="28" t="inlineStr">
        <is>
          <t>Not Met</t>
        </is>
      </c>
      <c r="Z353" s="50" t="n">
        <v>0.3538461538461539</v>
      </c>
      <c r="AA353" s="28" t="inlineStr">
        <is>
          <t>Not Met</t>
        </is>
      </c>
      <c r="AB353" s="102" t="n">
        <v>0.5</v>
      </c>
      <c r="AC353" s="28" t="inlineStr">
        <is>
          <t>Met</t>
        </is>
      </c>
      <c r="AD353" s="97" t="inlineStr">
        <is>
          <t>Not Reported</t>
        </is>
      </c>
      <c r="AE353" s="126" t="inlineStr">
        <is>
          <t>Not Reported</t>
        </is>
      </c>
      <c r="AF353" s="258" t="n">
        <v>0.34</v>
      </c>
      <c r="AG353" s="28" t="inlineStr">
        <is>
          <t>Not Met</t>
        </is>
      </c>
      <c r="AH353" s="285" t="n">
        <v>0</v>
      </c>
      <c r="AI353" s="285" t="inlineStr">
        <is>
          <t>Not Reported</t>
        </is>
      </c>
      <c r="AJ353" s="272" t="n">
        <v>0.3</v>
      </c>
      <c r="AK353" s="28" t="inlineStr">
        <is>
          <t>Not Met</t>
        </is>
      </c>
    </row>
    <row r="354">
      <c r="A354" s="21" t="inlineStr">
        <is>
          <t>Siemens - GBS</t>
        </is>
      </c>
      <c r="B354" s="5" t="inlineStr">
        <is>
          <t xml:space="preserve">South 1 </t>
        </is>
      </c>
      <c r="C354" s="5" t="inlineStr">
        <is>
          <t>TBH</t>
        </is>
      </c>
      <c r="D354" s="26" t="inlineStr">
        <is>
          <t>Debashreeta</t>
        </is>
      </c>
      <c r="E354" s="26" t="inlineStr">
        <is>
          <t>Category (B)</t>
        </is>
      </c>
      <c r="F354" s="21" t="inlineStr">
        <is>
          <t>Internal KPI</t>
        </is>
      </c>
      <c r="G354" s="21" t="inlineStr">
        <is>
          <t>No</t>
        </is>
      </c>
      <c r="H354" s="21" t="inlineStr">
        <is>
          <t>Offer Drop</t>
        </is>
      </c>
      <c r="I354" s="20" t="n">
        <v>0.2</v>
      </c>
      <c r="J354" s="47" t="n">
        <v>0</v>
      </c>
      <c r="K354" s="28" t="inlineStr">
        <is>
          <t>Met</t>
        </is>
      </c>
      <c r="L354" s="52" t="n">
        <v>0</v>
      </c>
      <c r="M354" s="28" t="inlineStr">
        <is>
          <t>Met</t>
        </is>
      </c>
      <c r="N354" s="52" t="n">
        <v>0.09090909090909091</v>
      </c>
      <c r="O354" s="28" t="inlineStr">
        <is>
          <t>Met</t>
        </is>
      </c>
      <c r="P354" s="52" t="n">
        <v>0.02222222222222222</v>
      </c>
      <c r="Q354" s="28" t="inlineStr">
        <is>
          <t>Met</t>
        </is>
      </c>
      <c r="R354" s="20" t="n">
        <v>0.1176470588235294</v>
      </c>
      <c r="S354" s="28" t="inlineStr">
        <is>
          <t>Met</t>
        </is>
      </c>
      <c r="T354" s="52" t="n">
        <v>0</v>
      </c>
      <c r="U354" s="28" t="inlineStr">
        <is>
          <t>Met</t>
        </is>
      </c>
      <c r="V354" s="50" t="n">
        <v>0.09523809523809523</v>
      </c>
      <c r="W354" s="28" t="inlineStr">
        <is>
          <t>Met</t>
        </is>
      </c>
      <c r="X354" s="50" t="n">
        <v>0</v>
      </c>
      <c r="Y354" s="28" t="inlineStr">
        <is>
          <t>Met</t>
        </is>
      </c>
      <c r="Z354" s="50" t="n">
        <v>0</v>
      </c>
      <c r="AA354" s="28" t="inlineStr">
        <is>
          <t>Met</t>
        </is>
      </c>
      <c r="AB354" s="102" t="n">
        <v>0</v>
      </c>
      <c r="AC354" s="28" t="inlineStr">
        <is>
          <t>Met</t>
        </is>
      </c>
      <c r="AD354" s="97" t="inlineStr">
        <is>
          <t>Not Reported</t>
        </is>
      </c>
      <c r="AE354" s="126" t="inlineStr">
        <is>
          <t>Not Reported</t>
        </is>
      </c>
      <c r="AF354" s="258" t="n">
        <v>0</v>
      </c>
      <c r="AG354" s="202" t="inlineStr">
        <is>
          <t>Met</t>
        </is>
      </c>
      <c r="AH354" s="285" t="n">
        <v>0</v>
      </c>
      <c r="AI354" s="285" t="inlineStr">
        <is>
          <t>Not Reported</t>
        </is>
      </c>
      <c r="AJ354" s="272" t="n">
        <v>0.07000000000000001</v>
      </c>
      <c r="AK354" s="202" t="inlineStr">
        <is>
          <t>Met</t>
        </is>
      </c>
    </row>
    <row r="355">
      <c r="A355" s="21" t="inlineStr">
        <is>
          <t>Siemens - GBS</t>
        </is>
      </c>
      <c r="B355" s="5" t="inlineStr">
        <is>
          <t xml:space="preserve">South 1 </t>
        </is>
      </c>
      <c r="C355" s="5" t="inlineStr">
        <is>
          <t>TBH</t>
        </is>
      </c>
      <c r="D355" s="26" t="inlineStr">
        <is>
          <t>Debashreeta</t>
        </is>
      </c>
      <c r="E355" s="26" t="inlineStr">
        <is>
          <t>Category (B)</t>
        </is>
      </c>
      <c r="F355" s="21" t="inlineStr">
        <is>
          <t>Internal KPI</t>
        </is>
      </c>
      <c r="G355" s="21" t="inlineStr">
        <is>
          <t>No</t>
        </is>
      </c>
      <c r="H355" s="27" t="inlineStr">
        <is>
          <t xml:space="preserve">Fulfilment </t>
        </is>
      </c>
      <c r="I355" s="20" t="n">
        <v>0.2</v>
      </c>
      <c r="J355" s="47" t="n">
        <v>0.5789473684210527</v>
      </c>
      <c r="K355" s="28" t="inlineStr">
        <is>
          <t>Met</t>
        </is>
      </c>
      <c r="L355" s="52" t="n">
        <v>0.375</v>
      </c>
      <c r="M355" s="28" t="inlineStr">
        <is>
          <t>Met</t>
        </is>
      </c>
      <c r="N355" s="52" t="n">
        <v>1</v>
      </c>
      <c r="O355" s="28" t="inlineStr">
        <is>
          <t>Met</t>
        </is>
      </c>
      <c r="P355" s="52" t="n">
        <v>0.5862068965517241</v>
      </c>
      <c r="Q355" s="28" t="inlineStr">
        <is>
          <t>Met</t>
        </is>
      </c>
      <c r="R355" s="20" t="n">
        <v>0.1071428571428571</v>
      </c>
      <c r="S355" s="28" t="inlineStr">
        <is>
          <t>Not Met</t>
        </is>
      </c>
      <c r="T355" s="52" t="n">
        <v>0.8333333333333334</v>
      </c>
      <c r="U355" s="28" t="inlineStr">
        <is>
          <t>Met</t>
        </is>
      </c>
      <c r="V355" s="50" t="n">
        <v>1.6</v>
      </c>
      <c r="W355" s="28" t="inlineStr">
        <is>
          <t>Met</t>
        </is>
      </c>
      <c r="X355" s="50" t="n">
        <v>0.8</v>
      </c>
      <c r="Y355" s="28" t="inlineStr">
        <is>
          <t>Met</t>
        </is>
      </c>
      <c r="Z355" s="50" t="n">
        <v>0.8</v>
      </c>
      <c r="AA355" s="28" t="inlineStr">
        <is>
          <t>Met</t>
        </is>
      </c>
      <c r="AB355" s="102" t="n">
        <v>1</v>
      </c>
      <c r="AC355" s="28" t="inlineStr">
        <is>
          <t>Met</t>
        </is>
      </c>
      <c r="AD355" s="97" t="inlineStr">
        <is>
          <t>Not Reported</t>
        </is>
      </c>
      <c r="AE355" s="126" t="inlineStr">
        <is>
          <t>Not Reported</t>
        </is>
      </c>
      <c r="AF355" s="258" t="n">
        <v>0.52</v>
      </c>
      <c r="AG355" s="202" t="inlineStr">
        <is>
          <t>Met</t>
        </is>
      </c>
      <c r="AH355" s="285" t="n">
        <v>0</v>
      </c>
      <c r="AI355" s="285" t="inlineStr">
        <is>
          <t>Not Reported</t>
        </is>
      </c>
      <c r="AJ355" s="272" t="n">
        <v>0.72</v>
      </c>
      <c r="AK355" s="202" t="inlineStr">
        <is>
          <t>Met</t>
        </is>
      </c>
    </row>
    <row r="356">
      <c r="A356" s="21" t="inlineStr">
        <is>
          <t>Siemens - GBS</t>
        </is>
      </c>
      <c r="B356" s="5" t="inlineStr">
        <is>
          <t xml:space="preserve">South 1 </t>
        </is>
      </c>
      <c r="C356" s="5" t="inlineStr">
        <is>
          <t>TBH</t>
        </is>
      </c>
      <c r="D356" s="26" t="inlineStr">
        <is>
          <t>Debashreeta</t>
        </is>
      </c>
      <c r="E356" s="26" t="inlineStr">
        <is>
          <t>Category (B)</t>
        </is>
      </c>
      <c r="F356" s="21" t="inlineStr">
        <is>
          <t>Internal KPI</t>
        </is>
      </c>
      <c r="G356" s="21" t="inlineStr">
        <is>
          <t>No</t>
        </is>
      </c>
      <c r="H356" s="26" t="inlineStr">
        <is>
          <t>Diversity</t>
        </is>
      </c>
      <c r="I356" s="20" t="n">
        <v>0.35</v>
      </c>
      <c r="J356" s="47" t="n">
        <v>0.3636363636363636</v>
      </c>
      <c r="K356" s="28" t="inlineStr">
        <is>
          <t>Met</t>
        </is>
      </c>
      <c r="L356" s="52" t="n">
        <v>0.4166666666666667</v>
      </c>
      <c r="M356" s="28" t="inlineStr">
        <is>
          <t>Met</t>
        </is>
      </c>
      <c r="N356" s="52" t="n">
        <v>0.2352941176470588</v>
      </c>
      <c r="O356" s="28" t="inlineStr">
        <is>
          <t>Not Met</t>
        </is>
      </c>
      <c r="P356" s="52" t="n">
        <v>0.3333333333333333</v>
      </c>
      <c r="Q356" s="28" t="inlineStr">
        <is>
          <t>Not Met</t>
        </is>
      </c>
      <c r="R356" s="20" t="n">
        <v>0.6666666666666666</v>
      </c>
      <c r="S356" s="28" t="inlineStr">
        <is>
          <t>Met</t>
        </is>
      </c>
      <c r="T356" s="52" t="n">
        <v>0.64</v>
      </c>
      <c r="U356" s="28" t="inlineStr">
        <is>
          <t>Met</t>
        </is>
      </c>
      <c r="V356" s="50" t="n">
        <v>0.55</v>
      </c>
      <c r="W356" s="28" t="inlineStr">
        <is>
          <t>Met</t>
        </is>
      </c>
      <c r="X356" s="50" t="n">
        <v>0.5625</v>
      </c>
      <c r="Y356" s="28" t="inlineStr">
        <is>
          <t>Met</t>
        </is>
      </c>
      <c r="Z356" s="50" t="n">
        <v>0.5625</v>
      </c>
      <c r="AA356" s="28" t="inlineStr">
        <is>
          <t>Met</t>
        </is>
      </c>
      <c r="AB356" s="102" t="n">
        <v>0.22</v>
      </c>
      <c r="AC356" s="28" t="inlineStr">
        <is>
          <t>Not Met</t>
        </is>
      </c>
      <c r="AD356" s="97" t="inlineStr">
        <is>
          <t>Not Reported</t>
        </is>
      </c>
      <c r="AE356" s="97" t="inlineStr">
        <is>
          <t>Not Reported</t>
        </is>
      </c>
      <c r="AF356" s="258" t="n">
        <v>0.36</v>
      </c>
      <c r="AG356" s="202" t="inlineStr">
        <is>
          <t>Met</t>
        </is>
      </c>
      <c r="AH356" s="285" t="n">
        <v>0</v>
      </c>
      <c r="AI356" s="285" t="inlineStr">
        <is>
          <t>Not Reported</t>
        </is>
      </c>
      <c r="AJ356" s="272" t="n">
        <v>0.43</v>
      </c>
      <c r="AK356" s="202" t="inlineStr">
        <is>
          <t>Met</t>
        </is>
      </c>
    </row>
    <row r="357">
      <c r="A357" s="204" t="inlineStr">
        <is>
          <t>SKF</t>
        </is>
      </c>
      <c r="B357" s="205" t="inlineStr">
        <is>
          <t>North</t>
        </is>
      </c>
      <c r="C357" s="277" t="inlineStr">
        <is>
          <t>Archana Trikha</t>
        </is>
      </c>
      <c r="D357" s="206" t="inlineStr">
        <is>
          <t>Rishab</t>
        </is>
      </c>
      <c r="E357" s="206" t="inlineStr">
        <is>
          <t>Category (B)</t>
        </is>
      </c>
      <c r="F357" s="206" t="inlineStr">
        <is>
          <t>Contractual SLA</t>
        </is>
      </c>
      <c r="G357" s="204" t="inlineStr">
        <is>
          <t>Yes</t>
        </is>
      </c>
      <c r="H357" s="210" t="inlineStr">
        <is>
          <t>Time to Fill</t>
        </is>
      </c>
      <c r="I357" s="211" t="inlineStr">
        <is>
          <t>45 Days</t>
        </is>
      </c>
      <c r="J357" s="211" t="inlineStr">
        <is>
          <t xml:space="preserve">45 Days </t>
        </is>
      </c>
      <c r="K357" s="202" t="inlineStr">
        <is>
          <t>Met</t>
        </is>
      </c>
      <c r="L357" s="211" t="inlineStr">
        <is>
          <t xml:space="preserve">33 Days </t>
        </is>
      </c>
      <c r="M357" s="202" t="inlineStr">
        <is>
          <t>Met</t>
        </is>
      </c>
      <c r="N357" s="243" t="inlineStr">
        <is>
          <t xml:space="preserve">44 Days </t>
        </is>
      </c>
      <c r="O357" s="202" t="inlineStr">
        <is>
          <t>Met</t>
        </is>
      </c>
      <c r="P357" s="244" t="inlineStr">
        <is>
          <t xml:space="preserve">41 Days </t>
        </is>
      </c>
      <c r="Q357" s="202" t="inlineStr">
        <is>
          <t>Met</t>
        </is>
      </c>
      <c r="R357" s="202" t="inlineStr">
        <is>
          <t xml:space="preserve">45 Days </t>
        </is>
      </c>
      <c r="S357" s="202" t="inlineStr">
        <is>
          <t>Met</t>
        </is>
      </c>
      <c r="T357" s="202" t="inlineStr">
        <is>
          <t xml:space="preserve">52 Days </t>
        </is>
      </c>
      <c r="U357" s="202" t="inlineStr">
        <is>
          <t>Not Met</t>
        </is>
      </c>
      <c r="V357" s="237" t="inlineStr">
        <is>
          <t>46 Days</t>
        </is>
      </c>
      <c r="W357" s="202" t="inlineStr">
        <is>
          <t>Not Met</t>
        </is>
      </c>
      <c r="X357" s="202" t="inlineStr">
        <is>
          <t xml:space="preserve">48 Days </t>
        </is>
      </c>
      <c r="Y357" s="202" t="inlineStr">
        <is>
          <t>Not Met</t>
        </is>
      </c>
      <c r="Z357" s="202" t="inlineStr">
        <is>
          <t xml:space="preserve">NA </t>
        </is>
      </c>
      <c r="AA357" s="200" t="inlineStr">
        <is>
          <t>NA</t>
        </is>
      </c>
      <c r="AB357" s="200" t="inlineStr">
        <is>
          <t>NA</t>
        </is>
      </c>
      <c r="AC357" s="200" t="inlineStr">
        <is>
          <t>NA</t>
        </is>
      </c>
      <c r="AD357" s="245" t="inlineStr">
        <is>
          <t>NA</t>
        </is>
      </c>
      <c r="AE357" s="203" t="inlineStr">
        <is>
          <t>NA</t>
        </is>
      </c>
      <c r="AF357" s="142" t="inlineStr">
        <is>
          <t>NA</t>
        </is>
      </c>
      <c r="AG357" s="97" t="inlineStr">
        <is>
          <t>NA</t>
        </is>
      </c>
      <c r="AH357" s="285" t="n">
        <v>0</v>
      </c>
      <c r="AI357" s="285" t="inlineStr">
        <is>
          <t>Not Reported</t>
        </is>
      </c>
      <c r="AJ357" s="273" t="n">
        <v>45</v>
      </c>
      <c r="AK357" s="202" t="inlineStr">
        <is>
          <t>Met</t>
        </is>
      </c>
    </row>
    <row r="358">
      <c r="A358" s="21" t="inlineStr">
        <is>
          <t>SKF</t>
        </is>
      </c>
      <c r="B358" s="5" t="inlineStr">
        <is>
          <t>North</t>
        </is>
      </c>
      <c r="C358" s="277" t="inlineStr">
        <is>
          <t>Archana Trikha</t>
        </is>
      </c>
      <c r="D358" s="26" t="inlineStr">
        <is>
          <t>Rishab</t>
        </is>
      </c>
      <c r="E358" s="26" t="inlineStr">
        <is>
          <t>Category (B)</t>
        </is>
      </c>
      <c r="F358" s="26" t="inlineStr">
        <is>
          <t>Contractual SLA</t>
        </is>
      </c>
      <c r="G358" s="21" t="inlineStr">
        <is>
          <t>Yes</t>
        </is>
      </c>
      <c r="H358" s="21" t="inlineStr">
        <is>
          <t>Source Mix (PS)</t>
        </is>
      </c>
      <c r="I358" s="11" t="n">
        <v>0.6</v>
      </c>
      <c r="J358" s="20" t="n">
        <v>0.4642857142857143</v>
      </c>
      <c r="K358" s="28" t="inlineStr">
        <is>
          <t>Not Met</t>
        </is>
      </c>
      <c r="L358" s="20" t="n">
        <v>0.4</v>
      </c>
      <c r="M358" s="28" t="inlineStr">
        <is>
          <t>Not Met</t>
        </is>
      </c>
      <c r="N358" s="20" t="n">
        <v>0.6190476190476191</v>
      </c>
      <c r="O358" s="28" t="inlineStr">
        <is>
          <t>Met</t>
        </is>
      </c>
      <c r="P358" s="20" t="n">
        <v>0.5</v>
      </c>
      <c r="Q358" s="28" t="inlineStr">
        <is>
          <t>Not Met</t>
        </is>
      </c>
      <c r="R358" s="20" t="n">
        <v>0.35</v>
      </c>
      <c r="S358" s="28" t="inlineStr">
        <is>
          <t>Not Met</t>
        </is>
      </c>
      <c r="T358" s="20" t="n">
        <v>0.6111111111111112</v>
      </c>
      <c r="U358" s="28" t="inlineStr">
        <is>
          <t>Met</t>
        </is>
      </c>
      <c r="V358" s="20" t="n">
        <v>0.46875</v>
      </c>
      <c r="W358" s="28" t="inlineStr">
        <is>
          <t>Not Met</t>
        </is>
      </c>
      <c r="X358" s="20" t="n">
        <v>0.4714285714285714</v>
      </c>
      <c r="Y358" s="28" t="inlineStr">
        <is>
          <t>Not Met</t>
        </is>
      </c>
      <c r="Z358" s="28" t="inlineStr">
        <is>
          <t xml:space="preserve">NA </t>
        </is>
      </c>
      <c r="AA358" s="20" t="inlineStr">
        <is>
          <t>NA</t>
        </is>
      </c>
      <c r="AB358" s="20" t="inlineStr">
        <is>
          <t>NA</t>
        </is>
      </c>
      <c r="AC358" s="20" t="inlineStr">
        <is>
          <t>NA</t>
        </is>
      </c>
      <c r="AD358" s="139" t="inlineStr">
        <is>
          <t>NA</t>
        </is>
      </c>
      <c r="AE358" s="126" t="inlineStr">
        <is>
          <t>NA</t>
        </is>
      </c>
      <c r="AF358" s="142" t="inlineStr">
        <is>
          <t>NA</t>
        </is>
      </c>
      <c r="AG358" s="97" t="inlineStr">
        <is>
          <t>NA</t>
        </is>
      </c>
      <c r="AH358" s="285" t="n">
        <v>0</v>
      </c>
      <c r="AI358" s="285" t="inlineStr">
        <is>
          <t>Not Reported</t>
        </is>
      </c>
      <c r="AJ358" s="142">
        <f>65/134</f>
        <v/>
      </c>
      <c r="AK358" s="28" t="inlineStr">
        <is>
          <t>Not Met</t>
        </is>
      </c>
    </row>
    <row r="359">
      <c r="A359" s="21" t="inlineStr">
        <is>
          <t>SKF</t>
        </is>
      </c>
      <c r="B359" s="5" t="inlineStr">
        <is>
          <t>North</t>
        </is>
      </c>
      <c r="C359" s="277" t="inlineStr">
        <is>
          <t>Archana Trikha</t>
        </is>
      </c>
      <c r="D359" s="26" t="inlineStr">
        <is>
          <t>Rishab</t>
        </is>
      </c>
      <c r="E359" s="26" t="inlineStr">
        <is>
          <t>Category (B)</t>
        </is>
      </c>
      <c r="F359" s="26" t="inlineStr">
        <is>
          <t>Contractual SLA</t>
        </is>
      </c>
      <c r="G359" s="21" t="inlineStr">
        <is>
          <t>Yes</t>
        </is>
      </c>
      <c r="H359" s="21" t="inlineStr">
        <is>
          <t>Source Mix (ER &amp; IJP)</t>
        </is>
      </c>
      <c r="I359" s="11" t="n">
        <v>0.4</v>
      </c>
      <c r="J359" s="20" t="n">
        <v>0.5357142857142857</v>
      </c>
      <c r="K359" s="28" t="inlineStr">
        <is>
          <t>Met</t>
        </is>
      </c>
      <c r="L359" s="20" t="n">
        <v>0.6</v>
      </c>
      <c r="M359" s="28" t="inlineStr">
        <is>
          <t>Met</t>
        </is>
      </c>
      <c r="N359" s="20" t="n">
        <v>0.3809523809523809</v>
      </c>
      <c r="O359" s="28" t="inlineStr">
        <is>
          <t>Not Met</t>
        </is>
      </c>
      <c r="P359" s="20" t="n">
        <v>0.5</v>
      </c>
      <c r="Q359" s="28" t="inlineStr">
        <is>
          <t>Met</t>
        </is>
      </c>
      <c r="R359" s="20" t="n">
        <v>0.65</v>
      </c>
      <c r="S359" s="28" t="inlineStr">
        <is>
          <t>Met</t>
        </is>
      </c>
      <c r="T359" s="20" t="n">
        <v>0.3888888888888889</v>
      </c>
      <c r="U359" s="28" t="inlineStr">
        <is>
          <t>Not Met</t>
        </is>
      </c>
      <c r="V359" s="20" t="n">
        <v>0.53125</v>
      </c>
      <c r="W359" s="28" t="inlineStr">
        <is>
          <t>Met</t>
        </is>
      </c>
      <c r="X359" s="20" t="n">
        <v>0.5285714285714286</v>
      </c>
      <c r="Y359" s="28" t="inlineStr">
        <is>
          <t>Met</t>
        </is>
      </c>
      <c r="Z359" s="28" t="inlineStr">
        <is>
          <t xml:space="preserve">NA </t>
        </is>
      </c>
      <c r="AA359" s="20" t="inlineStr">
        <is>
          <t>NA</t>
        </is>
      </c>
      <c r="AB359" s="20" t="inlineStr">
        <is>
          <t>NA</t>
        </is>
      </c>
      <c r="AC359" s="20" t="inlineStr">
        <is>
          <t>NA</t>
        </is>
      </c>
      <c r="AD359" s="139" t="inlineStr">
        <is>
          <t>NA</t>
        </is>
      </c>
      <c r="AE359" s="126" t="inlineStr">
        <is>
          <t>NA</t>
        </is>
      </c>
      <c r="AF359" s="142" t="inlineStr">
        <is>
          <t>NA</t>
        </is>
      </c>
      <c r="AG359" s="97" t="inlineStr">
        <is>
          <t>NA</t>
        </is>
      </c>
      <c r="AH359" s="285" t="n">
        <v>0</v>
      </c>
      <c r="AI359" s="285" t="inlineStr">
        <is>
          <t>Not Reported</t>
        </is>
      </c>
      <c r="AJ359" s="142">
        <f>69/134</f>
        <v/>
      </c>
      <c r="AK359" s="202" t="inlineStr">
        <is>
          <t>Met</t>
        </is>
      </c>
    </row>
    <row r="360">
      <c r="A360" s="21" t="inlineStr">
        <is>
          <t>SKF</t>
        </is>
      </c>
      <c r="B360" s="5" t="inlineStr">
        <is>
          <t>North</t>
        </is>
      </c>
      <c r="C360" s="277" t="inlineStr">
        <is>
          <t>Archana Trikha</t>
        </is>
      </c>
      <c r="D360" s="26" t="inlineStr">
        <is>
          <t>Rishab</t>
        </is>
      </c>
      <c r="E360" s="26" t="inlineStr">
        <is>
          <t>Category (B)</t>
        </is>
      </c>
      <c r="F360" s="26" t="inlineStr">
        <is>
          <t>Contractual SLA</t>
        </is>
      </c>
      <c r="G360" s="21" t="inlineStr">
        <is>
          <t>Yes</t>
        </is>
      </c>
      <c r="H360" s="26" t="inlineStr">
        <is>
          <t>CSAT</t>
        </is>
      </c>
      <c r="I360" s="11" t="n">
        <v>0.8</v>
      </c>
      <c r="J360" s="20" t="n">
        <v>0.9400000000000001</v>
      </c>
      <c r="K360" s="28" t="inlineStr">
        <is>
          <t>Met</t>
        </is>
      </c>
      <c r="L360" s="20" t="n">
        <v>1</v>
      </c>
      <c r="M360" s="28" t="inlineStr">
        <is>
          <t>Met</t>
        </is>
      </c>
      <c r="N360" s="20" t="n">
        <v>1</v>
      </c>
      <c r="O360" s="28" t="inlineStr">
        <is>
          <t>Met</t>
        </is>
      </c>
      <c r="P360" s="20" t="n">
        <v>0.9800000000000001</v>
      </c>
      <c r="Q360" s="28" t="inlineStr">
        <is>
          <t>Met</t>
        </is>
      </c>
      <c r="R360" s="52" t="n">
        <v>0.9800000000000001</v>
      </c>
      <c r="S360" s="28" t="inlineStr">
        <is>
          <t>Met</t>
        </is>
      </c>
      <c r="T360" s="52" t="n">
        <v>0.9800000000000001</v>
      </c>
      <c r="U360" s="28" t="inlineStr">
        <is>
          <t>Met</t>
        </is>
      </c>
      <c r="V360" s="20" t="n">
        <v>0.9800000000000001</v>
      </c>
      <c r="W360" s="28" t="inlineStr">
        <is>
          <t>Met</t>
        </is>
      </c>
      <c r="X360" s="20" t="n">
        <v>0.9800000000000001</v>
      </c>
      <c r="Y360" s="28" t="inlineStr">
        <is>
          <t>Met</t>
        </is>
      </c>
      <c r="Z360" s="28" t="inlineStr">
        <is>
          <t xml:space="preserve">NA </t>
        </is>
      </c>
      <c r="AA360" s="20" t="inlineStr">
        <is>
          <t>NA</t>
        </is>
      </c>
      <c r="AB360" s="20" t="inlineStr">
        <is>
          <t>NA</t>
        </is>
      </c>
      <c r="AC360" s="20" t="inlineStr">
        <is>
          <t>NA</t>
        </is>
      </c>
      <c r="AD360" s="126" t="inlineStr">
        <is>
          <t>NA</t>
        </is>
      </c>
      <c r="AE360" s="126" t="inlineStr">
        <is>
          <t>NA</t>
        </is>
      </c>
      <c r="AF360" s="149" t="inlineStr">
        <is>
          <t>NA</t>
        </is>
      </c>
      <c r="AG360" s="97" t="inlineStr">
        <is>
          <t>NA</t>
        </is>
      </c>
      <c r="AH360" s="285" t="n">
        <v>0</v>
      </c>
      <c r="AI360" s="285" t="inlineStr">
        <is>
          <t>Not Reported</t>
        </is>
      </c>
      <c r="AJ360" s="149">
        <f>4.9/5</f>
        <v/>
      </c>
      <c r="AK360" s="202" t="inlineStr">
        <is>
          <t>Met</t>
        </is>
      </c>
    </row>
    <row r="361">
      <c r="A361" s="21" t="inlineStr">
        <is>
          <t>SKF</t>
        </is>
      </c>
      <c r="B361" s="5" t="inlineStr">
        <is>
          <t>North</t>
        </is>
      </c>
      <c r="C361" s="277" t="inlineStr">
        <is>
          <t>Archana Trikha</t>
        </is>
      </c>
      <c r="D361" s="26" t="inlineStr">
        <is>
          <t>Rishab</t>
        </is>
      </c>
      <c r="E361" s="26" t="inlineStr">
        <is>
          <t>Category (B)</t>
        </is>
      </c>
      <c r="F361" s="26" t="inlineStr">
        <is>
          <t>Contractual SLA</t>
        </is>
      </c>
      <c r="G361" s="21" t="inlineStr">
        <is>
          <t>Yes</t>
        </is>
      </c>
      <c r="H361" s="26" t="inlineStr">
        <is>
          <t>HM SAT</t>
        </is>
      </c>
      <c r="I361" s="11" t="n">
        <v>0.8</v>
      </c>
      <c r="J361" s="20" t="n">
        <v>0.8800000000000001</v>
      </c>
      <c r="K361" s="28" t="inlineStr">
        <is>
          <t>Met</t>
        </is>
      </c>
      <c r="L361" s="20" t="n">
        <v>1</v>
      </c>
      <c r="M361" s="28" t="inlineStr">
        <is>
          <t>Met</t>
        </is>
      </c>
      <c r="N361" s="20" t="n">
        <v>1</v>
      </c>
      <c r="O361" s="28" t="inlineStr">
        <is>
          <t>Met</t>
        </is>
      </c>
      <c r="P361" s="20" t="n">
        <v>0.96</v>
      </c>
      <c r="Q361" s="28" t="inlineStr">
        <is>
          <t>Met</t>
        </is>
      </c>
      <c r="R361" s="52" t="n">
        <v>0.9800000000000001</v>
      </c>
      <c r="S361" s="28" t="inlineStr">
        <is>
          <t>Met</t>
        </is>
      </c>
      <c r="T361" s="52" t="n">
        <v>1</v>
      </c>
      <c r="U361" s="28" t="inlineStr">
        <is>
          <t>Met</t>
        </is>
      </c>
      <c r="V361" s="20" t="n">
        <v>0.9800000000000001</v>
      </c>
      <c r="W361" s="28" t="inlineStr">
        <is>
          <t>Met</t>
        </is>
      </c>
      <c r="X361" s="20" t="n">
        <v>0.9800000000000001</v>
      </c>
      <c r="Y361" s="28" t="inlineStr">
        <is>
          <t>Met</t>
        </is>
      </c>
      <c r="Z361" s="28" t="inlineStr">
        <is>
          <t xml:space="preserve">NA </t>
        </is>
      </c>
      <c r="AA361" s="20" t="inlineStr">
        <is>
          <t>NA</t>
        </is>
      </c>
      <c r="AB361" s="20" t="inlineStr">
        <is>
          <t>NA</t>
        </is>
      </c>
      <c r="AC361" s="20" t="inlineStr">
        <is>
          <t>NA</t>
        </is>
      </c>
      <c r="AD361" s="139" t="inlineStr">
        <is>
          <t>NA</t>
        </is>
      </c>
      <c r="AE361" s="126" t="inlineStr">
        <is>
          <t>NA</t>
        </is>
      </c>
      <c r="AF361" s="282" t="inlineStr">
        <is>
          <t>NA</t>
        </is>
      </c>
      <c r="AG361" s="97" t="inlineStr">
        <is>
          <t>NA</t>
        </is>
      </c>
      <c r="AH361" s="285" t="n">
        <v>0</v>
      </c>
      <c r="AI361" s="285" t="inlineStr">
        <is>
          <t>Not Reported</t>
        </is>
      </c>
      <c r="AJ361" s="142">
        <f>4.9/5</f>
        <v/>
      </c>
      <c r="AK361" s="202" t="inlineStr">
        <is>
          <t>Met</t>
        </is>
      </c>
    </row>
    <row r="362">
      <c r="A362" s="21" t="inlineStr">
        <is>
          <t>SKF</t>
        </is>
      </c>
      <c r="B362" s="5" t="inlineStr">
        <is>
          <t>North</t>
        </is>
      </c>
      <c r="C362" s="277" t="inlineStr">
        <is>
          <t>Archana Trikha</t>
        </is>
      </c>
      <c r="D362" s="26" t="inlineStr">
        <is>
          <t>Rishab</t>
        </is>
      </c>
      <c r="E362" s="26" t="inlineStr">
        <is>
          <t>Category (B)</t>
        </is>
      </c>
      <c r="F362" s="26" t="inlineStr">
        <is>
          <t>Contractual SLA</t>
        </is>
      </c>
      <c r="G362" s="21" t="inlineStr">
        <is>
          <t>Yes</t>
        </is>
      </c>
      <c r="H362" s="26" t="inlineStr">
        <is>
          <t>Diversity</t>
        </is>
      </c>
      <c r="I362" s="11" t="n">
        <v>0.35</v>
      </c>
      <c r="J362" s="20" t="n">
        <v>0.07142857142857142</v>
      </c>
      <c r="K362" s="28" t="inlineStr">
        <is>
          <t>Not Met</t>
        </is>
      </c>
      <c r="L362" s="20" t="n">
        <v>0.06666666666666667</v>
      </c>
      <c r="M362" s="28" t="inlineStr">
        <is>
          <t>Not Met</t>
        </is>
      </c>
      <c r="N362" s="20" t="n">
        <v>0.3333333333333333</v>
      </c>
      <c r="O362" s="28" t="inlineStr">
        <is>
          <t>Not Met</t>
        </is>
      </c>
      <c r="P362" s="20" t="n">
        <v>0.208955223880597</v>
      </c>
      <c r="Q362" s="28" t="inlineStr">
        <is>
          <t>Not Met</t>
        </is>
      </c>
      <c r="R362" s="20" t="n">
        <v>0.4</v>
      </c>
      <c r="S362" s="28" t="inlineStr">
        <is>
          <t>Met</t>
        </is>
      </c>
      <c r="T362" s="52" t="n">
        <v>0.1666666666666667</v>
      </c>
      <c r="U362" s="28" t="inlineStr">
        <is>
          <t>Not Met</t>
        </is>
      </c>
      <c r="V362" s="52" t="n">
        <v>0.4375</v>
      </c>
      <c r="W362" s="28" t="inlineStr">
        <is>
          <t>Met</t>
        </is>
      </c>
      <c r="X362" s="52" t="n">
        <v>0.3571428571428572</v>
      </c>
      <c r="Y362" s="28" t="inlineStr">
        <is>
          <t>Met</t>
        </is>
      </c>
      <c r="Z362" s="28" t="inlineStr">
        <is>
          <t xml:space="preserve">NA </t>
        </is>
      </c>
      <c r="AA362" s="20" t="inlineStr">
        <is>
          <t>NA</t>
        </is>
      </c>
      <c r="AB362" s="20" t="inlineStr">
        <is>
          <t>NA</t>
        </is>
      </c>
      <c r="AC362" s="20" t="inlineStr">
        <is>
          <t>NA</t>
        </is>
      </c>
      <c r="AD362" s="139" t="inlineStr">
        <is>
          <t>NA</t>
        </is>
      </c>
      <c r="AE362" s="126" t="inlineStr">
        <is>
          <t>NA</t>
        </is>
      </c>
      <c r="AF362" s="282" t="inlineStr">
        <is>
          <t>NA</t>
        </is>
      </c>
      <c r="AG362" s="97" t="inlineStr">
        <is>
          <t>NA</t>
        </is>
      </c>
      <c r="AH362" s="285" t="n">
        <v>0</v>
      </c>
      <c r="AI362" s="285" t="inlineStr">
        <is>
          <t>Not Reported</t>
        </is>
      </c>
      <c r="AJ362" s="142">
        <f>39/134</f>
        <v/>
      </c>
      <c r="AK362" s="28" t="inlineStr">
        <is>
          <t>Not Met</t>
        </is>
      </c>
    </row>
    <row r="363">
      <c r="A363" s="21" t="inlineStr">
        <is>
          <t>SKF</t>
        </is>
      </c>
      <c r="B363" s="5" t="inlineStr">
        <is>
          <t>North</t>
        </is>
      </c>
      <c r="C363" s="277" t="inlineStr">
        <is>
          <t>Archana Trikha</t>
        </is>
      </c>
      <c r="D363" s="26" t="inlineStr">
        <is>
          <t>Rishab</t>
        </is>
      </c>
      <c r="E363" s="26" t="inlineStr">
        <is>
          <t>Category (B)</t>
        </is>
      </c>
      <c r="F363" s="26" t="inlineStr">
        <is>
          <t>Contractual SLA</t>
        </is>
      </c>
      <c r="G363" s="21" t="inlineStr">
        <is>
          <t>Yes</t>
        </is>
      </c>
      <c r="H363" s="21" t="inlineStr">
        <is>
          <t>Offer Drop</t>
        </is>
      </c>
      <c r="I363" s="11" t="n">
        <v>0.15</v>
      </c>
      <c r="J363" s="20" t="n">
        <v>0</v>
      </c>
      <c r="K363" s="28" t="inlineStr">
        <is>
          <t>Met</t>
        </is>
      </c>
      <c r="L363" s="20" t="n">
        <v>0.1052631578947368</v>
      </c>
      <c r="M363" s="28" t="inlineStr">
        <is>
          <t>Met</t>
        </is>
      </c>
      <c r="N363" s="20" t="n">
        <v>0.06451612903225806</v>
      </c>
      <c r="O363" s="28" t="inlineStr">
        <is>
          <t>Met</t>
        </is>
      </c>
      <c r="P363" s="20" t="n">
        <v>0.06060606060606061</v>
      </c>
      <c r="Q363" s="28" t="inlineStr">
        <is>
          <t>Met</t>
        </is>
      </c>
      <c r="R363" s="52" t="n">
        <v>0.03448275862068965</v>
      </c>
      <c r="S363" s="28" t="inlineStr">
        <is>
          <t>Met</t>
        </is>
      </c>
      <c r="T363" s="52" t="n">
        <v>0.06060606060606061</v>
      </c>
      <c r="U363" s="28" t="inlineStr">
        <is>
          <t>Met</t>
        </is>
      </c>
      <c r="V363" s="52" t="n">
        <v>0.1851851851851852</v>
      </c>
      <c r="W363" s="28" t="inlineStr">
        <is>
          <t>Not Met</t>
        </is>
      </c>
      <c r="X363" s="52" t="n">
        <v>0.0898876404494382</v>
      </c>
      <c r="Y363" s="28" t="inlineStr">
        <is>
          <t>Met</t>
        </is>
      </c>
      <c r="Z363" s="28" t="inlineStr">
        <is>
          <t xml:space="preserve">NA </t>
        </is>
      </c>
      <c r="AA363" s="20" t="inlineStr">
        <is>
          <t>NA</t>
        </is>
      </c>
      <c r="AB363" s="20" t="inlineStr">
        <is>
          <t>NA</t>
        </is>
      </c>
      <c r="AC363" s="20" t="inlineStr">
        <is>
          <t>NA</t>
        </is>
      </c>
      <c r="AD363" s="139" t="inlineStr">
        <is>
          <t>NA</t>
        </is>
      </c>
      <c r="AE363" s="126" t="inlineStr">
        <is>
          <t>NA</t>
        </is>
      </c>
      <c r="AF363" s="282" t="inlineStr">
        <is>
          <t>NA</t>
        </is>
      </c>
      <c r="AG363" s="97" t="inlineStr">
        <is>
          <t>NA</t>
        </is>
      </c>
      <c r="AH363" s="285" t="n">
        <v>0</v>
      </c>
      <c r="AI363" s="285" t="inlineStr">
        <is>
          <t>Not Reported</t>
        </is>
      </c>
      <c r="AJ363" s="142">
        <f>13/156</f>
        <v/>
      </c>
      <c r="AK363" s="202" t="inlineStr">
        <is>
          <t>Met</t>
        </is>
      </c>
    </row>
    <row r="364">
      <c r="A364" s="21" t="inlineStr">
        <is>
          <t>SKF</t>
        </is>
      </c>
      <c r="B364" s="5" t="inlineStr">
        <is>
          <t>North</t>
        </is>
      </c>
      <c r="C364" s="277" t="inlineStr">
        <is>
          <t>Archana Trikha</t>
        </is>
      </c>
      <c r="D364" s="26" t="inlineStr">
        <is>
          <t>Rishab</t>
        </is>
      </c>
      <c r="E364" s="26" t="inlineStr">
        <is>
          <t>Category (B)</t>
        </is>
      </c>
      <c r="F364" s="26" t="inlineStr">
        <is>
          <t>Contractual SLA</t>
        </is>
      </c>
      <c r="G364" s="21" t="inlineStr">
        <is>
          <t>Yes</t>
        </is>
      </c>
      <c r="H364" s="21" t="inlineStr">
        <is>
          <t>Ageing</t>
        </is>
      </c>
      <c r="I364" s="11" t="n">
        <v>0.2</v>
      </c>
      <c r="J364" s="29" t="n">
        <v>0.11</v>
      </c>
      <c r="K364" s="28" t="inlineStr">
        <is>
          <t>Met</t>
        </is>
      </c>
      <c r="L364" s="20" t="n">
        <v>0.2666666666666667</v>
      </c>
      <c r="M364" s="28" t="inlineStr">
        <is>
          <t>Not Met</t>
        </is>
      </c>
      <c r="N364" s="20" t="n">
        <v>0.1428571428571428</v>
      </c>
      <c r="O364" s="28" t="inlineStr">
        <is>
          <t>Met</t>
        </is>
      </c>
      <c r="P364" s="20" t="n">
        <v>0.15625</v>
      </c>
      <c r="Q364" s="28" t="inlineStr">
        <is>
          <t>Met</t>
        </is>
      </c>
      <c r="R364" s="20" t="n">
        <v>0.15</v>
      </c>
      <c r="S364" s="28" t="inlineStr">
        <is>
          <t>Met</t>
        </is>
      </c>
      <c r="T364" s="20" t="n">
        <v>0.1666666666666667</v>
      </c>
      <c r="U364" s="28" t="inlineStr">
        <is>
          <t>Met</t>
        </is>
      </c>
      <c r="V364" s="20" t="n">
        <v>0.34375</v>
      </c>
      <c r="W364" s="28" t="inlineStr">
        <is>
          <t>Not Met</t>
        </is>
      </c>
      <c r="X364" s="20" t="n">
        <v>0.2428571428571429</v>
      </c>
      <c r="Y364" s="28" t="inlineStr">
        <is>
          <t>Not Met</t>
        </is>
      </c>
      <c r="Z364" s="28" t="inlineStr">
        <is>
          <t xml:space="preserve">NA </t>
        </is>
      </c>
      <c r="AA364" s="20" t="inlineStr">
        <is>
          <t>NA</t>
        </is>
      </c>
      <c r="AB364" s="20" t="inlineStr">
        <is>
          <t>NA</t>
        </is>
      </c>
      <c r="AC364" s="20" t="inlineStr">
        <is>
          <t>NA</t>
        </is>
      </c>
      <c r="AD364" s="126" t="inlineStr">
        <is>
          <t>NA</t>
        </is>
      </c>
      <c r="AE364" s="127" t="inlineStr">
        <is>
          <t>NA</t>
        </is>
      </c>
      <c r="AF364" s="149" t="inlineStr">
        <is>
          <t>NA</t>
        </is>
      </c>
      <c r="AG364" s="97" t="inlineStr">
        <is>
          <t>NA</t>
        </is>
      </c>
      <c r="AH364" s="285" t="n">
        <v>0</v>
      </c>
      <c r="AI364" s="285" t="inlineStr">
        <is>
          <t>Not Reported</t>
        </is>
      </c>
      <c r="AJ364" s="149">
        <f>27/134</f>
        <v/>
      </c>
      <c r="AK364" s="28" t="inlineStr">
        <is>
          <t>Not Met</t>
        </is>
      </c>
    </row>
    <row r="365">
      <c r="A365" s="21" t="inlineStr">
        <is>
          <t>SKF</t>
        </is>
      </c>
      <c r="B365" s="5" t="inlineStr">
        <is>
          <t>North</t>
        </is>
      </c>
      <c r="C365" s="277" t="inlineStr">
        <is>
          <t>Archana Trikha</t>
        </is>
      </c>
      <c r="D365" s="26" t="inlineStr">
        <is>
          <t>Rishab</t>
        </is>
      </c>
      <c r="E365" s="26" t="inlineStr">
        <is>
          <t>Category (B)</t>
        </is>
      </c>
      <c r="F365" s="21" t="inlineStr">
        <is>
          <t>Internal KPI</t>
        </is>
      </c>
      <c r="G365" s="21" t="inlineStr">
        <is>
          <t>No</t>
        </is>
      </c>
      <c r="H365" s="27" t="inlineStr">
        <is>
          <t>Time to Hire</t>
        </is>
      </c>
      <c r="I365" s="14" t="inlineStr">
        <is>
          <t>135 Days</t>
        </is>
      </c>
      <c r="J365" s="28" t="inlineStr">
        <is>
          <t xml:space="preserve">81 Days </t>
        </is>
      </c>
      <c r="K365" s="28" t="inlineStr">
        <is>
          <t>Met</t>
        </is>
      </c>
      <c r="L365" s="14" t="inlineStr">
        <is>
          <t xml:space="preserve">90 Days </t>
        </is>
      </c>
      <c r="M365" s="28" t="inlineStr">
        <is>
          <t>Met</t>
        </is>
      </c>
      <c r="N365" s="14" t="inlineStr">
        <is>
          <t xml:space="preserve">86 Days </t>
        </is>
      </c>
      <c r="O365" s="28" t="inlineStr">
        <is>
          <t>Met</t>
        </is>
      </c>
      <c r="P365" s="14" t="inlineStr">
        <is>
          <t xml:space="preserve">84 Days </t>
        </is>
      </c>
      <c r="Q365" s="28" t="inlineStr">
        <is>
          <t>Met</t>
        </is>
      </c>
      <c r="R365" s="14" t="inlineStr">
        <is>
          <t xml:space="preserve">69 Days </t>
        </is>
      </c>
      <c r="S365" s="28" t="inlineStr">
        <is>
          <t>Met</t>
        </is>
      </c>
      <c r="T365" s="14" t="inlineStr">
        <is>
          <t xml:space="preserve">90 Days </t>
        </is>
      </c>
      <c r="U365" s="28" t="inlineStr">
        <is>
          <t>Met</t>
        </is>
      </c>
      <c r="V365" s="14" t="inlineStr">
        <is>
          <t xml:space="preserve">93 Days </t>
        </is>
      </c>
      <c r="W365" s="28" t="inlineStr">
        <is>
          <t>Met</t>
        </is>
      </c>
      <c r="X365" s="14" t="inlineStr">
        <is>
          <t xml:space="preserve">75 Days </t>
        </is>
      </c>
      <c r="Y365" s="28" t="inlineStr">
        <is>
          <t>Met</t>
        </is>
      </c>
      <c r="Z365" s="28" t="inlineStr">
        <is>
          <t xml:space="preserve">NA </t>
        </is>
      </c>
      <c r="AA365" s="20" t="inlineStr">
        <is>
          <t>NA</t>
        </is>
      </c>
      <c r="AB365" s="20" t="inlineStr">
        <is>
          <t>NA</t>
        </is>
      </c>
      <c r="AC365" s="20" t="inlineStr">
        <is>
          <t>NA</t>
        </is>
      </c>
      <c r="AD365" s="126" t="inlineStr">
        <is>
          <t>NA</t>
        </is>
      </c>
      <c r="AE365" s="97" t="inlineStr">
        <is>
          <t>NA</t>
        </is>
      </c>
      <c r="AF365" s="149" t="inlineStr">
        <is>
          <t>NA</t>
        </is>
      </c>
      <c r="AG365" s="97" t="inlineStr">
        <is>
          <t>NA</t>
        </is>
      </c>
      <c r="AH365" s="285" t="n">
        <v>0</v>
      </c>
      <c r="AI365" s="285" t="inlineStr">
        <is>
          <t>Not Reported</t>
        </is>
      </c>
      <c r="AJ365" s="147" t="n">
        <v>85</v>
      </c>
      <c r="AK365" s="202" t="inlineStr">
        <is>
          <t>Met</t>
        </is>
      </c>
    </row>
    <row r="366">
      <c r="A366" s="21" t="inlineStr">
        <is>
          <t>SKF</t>
        </is>
      </c>
      <c r="B366" s="5" t="inlineStr">
        <is>
          <t>North</t>
        </is>
      </c>
      <c r="C366" s="277" t="inlineStr">
        <is>
          <t>Archana Trikha</t>
        </is>
      </c>
      <c r="D366" s="26" t="inlineStr">
        <is>
          <t>Rishab</t>
        </is>
      </c>
      <c r="E366" s="26" t="inlineStr">
        <is>
          <t>Category (B)</t>
        </is>
      </c>
      <c r="F366" s="21" t="inlineStr">
        <is>
          <t>Internal KPI</t>
        </is>
      </c>
      <c r="G366" s="21" t="inlineStr">
        <is>
          <t>No</t>
        </is>
      </c>
      <c r="H366" s="27" t="inlineStr">
        <is>
          <t>Hit Ratio</t>
        </is>
      </c>
      <c r="I366" s="16" t="n">
        <v>0.04722222222222222</v>
      </c>
      <c r="J366" s="16" t="n">
        <v>0.04444444444444445</v>
      </c>
      <c r="K366" s="28" t="inlineStr">
        <is>
          <t>Met</t>
        </is>
      </c>
      <c r="L366" s="43" t="inlineStr">
        <is>
          <t>01:04</t>
        </is>
      </c>
      <c r="M366" s="28" t="inlineStr">
        <is>
          <t>Met</t>
        </is>
      </c>
      <c r="N366" s="43" t="inlineStr">
        <is>
          <t>01:04</t>
        </is>
      </c>
      <c r="O366" s="28" t="inlineStr">
        <is>
          <t>Met</t>
        </is>
      </c>
      <c r="P366" s="43" t="inlineStr">
        <is>
          <t>01:04</t>
        </is>
      </c>
      <c r="Q366" s="28" t="inlineStr">
        <is>
          <t>Met</t>
        </is>
      </c>
      <c r="R366" s="43" t="inlineStr">
        <is>
          <t>01:06</t>
        </is>
      </c>
      <c r="S366" s="28" t="inlineStr">
        <is>
          <t>Met</t>
        </is>
      </c>
      <c r="T366" s="43" t="inlineStr">
        <is>
          <t>01:04</t>
        </is>
      </c>
      <c r="U366" s="28" t="inlineStr">
        <is>
          <t>Met</t>
        </is>
      </c>
      <c r="V366" s="43" t="inlineStr">
        <is>
          <t>01:05</t>
        </is>
      </c>
      <c r="W366" s="28" t="inlineStr">
        <is>
          <t>Met</t>
        </is>
      </c>
      <c r="X366" s="43" t="inlineStr">
        <is>
          <t>01:02</t>
        </is>
      </c>
      <c r="Y366" s="28" t="inlineStr">
        <is>
          <t>Met</t>
        </is>
      </c>
      <c r="Z366" s="28" t="inlineStr">
        <is>
          <t xml:space="preserve">NA </t>
        </is>
      </c>
      <c r="AA366" s="20" t="inlineStr">
        <is>
          <t>NA</t>
        </is>
      </c>
      <c r="AB366" s="20" t="inlineStr">
        <is>
          <t>NA</t>
        </is>
      </c>
      <c r="AC366" s="20" t="inlineStr">
        <is>
          <t>NA</t>
        </is>
      </c>
      <c r="AD366" s="126" t="inlineStr">
        <is>
          <t>NA</t>
        </is>
      </c>
      <c r="AE366" s="126" t="inlineStr">
        <is>
          <t>NA</t>
        </is>
      </c>
      <c r="AF366" s="149" t="inlineStr">
        <is>
          <t>NA</t>
        </is>
      </c>
      <c r="AG366" s="97" t="inlineStr">
        <is>
          <t>NA</t>
        </is>
      </c>
      <c r="AH366" s="285" t="n">
        <v>0</v>
      </c>
      <c r="AI366" s="285" t="inlineStr">
        <is>
          <t>Not Reported</t>
        </is>
      </c>
      <c r="AJ366" s="101" t="inlineStr">
        <is>
          <t>01:02</t>
        </is>
      </c>
      <c r="AK366" s="202" t="inlineStr">
        <is>
          <t>Met</t>
        </is>
      </c>
    </row>
    <row r="367">
      <c r="A367" s="21" t="inlineStr">
        <is>
          <t>SKF</t>
        </is>
      </c>
      <c r="B367" s="5" t="inlineStr">
        <is>
          <t>North</t>
        </is>
      </c>
      <c r="C367" s="277" t="inlineStr">
        <is>
          <t>Archana Trikha</t>
        </is>
      </c>
      <c r="D367" s="26" t="inlineStr">
        <is>
          <t>Rishab</t>
        </is>
      </c>
      <c r="E367" s="26" t="inlineStr">
        <is>
          <t>Category (B)</t>
        </is>
      </c>
      <c r="F367" s="21" t="inlineStr">
        <is>
          <t>Internal KPI</t>
        </is>
      </c>
      <c r="G367" s="21" t="inlineStr">
        <is>
          <t>No</t>
        </is>
      </c>
      <c r="H367" s="27" t="inlineStr">
        <is>
          <t xml:space="preserve">Fulfilment </t>
        </is>
      </c>
      <c r="I367" s="20" t="n">
        <v>0.85</v>
      </c>
      <c r="J367" s="29" t="n">
        <v>0.38</v>
      </c>
      <c r="K367" s="28" t="inlineStr">
        <is>
          <t>Not Met</t>
        </is>
      </c>
      <c r="L367" s="29" t="n">
        <v>0.19</v>
      </c>
      <c r="M367" s="28" t="inlineStr">
        <is>
          <t>Not Met</t>
        </is>
      </c>
      <c r="N367" s="29" t="n">
        <v>0.26</v>
      </c>
      <c r="O367" s="28" t="inlineStr">
        <is>
          <t>Not Met</t>
        </is>
      </c>
      <c r="P367" s="29" t="n">
        <v>0.29</v>
      </c>
      <c r="Q367" s="28" t="inlineStr">
        <is>
          <t>Not Met</t>
        </is>
      </c>
      <c r="R367" s="29" t="n">
        <v>0.28</v>
      </c>
      <c r="S367" s="28" t="inlineStr">
        <is>
          <t>Not Met</t>
        </is>
      </c>
      <c r="T367" s="29" t="n">
        <v>0.28</v>
      </c>
      <c r="U367" s="28" t="inlineStr">
        <is>
          <t>Not Met</t>
        </is>
      </c>
      <c r="V367" s="29" t="n">
        <v>0.25</v>
      </c>
      <c r="W367" s="28" t="inlineStr">
        <is>
          <t>Not Met</t>
        </is>
      </c>
      <c r="X367" s="29" t="n">
        <v>0.27</v>
      </c>
      <c r="Y367" s="28" t="inlineStr">
        <is>
          <t>Not Met</t>
        </is>
      </c>
      <c r="Z367" s="28" t="inlineStr">
        <is>
          <t xml:space="preserve">NA </t>
        </is>
      </c>
      <c r="AA367" s="20" t="inlineStr">
        <is>
          <t>NA</t>
        </is>
      </c>
      <c r="AB367" s="20" t="inlineStr">
        <is>
          <t>NA</t>
        </is>
      </c>
      <c r="AC367" s="20" t="inlineStr">
        <is>
          <t>NA</t>
        </is>
      </c>
      <c r="AD367" s="126" t="inlineStr">
        <is>
          <t>NA</t>
        </is>
      </c>
      <c r="AE367" s="126" t="inlineStr">
        <is>
          <t>NA</t>
        </is>
      </c>
      <c r="AF367" s="149" t="inlineStr">
        <is>
          <t>NA</t>
        </is>
      </c>
      <c r="AG367" s="97" t="inlineStr">
        <is>
          <t>NA</t>
        </is>
      </c>
      <c r="AH367" s="285" t="n">
        <v>0</v>
      </c>
      <c r="AI367" s="285" t="inlineStr">
        <is>
          <t>Not Reported</t>
        </is>
      </c>
      <c r="AJ367" s="102" t="n">
        <v>0.28</v>
      </c>
      <c r="AK367" s="28" t="inlineStr">
        <is>
          <t>Not Met</t>
        </is>
      </c>
    </row>
    <row r="368">
      <c r="A368" s="21" t="inlineStr">
        <is>
          <t>SKF</t>
        </is>
      </c>
      <c r="B368" s="5" t="inlineStr">
        <is>
          <t>North</t>
        </is>
      </c>
      <c r="C368" s="277" t="inlineStr">
        <is>
          <t>Archana Trikha</t>
        </is>
      </c>
      <c r="D368" s="26" t="inlineStr">
        <is>
          <t>Rishab</t>
        </is>
      </c>
      <c r="E368" s="26" t="inlineStr">
        <is>
          <t>Category (B)</t>
        </is>
      </c>
      <c r="F368" s="21" t="inlineStr">
        <is>
          <t>Internal KPI</t>
        </is>
      </c>
      <c r="G368" s="21" t="inlineStr">
        <is>
          <t>No</t>
        </is>
      </c>
      <c r="H368" s="27" t="inlineStr">
        <is>
          <t>First Time Right Ratio</t>
        </is>
      </c>
      <c r="I368" s="20" t="n">
        <v>0.75</v>
      </c>
      <c r="J368" s="29" t="n">
        <v>0.75</v>
      </c>
      <c r="K368" s="28" t="inlineStr">
        <is>
          <t>Met</t>
        </is>
      </c>
      <c r="L368" s="29" t="n">
        <v>0.78</v>
      </c>
      <c r="M368" s="28" t="inlineStr">
        <is>
          <t>Met</t>
        </is>
      </c>
      <c r="N368" s="29" t="n">
        <v>0.75</v>
      </c>
      <c r="O368" s="28" t="inlineStr">
        <is>
          <t>Met</t>
        </is>
      </c>
      <c r="P368" s="29" t="n">
        <v>0.75</v>
      </c>
      <c r="Q368" s="28" t="inlineStr">
        <is>
          <t>Met</t>
        </is>
      </c>
      <c r="R368" s="29" t="n">
        <v>0.78</v>
      </c>
      <c r="S368" s="28" t="inlineStr">
        <is>
          <t>Met</t>
        </is>
      </c>
      <c r="T368" s="29" t="n">
        <v>0.75</v>
      </c>
      <c r="U368" s="28" t="inlineStr">
        <is>
          <t>Met</t>
        </is>
      </c>
      <c r="V368" s="29" t="n">
        <v>0.76</v>
      </c>
      <c r="W368" s="28" t="inlineStr">
        <is>
          <t>Met</t>
        </is>
      </c>
      <c r="X368" s="29" t="n">
        <v>0.76</v>
      </c>
      <c r="Y368" s="28" t="inlineStr">
        <is>
          <t>Met</t>
        </is>
      </c>
      <c r="Z368" s="28" t="inlineStr">
        <is>
          <t xml:space="preserve">NA </t>
        </is>
      </c>
      <c r="AA368" s="20" t="inlineStr">
        <is>
          <t>NA</t>
        </is>
      </c>
      <c r="AB368" s="20" t="inlineStr">
        <is>
          <t>NA</t>
        </is>
      </c>
      <c r="AC368" s="20" t="inlineStr">
        <is>
          <t>NA</t>
        </is>
      </c>
      <c r="AD368" s="126" t="inlineStr">
        <is>
          <t>NA</t>
        </is>
      </c>
      <c r="AE368" s="126" t="inlineStr">
        <is>
          <t>NA</t>
        </is>
      </c>
      <c r="AF368" s="149" t="inlineStr">
        <is>
          <t>NA</t>
        </is>
      </c>
      <c r="AG368" s="97" t="inlineStr">
        <is>
          <t>NA</t>
        </is>
      </c>
      <c r="AH368" s="285" t="n">
        <v>0</v>
      </c>
      <c r="AI368" s="285" t="inlineStr">
        <is>
          <t>Not Reported</t>
        </is>
      </c>
      <c r="AJ368" s="102" t="n">
        <v>0.75</v>
      </c>
      <c r="AK368" s="202" t="inlineStr">
        <is>
          <t>Met</t>
        </is>
      </c>
    </row>
    <row r="369">
      <c r="A369" s="21" t="inlineStr">
        <is>
          <t>SKF</t>
        </is>
      </c>
      <c r="B369" s="5" t="inlineStr">
        <is>
          <t>North</t>
        </is>
      </c>
      <c r="C369" s="277" t="inlineStr">
        <is>
          <t>Archana Trikha</t>
        </is>
      </c>
      <c r="D369" s="26" t="inlineStr">
        <is>
          <t>Rishab</t>
        </is>
      </c>
      <c r="E369" s="26" t="inlineStr">
        <is>
          <t>Category (B)</t>
        </is>
      </c>
      <c r="F369" s="26" t="inlineStr">
        <is>
          <t>Contractual SLA</t>
        </is>
      </c>
      <c r="G369" s="21" t="inlineStr">
        <is>
          <t>Yes</t>
        </is>
      </c>
      <c r="H369" s="44" t="inlineStr">
        <is>
          <t>Supply of CVs</t>
        </is>
      </c>
      <c r="I369" s="11" t="n">
        <v>0.8</v>
      </c>
      <c r="J369" s="29" t="n">
        <v>0.86</v>
      </c>
      <c r="K369" s="28" t="inlineStr">
        <is>
          <t>Met</t>
        </is>
      </c>
      <c r="L369" s="29" t="n">
        <v>0.8</v>
      </c>
      <c r="M369" s="28" t="inlineStr">
        <is>
          <t>Met</t>
        </is>
      </c>
      <c r="N369" s="29" t="n">
        <v>1</v>
      </c>
      <c r="O369" s="28" t="inlineStr">
        <is>
          <t>Met</t>
        </is>
      </c>
      <c r="P369" s="29" t="n">
        <v>0.89</v>
      </c>
      <c r="Q369" s="28" t="inlineStr">
        <is>
          <t>Met</t>
        </is>
      </c>
      <c r="R369" s="29" t="n">
        <v>0.89</v>
      </c>
      <c r="S369" s="28" t="inlineStr">
        <is>
          <t>Met</t>
        </is>
      </c>
      <c r="T369" s="29" t="n">
        <v>0.89</v>
      </c>
      <c r="U369" s="28" t="inlineStr">
        <is>
          <t>Met</t>
        </is>
      </c>
      <c r="V369" s="29" t="n">
        <v>0.84</v>
      </c>
      <c r="W369" s="28" t="inlineStr">
        <is>
          <t>Met</t>
        </is>
      </c>
      <c r="X369" s="29" t="n">
        <v>0.87</v>
      </c>
      <c r="Y369" s="28" t="inlineStr">
        <is>
          <t>Met</t>
        </is>
      </c>
      <c r="Z369" s="28" t="inlineStr">
        <is>
          <t xml:space="preserve">NA </t>
        </is>
      </c>
      <c r="AA369" s="20" t="inlineStr">
        <is>
          <t>NA</t>
        </is>
      </c>
      <c r="AB369" s="20" t="inlineStr">
        <is>
          <t>NA</t>
        </is>
      </c>
      <c r="AC369" s="20" t="inlineStr">
        <is>
          <t>NA</t>
        </is>
      </c>
      <c r="AD369" s="126" t="inlineStr">
        <is>
          <t>NA</t>
        </is>
      </c>
      <c r="AE369" s="126" t="inlineStr">
        <is>
          <t>NA</t>
        </is>
      </c>
      <c r="AF369" s="149" t="inlineStr">
        <is>
          <t>NA</t>
        </is>
      </c>
      <c r="AG369" s="97" t="inlineStr">
        <is>
          <t>NA</t>
        </is>
      </c>
      <c r="AH369" s="285" t="n">
        <v>0</v>
      </c>
      <c r="AI369" s="285" t="inlineStr">
        <is>
          <t>Not Reported</t>
        </is>
      </c>
      <c r="AJ369" s="102" t="n">
        <v>0.9</v>
      </c>
      <c r="AK369" s="202" t="inlineStr">
        <is>
          <t>Met</t>
        </is>
      </c>
    </row>
    <row r="370">
      <c r="A370" s="21" t="inlineStr">
        <is>
          <t>SKF</t>
        </is>
      </c>
      <c r="B370" s="5" t="inlineStr">
        <is>
          <t>North</t>
        </is>
      </c>
      <c r="C370" s="277" t="inlineStr">
        <is>
          <t>Archana Trikha</t>
        </is>
      </c>
      <c r="D370" s="26" t="inlineStr">
        <is>
          <t>Rishab</t>
        </is>
      </c>
      <c r="E370" s="26" t="inlineStr">
        <is>
          <t>Category (B)</t>
        </is>
      </c>
      <c r="F370" s="26" t="inlineStr">
        <is>
          <t>Contractual SLA</t>
        </is>
      </c>
      <c r="G370" s="21" t="inlineStr">
        <is>
          <t>Yes</t>
        </is>
      </c>
      <c r="H370" s="21" t="inlineStr">
        <is>
          <t>Early Attrition</t>
        </is>
      </c>
      <c r="I370" s="11" t="n">
        <v>0.05</v>
      </c>
      <c r="J370" s="29" t="n">
        <v>0</v>
      </c>
      <c r="K370" s="28" t="inlineStr">
        <is>
          <t>Met</t>
        </is>
      </c>
      <c r="L370" s="29" t="n">
        <v>0</v>
      </c>
      <c r="M370" s="28" t="inlineStr">
        <is>
          <t>Met</t>
        </is>
      </c>
      <c r="N370" s="29" t="n">
        <v>0</v>
      </c>
      <c r="O370" s="28" t="inlineStr">
        <is>
          <t>Met</t>
        </is>
      </c>
      <c r="P370" s="29" t="n">
        <v>0</v>
      </c>
      <c r="Q370" s="28" t="inlineStr">
        <is>
          <t>Met</t>
        </is>
      </c>
      <c r="R370" s="29" t="n">
        <v>0</v>
      </c>
      <c r="S370" s="28" t="inlineStr">
        <is>
          <t>Met</t>
        </is>
      </c>
      <c r="T370" s="29" t="n">
        <v>0</v>
      </c>
      <c r="U370" s="28" t="inlineStr">
        <is>
          <t>Met</t>
        </is>
      </c>
      <c r="V370" s="29" t="n">
        <v>0</v>
      </c>
      <c r="W370" s="28" t="inlineStr">
        <is>
          <t>Met</t>
        </is>
      </c>
      <c r="X370" s="29" t="n">
        <v>0</v>
      </c>
      <c r="Y370" s="28" t="inlineStr">
        <is>
          <t>Met</t>
        </is>
      </c>
      <c r="Z370" s="28" t="inlineStr">
        <is>
          <t xml:space="preserve">NA </t>
        </is>
      </c>
      <c r="AA370" s="20" t="inlineStr">
        <is>
          <t>NA</t>
        </is>
      </c>
      <c r="AB370" s="20" t="inlineStr">
        <is>
          <t>NA</t>
        </is>
      </c>
      <c r="AC370" s="20" t="inlineStr">
        <is>
          <t>NA</t>
        </is>
      </c>
      <c r="AD370" s="126" t="inlineStr">
        <is>
          <t>NA</t>
        </is>
      </c>
      <c r="AE370" s="126" t="inlineStr">
        <is>
          <t>NA</t>
        </is>
      </c>
      <c r="AF370" s="149" t="inlineStr">
        <is>
          <t>NA</t>
        </is>
      </c>
      <c r="AG370" s="97" t="inlineStr">
        <is>
          <t>NA</t>
        </is>
      </c>
      <c r="AH370" s="285" t="n">
        <v>0</v>
      </c>
      <c r="AI370" s="285" t="inlineStr">
        <is>
          <t>Not Reported</t>
        </is>
      </c>
      <c r="AJ370" s="102" t="n">
        <v>0</v>
      </c>
      <c r="AK370" s="202" t="inlineStr">
        <is>
          <t>Met</t>
        </is>
      </c>
    </row>
    <row r="371">
      <c r="A371" s="21" t="inlineStr">
        <is>
          <t xml:space="preserve">SKF Auto </t>
        </is>
      </c>
      <c r="B371" s="5" t="inlineStr">
        <is>
          <t>North</t>
        </is>
      </c>
      <c r="C371" s="277" t="inlineStr">
        <is>
          <t>Archana Trikha</t>
        </is>
      </c>
      <c r="D371" s="26" t="inlineStr">
        <is>
          <t>Rishab</t>
        </is>
      </c>
      <c r="E371" s="26" t="inlineStr">
        <is>
          <t>Category (B)</t>
        </is>
      </c>
      <c r="F371" s="21" t="inlineStr">
        <is>
          <t>Contractual SLA</t>
        </is>
      </c>
      <c r="G371" s="21" t="inlineStr">
        <is>
          <t>Yes</t>
        </is>
      </c>
      <c r="H371" s="75" t="inlineStr">
        <is>
          <t>Time to Fill</t>
        </is>
      </c>
      <c r="I371" s="28" t="inlineStr">
        <is>
          <t>45 Days</t>
        </is>
      </c>
      <c r="J371" s="29" t="inlineStr">
        <is>
          <t xml:space="preserve">NA </t>
        </is>
      </c>
      <c r="K371" s="29" t="inlineStr">
        <is>
          <t xml:space="preserve">NA </t>
        </is>
      </c>
      <c r="L371" s="29" t="inlineStr">
        <is>
          <t xml:space="preserve">NA </t>
        </is>
      </c>
      <c r="M371" s="29" t="inlineStr">
        <is>
          <t xml:space="preserve">NA </t>
        </is>
      </c>
      <c r="N371" s="29" t="inlineStr">
        <is>
          <t xml:space="preserve">NA </t>
        </is>
      </c>
      <c r="O371" s="29" t="inlineStr">
        <is>
          <t xml:space="preserve">NA </t>
        </is>
      </c>
      <c r="P371" s="29" t="inlineStr">
        <is>
          <t xml:space="preserve">NA </t>
        </is>
      </c>
      <c r="Q371" s="29" t="inlineStr">
        <is>
          <t xml:space="preserve">NA </t>
        </is>
      </c>
      <c r="R371" s="29" t="inlineStr">
        <is>
          <t xml:space="preserve">NA </t>
        </is>
      </c>
      <c r="S371" s="29" t="inlineStr">
        <is>
          <t xml:space="preserve">NA </t>
        </is>
      </c>
      <c r="T371" s="29" t="inlineStr">
        <is>
          <t xml:space="preserve">NA </t>
        </is>
      </c>
      <c r="U371" s="29" t="inlineStr">
        <is>
          <t xml:space="preserve">NA </t>
        </is>
      </c>
      <c r="V371" s="28" t="inlineStr">
        <is>
          <t xml:space="preserve">NA </t>
        </is>
      </c>
      <c r="W371" s="28" t="inlineStr">
        <is>
          <t xml:space="preserve">NA </t>
        </is>
      </c>
      <c r="X371" s="28" t="inlineStr">
        <is>
          <t xml:space="preserve">NA </t>
        </is>
      </c>
      <c r="Y371" s="28" t="inlineStr">
        <is>
          <t xml:space="preserve">NA </t>
        </is>
      </c>
      <c r="Z371" s="13" t="inlineStr">
        <is>
          <t xml:space="preserve">39 Days </t>
        </is>
      </c>
      <c r="AA371" s="28" t="inlineStr">
        <is>
          <t>Met</t>
        </is>
      </c>
      <c r="AB371" s="78" t="n">
        <v>33</v>
      </c>
      <c r="AC371" s="28" t="inlineStr">
        <is>
          <t>Met</t>
        </is>
      </c>
      <c r="AD371" s="78" t="n">
        <v>31</v>
      </c>
      <c r="AE371" s="28" t="inlineStr">
        <is>
          <t>Met</t>
        </is>
      </c>
      <c r="AF371" s="78" t="n">
        <v>50</v>
      </c>
      <c r="AG371" s="28" t="inlineStr">
        <is>
          <t>Not Met</t>
        </is>
      </c>
      <c r="AH371" s="285" t="n">
        <v>0</v>
      </c>
      <c r="AI371" s="285" t="inlineStr">
        <is>
          <t>Not Reported</t>
        </is>
      </c>
      <c r="AJ371" s="161" t="n">
        <v>39</v>
      </c>
      <c r="AK371" s="202" t="inlineStr">
        <is>
          <t>Met</t>
        </is>
      </c>
    </row>
    <row r="372">
      <c r="A372" s="21" t="inlineStr">
        <is>
          <t xml:space="preserve">SKF Auto </t>
        </is>
      </c>
      <c r="B372" s="5" t="inlineStr">
        <is>
          <t>North</t>
        </is>
      </c>
      <c r="C372" s="277" t="inlineStr">
        <is>
          <t>Archana Trikha</t>
        </is>
      </c>
      <c r="D372" s="26" t="inlineStr">
        <is>
          <t>Rishab</t>
        </is>
      </c>
      <c r="E372" s="26" t="inlineStr">
        <is>
          <t>Category (B)</t>
        </is>
      </c>
      <c r="F372" s="26" t="inlineStr">
        <is>
          <t>Contractual SLA</t>
        </is>
      </c>
      <c r="G372" s="21" t="inlineStr">
        <is>
          <t>Yes</t>
        </is>
      </c>
      <c r="H372" s="44" t="inlineStr">
        <is>
          <t>Source Mix (PS)</t>
        </is>
      </c>
      <c r="I372" s="11" t="n">
        <v>0.6</v>
      </c>
      <c r="J372" s="29" t="inlineStr">
        <is>
          <t xml:space="preserve">NA </t>
        </is>
      </c>
      <c r="K372" s="29" t="inlineStr">
        <is>
          <t xml:space="preserve">NA </t>
        </is>
      </c>
      <c r="L372" s="29" t="inlineStr">
        <is>
          <t xml:space="preserve">NA </t>
        </is>
      </c>
      <c r="M372" s="29" t="inlineStr">
        <is>
          <t xml:space="preserve">NA </t>
        </is>
      </c>
      <c r="N372" s="29" t="inlineStr">
        <is>
          <t xml:space="preserve">NA </t>
        </is>
      </c>
      <c r="O372" s="29" t="inlineStr">
        <is>
          <t xml:space="preserve">NA </t>
        </is>
      </c>
      <c r="P372" s="29" t="inlineStr">
        <is>
          <t xml:space="preserve">NA </t>
        </is>
      </c>
      <c r="Q372" s="29" t="inlineStr">
        <is>
          <t xml:space="preserve">NA </t>
        </is>
      </c>
      <c r="R372" s="29" t="inlineStr">
        <is>
          <t xml:space="preserve">NA </t>
        </is>
      </c>
      <c r="S372" s="29" t="inlineStr">
        <is>
          <t xml:space="preserve">NA </t>
        </is>
      </c>
      <c r="T372" s="29" t="inlineStr">
        <is>
          <t xml:space="preserve">NA </t>
        </is>
      </c>
      <c r="U372" s="29" t="inlineStr">
        <is>
          <t xml:space="preserve">NA </t>
        </is>
      </c>
      <c r="V372" s="28" t="inlineStr">
        <is>
          <t xml:space="preserve">NA </t>
        </is>
      </c>
      <c r="W372" s="28" t="inlineStr">
        <is>
          <t xml:space="preserve">NA </t>
        </is>
      </c>
      <c r="X372" s="28" t="inlineStr">
        <is>
          <t xml:space="preserve">NA </t>
        </is>
      </c>
      <c r="Y372" s="28" t="inlineStr">
        <is>
          <t xml:space="preserve">NA </t>
        </is>
      </c>
      <c r="Z372" s="20" t="n">
        <v>0.4</v>
      </c>
      <c r="AA372" s="28" t="inlineStr">
        <is>
          <t>Not Met</t>
        </is>
      </c>
      <c r="AB372" s="119" t="n">
        <v>0.5</v>
      </c>
      <c r="AC372" s="28" t="inlineStr">
        <is>
          <t>Not Met</t>
        </is>
      </c>
      <c r="AD372" s="119">
        <f>2/4</f>
        <v/>
      </c>
      <c r="AE372" s="28" t="inlineStr">
        <is>
          <t>Not Met</t>
        </is>
      </c>
      <c r="AF372" s="149">
        <f>1/3</f>
        <v/>
      </c>
      <c r="AG372" s="28" t="inlineStr">
        <is>
          <t>Not Met</t>
        </is>
      </c>
      <c r="AH372" s="285" t="n">
        <v>0</v>
      </c>
      <c r="AI372" s="285" t="inlineStr">
        <is>
          <t>Not Reported</t>
        </is>
      </c>
      <c r="AJ372" s="119">
        <f>9/20</f>
        <v/>
      </c>
      <c r="AK372" s="28" t="inlineStr">
        <is>
          <t>Not Met</t>
        </is>
      </c>
    </row>
    <row r="373">
      <c r="A373" s="21" t="inlineStr">
        <is>
          <t xml:space="preserve">SKF Auto </t>
        </is>
      </c>
      <c r="B373" s="5" t="inlineStr">
        <is>
          <t>North</t>
        </is>
      </c>
      <c r="C373" s="277" t="inlineStr">
        <is>
          <t>Archana Trikha</t>
        </is>
      </c>
      <c r="D373" s="26" t="inlineStr">
        <is>
          <t>Rishab</t>
        </is>
      </c>
      <c r="E373" s="26" t="inlineStr">
        <is>
          <t>Category (B)</t>
        </is>
      </c>
      <c r="F373" s="26" t="inlineStr">
        <is>
          <t>Contractual SLA</t>
        </is>
      </c>
      <c r="G373" s="21" t="inlineStr">
        <is>
          <t>Yes</t>
        </is>
      </c>
      <c r="H373" s="44" t="inlineStr">
        <is>
          <t>Source Mix (ER &amp; IJP)</t>
        </is>
      </c>
      <c r="I373" s="11" t="n">
        <v>0.4</v>
      </c>
      <c r="J373" s="29" t="inlineStr">
        <is>
          <t xml:space="preserve">NA </t>
        </is>
      </c>
      <c r="K373" s="29" t="inlineStr">
        <is>
          <t xml:space="preserve">NA </t>
        </is>
      </c>
      <c r="L373" s="29" t="inlineStr">
        <is>
          <t xml:space="preserve">NA </t>
        </is>
      </c>
      <c r="M373" s="29" t="inlineStr">
        <is>
          <t xml:space="preserve">NA </t>
        </is>
      </c>
      <c r="N373" s="29" t="inlineStr">
        <is>
          <t xml:space="preserve">NA </t>
        </is>
      </c>
      <c r="O373" s="29" t="inlineStr">
        <is>
          <t xml:space="preserve">NA </t>
        </is>
      </c>
      <c r="P373" s="29" t="inlineStr">
        <is>
          <t xml:space="preserve">NA </t>
        </is>
      </c>
      <c r="Q373" s="29" t="inlineStr">
        <is>
          <t xml:space="preserve">NA </t>
        </is>
      </c>
      <c r="R373" s="29" t="inlineStr">
        <is>
          <t xml:space="preserve">NA </t>
        </is>
      </c>
      <c r="S373" s="29" t="inlineStr">
        <is>
          <t xml:space="preserve">NA </t>
        </is>
      </c>
      <c r="T373" s="29" t="inlineStr">
        <is>
          <t xml:space="preserve">NA </t>
        </is>
      </c>
      <c r="U373" s="29" t="inlineStr">
        <is>
          <t xml:space="preserve">NA </t>
        </is>
      </c>
      <c r="V373" s="28" t="inlineStr">
        <is>
          <t xml:space="preserve">NA </t>
        </is>
      </c>
      <c r="W373" s="28" t="inlineStr">
        <is>
          <t xml:space="preserve">NA </t>
        </is>
      </c>
      <c r="X373" s="28" t="inlineStr">
        <is>
          <t xml:space="preserve">NA </t>
        </is>
      </c>
      <c r="Y373" s="28" t="inlineStr">
        <is>
          <t xml:space="preserve">NA </t>
        </is>
      </c>
      <c r="Z373" s="20" t="n">
        <v>0.6</v>
      </c>
      <c r="AA373" s="28" t="inlineStr">
        <is>
          <t>Met</t>
        </is>
      </c>
      <c r="AB373" s="82" t="n">
        <v>0.5</v>
      </c>
      <c r="AC373" s="28" t="inlineStr">
        <is>
          <t>Met</t>
        </is>
      </c>
      <c r="AD373" s="149">
        <f>2/4</f>
        <v/>
      </c>
      <c r="AE373" s="28" t="inlineStr">
        <is>
          <t>Met</t>
        </is>
      </c>
      <c r="AF373" s="119">
        <f>2/3</f>
        <v/>
      </c>
      <c r="AG373" s="202" t="inlineStr">
        <is>
          <t>Met</t>
        </is>
      </c>
      <c r="AH373" s="285" t="n">
        <v>0</v>
      </c>
      <c r="AI373" s="285" t="inlineStr">
        <is>
          <t>Not Reported</t>
        </is>
      </c>
      <c r="AJ373" s="149">
        <f>11/20</f>
        <v/>
      </c>
      <c r="AK373" s="202" t="inlineStr">
        <is>
          <t>Met</t>
        </is>
      </c>
    </row>
    <row r="374">
      <c r="A374" s="21" t="inlineStr">
        <is>
          <t xml:space="preserve">SKF Auto </t>
        </is>
      </c>
      <c r="B374" s="5" t="inlineStr">
        <is>
          <t>North</t>
        </is>
      </c>
      <c r="C374" s="277" t="inlineStr">
        <is>
          <t>Archana Trikha</t>
        </is>
      </c>
      <c r="D374" s="26" t="inlineStr">
        <is>
          <t>Rishab</t>
        </is>
      </c>
      <c r="E374" s="26" t="inlineStr">
        <is>
          <t>Category (B)</t>
        </is>
      </c>
      <c r="F374" s="26" t="inlineStr">
        <is>
          <t>Contractual SLA</t>
        </is>
      </c>
      <c r="G374" s="21" t="inlineStr">
        <is>
          <t>Yes</t>
        </is>
      </c>
      <c r="H374" s="76" t="inlineStr">
        <is>
          <t>CSAT</t>
        </is>
      </c>
      <c r="I374" s="11" t="n">
        <v>0.8</v>
      </c>
      <c r="J374" s="29" t="inlineStr">
        <is>
          <t xml:space="preserve">NA </t>
        </is>
      </c>
      <c r="K374" s="29" t="inlineStr">
        <is>
          <t xml:space="preserve">NA </t>
        </is>
      </c>
      <c r="L374" s="29" t="inlineStr">
        <is>
          <t xml:space="preserve">NA </t>
        </is>
      </c>
      <c r="M374" s="29" t="inlineStr">
        <is>
          <t xml:space="preserve">NA </t>
        </is>
      </c>
      <c r="N374" s="29" t="inlineStr">
        <is>
          <t xml:space="preserve">NA </t>
        </is>
      </c>
      <c r="O374" s="29" t="inlineStr">
        <is>
          <t xml:space="preserve">NA </t>
        </is>
      </c>
      <c r="P374" s="29" t="inlineStr">
        <is>
          <t xml:space="preserve">NA </t>
        </is>
      </c>
      <c r="Q374" s="29" t="inlineStr">
        <is>
          <t xml:space="preserve">NA </t>
        </is>
      </c>
      <c r="R374" s="29" t="inlineStr">
        <is>
          <t xml:space="preserve">NA </t>
        </is>
      </c>
      <c r="S374" s="29" t="inlineStr">
        <is>
          <t xml:space="preserve">NA </t>
        </is>
      </c>
      <c r="T374" s="29" t="inlineStr">
        <is>
          <t xml:space="preserve">NA </t>
        </is>
      </c>
      <c r="U374" s="29" t="inlineStr">
        <is>
          <t xml:space="preserve">NA </t>
        </is>
      </c>
      <c r="V374" s="28" t="inlineStr">
        <is>
          <t xml:space="preserve">NA </t>
        </is>
      </c>
      <c r="W374" s="28" t="inlineStr">
        <is>
          <t xml:space="preserve">NA </t>
        </is>
      </c>
      <c r="X374" s="28" t="inlineStr">
        <is>
          <t xml:space="preserve">NA </t>
        </is>
      </c>
      <c r="Y374" s="28" t="inlineStr">
        <is>
          <t xml:space="preserve">NA </t>
        </is>
      </c>
      <c r="Z374" s="20" t="n">
        <v>0.9800000000000001</v>
      </c>
      <c r="AA374" s="28" t="inlineStr">
        <is>
          <t>Met</t>
        </is>
      </c>
      <c r="AB374" s="82" t="n">
        <v>0.9800000000000001</v>
      </c>
      <c r="AC374" s="28" t="inlineStr">
        <is>
          <t>Met</t>
        </is>
      </c>
      <c r="AD374" s="149">
        <f>5/5</f>
        <v/>
      </c>
      <c r="AE374" s="28" t="inlineStr">
        <is>
          <t>Met</t>
        </is>
      </c>
      <c r="AF374" s="119">
        <f>5/5</f>
        <v/>
      </c>
      <c r="AG374" s="202" t="inlineStr">
        <is>
          <t>Met</t>
        </is>
      </c>
      <c r="AH374" s="285" t="n">
        <v>0</v>
      </c>
      <c r="AI374" s="285" t="inlineStr">
        <is>
          <t>Not Reported</t>
        </is>
      </c>
      <c r="AJ374" s="160">
        <f>4.9/5</f>
        <v/>
      </c>
      <c r="AK374" s="202" t="inlineStr">
        <is>
          <t>Met</t>
        </is>
      </c>
    </row>
    <row r="375">
      <c r="A375" s="21" t="inlineStr">
        <is>
          <t xml:space="preserve">SKF Auto </t>
        </is>
      </c>
      <c r="B375" s="5" t="inlineStr">
        <is>
          <t>North</t>
        </is>
      </c>
      <c r="C375" s="277" t="inlineStr">
        <is>
          <t>Archana Trikha</t>
        </is>
      </c>
      <c r="D375" s="26" t="inlineStr">
        <is>
          <t>Rishab</t>
        </is>
      </c>
      <c r="E375" s="26" t="inlineStr">
        <is>
          <t>Category (B)</t>
        </is>
      </c>
      <c r="F375" s="26" t="inlineStr">
        <is>
          <t>Contractual SLA</t>
        </is>
      </c>
      <c r="G375" s="21" t="inlineStr">
        <is>
          <t>Yes</t>
        </is>
      </c>
      <c r="H375" s="76" t="inlineStr">
        <is>
          <t>HM SAT</t>
        </is>
      </c>
      <c r="I375" s="11" t="n">
        <v>0.8</v>
      </c>
      <c r="J375" s="29" t="inlineStr">
        <is>
          <t xml:space="preserve">NA </t>
        </is>
      </c>
      <c r="K375" s="29" t="inlineStr">
        <is>
          <t xml:space="preserve">NA </t>
        </is>
      </c>
      <c r="L375" s="29" t="inlineStr">
        <is>
          <t xml:space="preserve">NA </t>
        </is>
      </c>
      <c r="M375" s="29" t="inlineStr">
        <is>
          <t xml:space="preserve">NA </t>
        </is>
      </c>
      <c r="N375" s="29" t="inlineStr">
        <is>
          <t xml:space="preserve">NA </t>
        </is>
      </c>
      <c r="O375" s="29" t="inlineStr">
        <is>
          <t xml:space="preserve">NA </t>
        </is>
      </c>
      <c r="P375" s="29" t="inlineStr">
        <is>
          <t xml:space="preserve">NA </t>
        </is>
      </c>
      <c r="Q375" s="29" t="inlineStr">
        <is>
          <t xml:space="preserve">NA </t>
        </is>
      </c>
      <c r="R375" s="29" t="inlineStr">
        <is>
          <t xml:space="preserve">NA </t>
        </is>
      </c>
      <c r="S375" s="29" t="inlineStr">
        <is>
          <t xml:space="preserve">NA </t>
        </is>
      </c>
      <c r="T375" s="29" t="inlineStr">
        <is>
          <t xml:space="preserve">NA </t>
        </is>
      </c>
      <c r="U375" s="29" t="inlineStr">
        <is>
          <t xml:space="preserve">NA </t>
        </is>
      </c>
      <c r="V375" s="28" t="inlineStr">
        <is>
          <t xml:space="preserve">NA </t>
        </is>
      </c>
      <c r="W375" s="28" t="inlineStr">
        <is>
          <t xml:space="preserve">NA </t>
        </is>
      </c>
      <c r="X375" s="28" t="inlineStr">
        <is>
          <t xml:space="preserve">NA </t>
        </is>
      </c>
      <c r="Y375" s="28" t="inlineStr">
        <is>
          <t xml:space="preserve">NA </t>
        </is>
      </c>
      <c r="Z375" s="20" t="n">
        <v>0.96</v>
      </c>
      <c r="AA375" s="28" t="inlineStr">
        <is>
          <t>Met</t>
        </is>
      </c>
      <c r="AB375" s="82" t="n">
        <v>0.9400000000000001</v>
      </c>
      <c r="AC375" s="28" t="inlineStr">
        <is>
          <t>Met</t>
        </is>
      </c>
      <c r="AD375" s="149">
        <f>4.9/5</f>
        <v/>
      </c>
      <c r="AE375" s="28" t="inlineStr">
        <is>
          <t>Met</t>
        </is>
      </c>
      <c r="AF375" s="119">
        <f>4.5/5</f>
        <v/>
      </c>
      <c r="AG375" s="202" t="inlineStr">
        <is>
          <t>Met</t>
        </is>
      </c>
      <c r="AH375" s="285" t="n">
        <v>0</v>
      </c>
      <c r="AI375" s="285" t="inlineStr">
        <is>
          <t>Not Reported</t>
        </is>
      </c>
      <c r="AJ375" s="149">
        <f>4.7/5</f>
        <v/>
      </c>
      <c r="AK375" s="202" t="inlineStr">
        <is>
          <t>Met</t>
        </is>
      </c>
    </row>
    <row r="376">
      <c r="A376" s="21" t="inlineStr">
        <is>
          <t xml:space="preserve">SKF Auto </t>
        </is>
      </c>
      <c r="B376" s="5" t="inlineStr">
        <is>
          <t>North</t>
        </is>
      </c>
      <c r="C376" s="277" t="inlineStr">
        <is>
          <t>Archana Trikha</t>
        </is>
      </c>
      <c r="D376" s="26" t="inlineStr">
        <is>
          <t>Rishab</t>
        </is>
      </c>
      <c r="E376" s="26" t="inlineStr">
        <is>
          <t>Category (B)</t>
        </is>
      </c>
      <c r="F376" s="26" t="inlineStr">
        <is>
          <t>Contractual SLA</t>
        </is>
      </c>
      <c r="G376" s="21" t="inlineStr">
        <is>
          <t>Yes</t>
        </is>
      </c>
      <c r="H376" s="76" t="inlineStr">
        <is>
          <t>Diversity</t>
        </is>
      </c>
      <c r="I376" s="11" t="n">
        <v>0.35</v>
      </c>
      <c r="J376" s="29" t="inlineStr">
        <is>
          <t xml:space="preserve">NA </t>
        </is>
      </c>
      <c r="K376" s="29" t="inlineStr">
        <is>
          <t xml:space="preserve">NA </t>
        </is>
      </c>
      <c r="L376" s="29" t="inlineStr">
        <is>
          <t xml:space="preserve">NA </t>
        </is>
      </c>
      <c r="M376" s="29" t="inlineStr">
        <is>
          <t xml:space="preserve">NA </t>
        </is>
      </c>
      <c r="N376" s="29" t="inlineStr">
        <is>
          <t xml:space="preserve">NA </t>
        </is>
      </c>
      <c r="O376" s="29" t="inlineStr">
        <is>
          <t xml:space="preserve">NA </t>
        </is>
      </c>
      <c r="P376" s="29" t="inlineStr">
        <is>
          <t xml:space="preserve">NA </t>
        </is>
      </c>
      <c r="Q376" s="29" t="inlineStr">
        <is>
          <t xml:space="preserve">NA </t>
        </is>
      </c>
      <c r="R376" s="29" t="inlineStr">
        <is>
          <t xml:space="preserve">NA </t>
        </is>
      </c>
      <c r="S376" s="29" t="inlineStr">
        <is>
          <t xml:space="preserve">NA </t>
        </is>
      </c>
      <c r="T376" s="29" t="inlineStr">
        <is>
          <t xml:space="preserve">NA </t>
        </is>
      </c>
      <c r="U376" s="29" t="inlineStr">
        <is>
          <t xml:space="preserve">NA </t>
        </is>
      </c>
      <c r="V376" s="28" t="inlineStr">
        <is>
          <t xml:space="preserve">NA </t>
        </is>
      </c>
      <c r="W376" s="28" t="inlineStr">
        <is>
          <t xml:space="preserve">NA </t>
        </is>
      </c>
      <c r="X376" s="28" t="inlineStr">
        <is>
          <t xml:space="preserve">NA </t>
        </is>
      </c>
      <c r="Y376" s="28" t="inlineStr">
        <is>
          <t xml:space="preserve">NA </t>
        </is>
      </c>
      <c r="Z376" s="50" t="n">
        <v>0.5</v>
      </c>
      <c r="AA376" s="28" t="inlineStr">
        <is>
          <t>Met</t>
        </is>
      </c>
      <c r="AB376" s="82" t="n">
        <v>0.33</v>
      </c>
      <c r="AC376" s="28" t="inlineStr">
        <is>
          <t>Not Met</t>
        </is>
      </c>
      <c r="AD376" s="119">
        <f>0/4</f>
        <v/>
      </c>
      <c r="AE376" s="28" t="inlineStr">
        <is>
          <t>Not Met</t>
        </is>
      </c>
      <c r="AF376" s="119">
        <f>2/3</f>
        <v/>
      </c>
      <c r="AG376" s="202" t="inlineStr">
        <is>
          <t>Met</t>
        </is>
      </c>
      <c r="AH376" s="285" t="n">
        <v>0</v>
      </c>
      <c r="AI376" s="285" t="inlineStr">
        <is>
          <t>Not Reported</t>
        </is>
      </c>
      <c r="AJ376" s="119">
        <f>9/23</f>
        <v/>
      </c>
      <c r="AK376" s="202" t="inlineStr">
        <is>
          <t>Met</t>
        </is>
      </c>
    </row>
    <row r="377">
      <c r="A377" s="21" t="inlineStr">
        <is>
          <t xml:space="preserve">SKF Auto </t>
        </is>
      </c>
      <c r="B377" s="5" t="inlineStr">
        <is>
          <t>North</t>
        </is>
      </c>
      <c r="C377" s="277" t="inlineStr">
        <is>
          <t>Archana Trikha</t>
        </is>
      </c>
      <c r="D377" s="26" t="inlineStr">
        <is>
          <t>Rishab</t>
        </is>
      </c>
      <c r="E377" s="26" t="inlineStr">
        <is>
          <t>Category (B)</t>
        </is>
      </c>
      <c r="F377" s="26" t="inlineStr">
        <is>
          <t>Contractual SLA</t>
        </is>
      </c>
      <c r="G377" s="21" t="inlineStr">
        <is>
          <t>Yes</t>
        </is>
      </c>
      <c r="H377" s="44" t="inlineStr">
        <is>
          <t>Offer Drop</t>
        </is>
      </c>
      <c r="I377" s="11" t="n">
        <v>0.15</v>
      </c>
      <c r="J377" s="29" t="inlineStr">
        <is>
          <t xml:space="preserve">NA </t>
        </is>
      </c>
      <c r="K377" s="29" t="inlineStr">
        <is>
          <t xml:space="preserve">NA </t>
        </is>
      </c>
      <c r="L377" s="29" t="inlineStr">
        <is>
          <t xml:space="preserve">NA </t>
        </is>
      </c>
      <c r="M377" s="29" t="inlineStr">
        <is>
          <t xml:space="preserve">NA </t>
        </is>
      </c>
      <c r="N377" s="29" t="inlineStr">
        <is>
          <t xml:space="preserve">NA </t>
        </is>
      </c>
      <c r="O377" s="29" t="inlineStr">
        <is>
          <t xml:space="preserve">NA </t>
        </is>
      </c>
      <c r="P377" s="29" t="inlineStr">
        <is>
          <t xml:space="preserve">NA </t>
        </is>
      </c>
      <c r="Q377" s="29" t="inlineStr">
        <is>
          <t xml:space="preserve">NA </t>
        </is>
      </c>
      <c r="R377" s="29" t="inlineStr">
        <is>
          <t xml:space="preserve">NA </t>
        </is>
      </c>
      <c r="S377" s="29" t="inlineStr">
        <is>
          <t xml:space="preserve">NA </t>
        </is>
      </c>
      <c r="T377" s="29" t="inlineStr">
        <is>
          <t xml:space="preserve">NA </t>
        </is>
      </c>
      <c r="U377" s="29" t="inlineStr">
        <is>
          <t xml:space="preserve">NA </t>
        </is>
      </c>
      <c r="V377" s="28" t="inlineStr">
        <is>
          <t xml:space="preserve">NA </t>
        </is>
      </c>
      <c r="W377" s="28" t="inlineStr">
        <is>
          <t xml:space="preserve">NA </t>
        </is>
      </c>
      <c r="X377" s="28" t="inlineStr">
        <is>
          <t xml:space="preserve">NA </t>
        </is>
      </c>
      <c r="Y377" s="28" t="inlineStr">
        <is>
          <t xml:space="preserve">NA </t>
        </is>
      </c>
      <c r="Z377" s="50" t="n">
        <v>0</v>
      </c>
      <c r="AA377" s="28" t="inlineStr">
        <is>
          <t>Met</t>
        </is>
      </c>
      <c r="AB377" s="82" t="n">
        <v>0</v>
      </c>
      <c r="AC377" s="28" t="inlineStr">
        <is>
          <t>Met</t>
        </is>
      </c>
      <c r="AD377" s="149">
        <f>0/9</f>
        <v/>
      </c>
      <c r="AE377" s="28" t="inlineStr">
        <is>
          <t>Met</t>
        </is>
      </c>
      <c r="AF377" s="149">
        <f>1/13</f>
        <v/>
      </c>
      <c r="AG377" s="202" t="inlineStr">
        <is>
          <t>Met</t>
        </is>
      </c>
      <c r="AH377" s="285" t="n">
        <v>0</v>
      </c>
      <c r="AI377" s="285" t="inlineStr">
        <is>
          <t>Not Reported</t>
        </is>
      </c>
      <c r="AJ377" s="149">
        <f>1/33</f>
        <v/>
      </c>
      <c r="AK377" s="202" t="inlineStr">
        <is>
          <t>Met</t>
        </is>
      </c>
    </row>
    <row r="378">
      <c r="A378" s="21" t="inlineStr">
        <is>
          <t xml:space="preserve">SKF Auto </t>
        </is>
      </c>
      <c r="B378" s="5" t="inlineStr">
        <is>
          <t>North</t>
        </is>
      </c>
      <c r="C378" s="277" t="inlineStr">
        <is>
          <t>Archana Trikha</t>
        </is>
      </c>
      <c r="D378" s="26" t="inlineStr">
        <is>
          <t>Rishab</t>
        </is>
      </c>
      <c r="E378" s="26" t="inlineStr">
        <is>
          <t>Category (B)</t>
        </is>
      </c>
      <c r="F378" s="26" t="inlineStr">
        <is>
          <t>Contractual SLA</t>
        </is>
      </c>
      <c r="G378" s="21" t="inlineStr">
        <is>
          <t>Yes</t>
        </is>
      </c>
      <c r="H378" s="44" t="inlineStr">
        <is>
          <t>Ageing</t>
        </is>
      </c>
      <c r="I378" s="11" t="n">
        <v>0.2</v>
      </c>
      <c r="J378" s="29" t="inlineStr">
        <is>
          <t xml:space="preserve">NA </t>
        </is>
      </c>
      <c r="K378" s="29" t="inlineStr">
        <is>
          <t xml:space="preserve">NA </t>
        </is>
      </c>
      <c r="L378" s="29" t="inlineStr">
        <is>
          <t xml:space="preserve">NA </t>
        </is>
      </c>
      <c r="M378" s="29" t="inlineStr">
        <is>
          <t xml:space="preserve">NA </t>
        </is>
      </c>
      <c r="N378" s="29" t="inlineStr">
        <is>
          <t xml:space="preserve">NA </t>
        </is>
      </c>
      <c r="O378" s="29" t="inlineStr">
        <is>
          <t xml:space="preserve">NA </t>
        </is>
      </c>
      <c r="P378" s="29" t="inlineStr">
        <is>
          <t xml:space="preserve">NA </t>
        </is>
      </c>
      <c r="Q378" s="29" t="inlineStr">
        <is>
          <t xml:space="preserve">NA </t>
        </is>
      </c>
      <c r="R378" s="29" t="inlineStr">
        <is>
          <t xml:space="preserve">NA </t>
        </is>
      </c>
      <c r="S378" s="29" t="inlineStr">
        <is>
          <t xml:space="preserve">NA </t>
        </is>
      </c>
      <c r="T378" s="29" t="inlineStr">
        <is>
          <t xml:space="preserve">NA </t>
        </is>
      </c>
      <c r="U378" s="29" t="inlineStr">
        <is>
          <t xml:space="preserve">NA </t>
        </is>
      </c>
      <c r="V378" s="28" t="inlineStr">
        <is>
          <t xml:space="preserve">NA </t>
        </is>
      </c>
      <c r="W378" s="28" t="inlineStr">
        <is>
          <t xml:space="preserve">NA </t>
        </is>
      </c>
      <c r="X378" s="28" t="inlineStr">
        <is>
          <t xml:space="preserve">NA </t>
        </is>
      </c>
      <c r="Y378" s="28" t="inlineStr">
        <is>
          <t xml:space="preserve">NA </t>
        </is>
      </c>
      <c r="Z378" s="20" t="n">
        <v>0.2</v>
      </c>
      <c r="AA378" s="28" t="inlineStr">
        <is>
          <t>Met</t>
        </is>
      </c>
      <c r="AB378" s="82" t="n">
        <v>0</v>
      </c>
      <c r="AC378" s="28" t="inlineStr">
        <is>
          <t>Met</t>
        </is>
      </c>
      <c r="AD378" s="149">
        <f>1/4</f>
        <v/>
      </c>
      <c r="AE378" s="28" t="inlineStr">
        <is>
          <t>Not Met</t>
        </is>
      </c>
      <c r="AF378" s="149">
        <f>0/3</f>
        <v/>
      </c>
      <c r="AG378" s="202" t="inlineStr">
        <is>
          <t>Met</t>
        </is>
      </c>
      <c r="AH378" s="285" t="n">
        <v>0</v>
      </c>
      <c r="AI378" s="285" t="inlineStr">
        <is>
          <t>Not Reported</t>
        </is>
      </c>
      <c r="AJ378" s="149">
        <f>3/23</f>
        <v/>
      </c>
      <c r="AK378" s="202" t="inlineStr">
        <is>
          <t>Met</t>
        </is>
      </c>
    </row>
    <row r="379">
      <c r="A379" s="21" t="inlineStr">
        <is>
          <t xml:space="preserve">SKF Auto </t>
        </is>
      </c>
      <c r="B379" s="5" t="inlineStr">
        <is>
          <t>North</t>
        </is>
      </c>
      <c r="C379" s="277" t="inlineStr">
        <is>
          <t>Archana Trikha</t>
        </is>
      </c>
      <c r="D379" s="26" t="inlineStr">
        <is>
          <t>Rishab</t>
        </is>
      </c>
      <c r="E379" s="26" t="inlineStr">
        <is>
          <t>Category (B)</t>
        </is>
      </c>
      <c r="F379" s="21" t="inlineStr">
        <is>
          <t>Internal KPI</t>
        </is>
      </c>
      <c r="G379" s="21" t="inlineStr">
        <is>
          <t>No</t>
        </is>
      </c>
      <c r="H379" s="77" t="inlineStr">
        <is>
          <t>Time to Hire</t>
        </is>
      </c>
      <c r="I379" s="14" t="inlineStr">
        <is>
          <t>135 Days</t>
        </is>
      </c>
      <c r="J379" s="29" t="inlineStr">
        <is>
          <t xml:space="preserve">NA </t>
        </is>
      </c>
      <c r="K379" s="29" t="inlineStr">
        <is>
          <t xml:space="preserve">NA </t>
        </is>
      </c>
      <c r="L379" s="29" t="inlineStr">
        <is>
          <t xml:space="preserve">NA </t>
        </is>
      </c>
      <c r="M379" s="29" t="inlineStr">
        <is>
          <t xml:space="preserve">NA </t>
        </is>
      </c>
      <c r="N379" s="29" t="inlineStr">
        <is>
          <t xml:space="preserve">NA </t>
        </is>
      </c>
      <c r="O379" s="29" t="inlineStr">
        <is>
          <t xml:space="preserve">NA </t>
        </is>
      </c>
      <c r="P379" s="29" t="inlineStr">
        <is>
          <t xml:space="preserve">NA </t>
        </is>
      </c>
      <c r="Q379" s="29" t="inlineStr">
        <is>
          <t xml:space="preserve">NA </t>
        </is>
      </c>
      <c r="R379" s="29" t="inlineStr">
        <is>
          <t xml:space="preserve">NA </t>
        </is>
      </c>
      <c r="S379" s="29" t="inlineStr">
        <is>
          <t xml:space="preserve">NA </t>
        </is>
      </c>
      <c r="T379" s="29" t="inlineStr">
        <is>
          <t xml:space="preserve">NA </t>
        </is>
      </c>
      <c r="U379" s="29" t="inlineStr">
        <is>
          <t xml:space="preserve">NA </t>
        </is>
      </c>
      <c r="V379" s="28" t="inlineStr">
        <is>
          <t xml:space="preserve">NA </t>
        </is>
      </c>
      <c r="W379" s="28" t="inlineStr">
        <is>
          <t xml:space="preserve">NA </t>
        </is>
      </c>
      <c r="X379" s="28" t="inlineStr">
        <is>
          <t xml:space="preserve">NA </t>
        </is>
      </c>
      <c r="Y379" s="28" t="inlineStr">
        <is>
          <t xml:space="preserve">NA </t>
        </is>
      </c>
      <c r="Z379" s="14" t="inlineStr">
        <is>
          <t>112 Days</t>
        </is>
      </c>
      <c r="AA379" s="28" t="inlineStr">
        <is>
          <t>Met</t>
        </is>
      </c>
      <c r="AB379" s="78" t="n">
        <v>74</v>
      </c>
      <c r="AC379" s="28" t="inlineStr">
        <is>
          <t>Met</t>
        </is>
      </c>
      <c r="AD379" s="147" t="n">
        <v>87</v>
      </c>
      <c r="AE379" s="28" t="inlineStr">
        <is>
          <t>Met</t>
        </is>
      </c>
      <c r="AF379" s="147" t="n">
        <v>113</v>
      </c>
      <c r="AG379" s="202" t="inlineStr">
        <is>
          <t>Met</t>
        </is>
      </c>
      <c r="AH379" s="285" t="n">
        <v>0</v>
      </c>
      <c r="AI379" s="285" t="inlineStr">
        <is>
          <t>Not Reported</t>
        </is>
      </c>
      <c r="AJ379" s="147" t="n">
        <v>99</v>
      </c>
      <c r="AK379" s="202" t="inlineStr">
        <is>
          <t>Met</t>
        </is>
      </c>
    </row>
    <row r="380">
      <c r="A380" s="21" t="inlineStr">
        <is>
          <t xml:space="preserve">SKF Auto </t>
        </is>
      </c>
      <c r="B380" s="5" t="inlineStr">
        <is>
          <t>North</t>
        </is>
      </c>
      <c r="C380" s="277" t="inlineStr">
        <is>
          <t>Archana Trikha</t>
        </is>
      </c>
      <c r="D380" s="26" t="inlineStr">
        <is>
          <t>Rishab</t>
        </is>
      </c>
      <c r="E380" s="26" t="inlineStr">
        <is>
          <t>Category (B)</t>
        </is>
      </c>
      <c r="F380" s="21" t="inlineStr">
        <is>
          <t>Internal KPI</t>
        </is>
      </c>
      <c r="G380" s="21" t="inlineStr">
        <is>
          <t>No</t>
        </is>
      </c>
      <c r="H380" s="77" t="inlineStr">
        <is>
          <t>Hit Ratio</t>
        </is>
      </c>
      <c r="I380" s="16" t="n">
        <v>0.04722222222222222</v>
      </c>
      <c r="J380" s="29" t="inlineStr">
        <is>
          <t xml:space="preserve">NA </t>
        </is>
      </c>
      <c r="K380" s="29" t="inlineStr">
        <is>
          <t xml:space="preserve">NA </t>
        </is>
      </c>
      <c r="L380" s="29" t="inlineStr">
        <is>
          <t xml:space="preserve">NA </t>
        </is>
      </c>
      <c r="M380" s="29" t="inlineStr">
        <is>
          <t xml:space="preserve">NA </t>
        </is>
      </c>
      <c r="N380" s="29" t="inlineStr">
        <is>
          <t xml:space="preserve">NA </t>
        </is>
      </c>
      <c r="O380" s="29" t="inlineStr">
        <is>
          <t xml:space="preserve">NA </t>
        </is>
      </c>
      <c r="P380" s="29" t="inlineStr">
        <is>
          <t xml:space="preserve">NA </t>
        </is>
      </c>
      <c r="Q380" s="29" t="inlineStr">
        <is>
          <t xml:space="preserve">NA </t>
        </is>
      </c>
      <c r="R380" s="29" t="inlineStr">
        <is>
          <t xml:space="preserve">NA </t>
        </is>
      </c>
      <c r="S380" s="29" t="inlineStr">
        <is>
          <t xml:space="preserve">NA </t>
        </is>
      </c>
      <c r="T380" s="29" t="inlineStr">
        <is>
          <t xml:space="preserve">NA </t>
        </is>
      </c>
      <c r="U380" s="29" t="inlineStr">
        <is>
          <t xml:space="preserve">NA </t>
        </is>
      </c>
      <c r="V380" s="28" t="inlineStr">
        <is>
          <t xml:space="preserve">NA </t>
        </is>
      </c>
      <c r="W380" s="28" t="inlineStr">
        <is>
          <t xml:space="preserve">NA </t>
        </is>
      </c>
      <c r="X380" s="28" t="inlineStr">
        <is>
          <t xml:space="preserve">NA </t>
        </is>
      </c>
      <c r="Y380" s="28" t="inlineStr">
        <is>
          <t xml:space="preserve">NA </t>
        </is>
      </c>
      <c r="Z380" s="51" t="n">
        <v>0.04513888888888889</v>
      </c>
      <c r="AA380" s="28" t="inlineStr">
        <is>
          <t>Met</t>
        </is>
      </c>
      <c r="AB380" s="121" t="n">
        <v>0.04375</v>
      </c>
      <c r="AC380" s="28" t="inlineStr">
        <is>
          <t>Met</t>
        </is>
      </c>
      <c r="AD380" s="141" t="n">
        <v>0.04375</v>
      </c>
      <c r="AE380" s="28" t="inlineStr">
        <is>
          <t>Met</t>
        </is>
      </c>
      <c r="AF380" s="141" t="n">
        <v>0.04236111111111111</v>
      </c>
      <c r="AG380" s="202" t="inlineStr">
        <is>
          <t>Met</t>
        </is>
      </c>
      <c r="AH380" s="285" t="n">
        <v>0</v>
      </c>
      <c r="AI380" s="285" t="inlineStr">
        <is>
          <t>Not Reported</t>
        </is>
      </c>
      <c r="AJ380" s="141" t="n">
        <v>0.04305555555555556</v>
      </c>
      <c r="AK380" s="202" t="inlineStr">
        <is>
          <t>Met</t>
        </is>
      </c>
    </row>
    <row r="381">
      <c r="A381" s="21" t="inlineStr">
        <is>
          <t xml:space="preserve">SKF Auto </t>
        </is>
      </c>
      <c r="B381" s="5" t="inlineStr">
        <is>
          <t>North</t>
        </is>
      </c>
      <c r="C381" s="277" t="inlineStr">
        <is>
          <t>Archana Trikha</t>
        </is>
      </c>
      <c r="D381" s="26" t="inlineStr">
        <is>
          <t>Rishab</t>
        </is>
      </c>
      <c r="E381" s="26" t="inlineStr">
        <is>
          <t>Category (B)</t>
        </is>
      </c>
      <c r="F381" s="21" t="inlineStr">
        <is>
          <t>Internal KPI</t>
        </is>
      </c>
      <c r="G381" s="21" t="inlineStr">
        <is>
          <t>No</t>
        </is>
      </c>
      <c r="H381" s="77" t="inlineStr">
        <is>
          <t xml:space="preserve">Fulfilment </t>
        </is>
      </c>
      <c r="I381" s="20" t="n">
        <v>0.85</v>
      </c>
      <c r="J381" s="29" t="inlineStr">
        <is>
          <t xml:space="preserve">NA </t>
        </is>
      </c>
      <c r="K381" s="29" t="inlineStr">
        <is>
          <t xml:space="preserve">NA </t>
        </is>
      </c>
      <c r="L381" s="29" t="inlineStr">
        <is>
          <t xml:space="preserve">NA </t>
        </is>
      </c>
      <c r="M381" s="29" t="inlineStr">
        <is>
          <t xml:space="preserve">NA </t>
        </is>
      </c>
      <c r="N381" s="29" t="inlineStr">
        <is>
          <t xml:space="preserve">NA </t>
        </is>
      </c>
      <c r="O381" s="29" t="inlineStr">
        <is>
          <t xml:space="preserve">NA </t>
        </is>
      </c>
      <c r="P381" s="29" t="inlineStr">
        <is>
          <t xml:space="preserve">NA </t>
        </is>
      </c>
      <c r="Q381" s="29" t="inlineStr">
        <is>
          <t xml:space="preserve">NA </t>
        </is>
      </c>
      <c r="R381" s="29" t="inlineStr">
        <is>
          <t xml:space="preserve">NA </t>
        </is>
      </c>
      <c r="S381" s="29" t="inlineStr">
        <is>
          <t xml:space="preserve">NA </t>
        </is>
      </c>
      <c r="T381" s="29" t="inlineStr">
        <is>
          <t xml:space="preserve">NA </t>
        </is>
      </c>
      <c r="U381" s="29" t="inlineStr">
        <is>
          <t xml:space="preserve">NA </t>
        </is>
      </c>
      <c r="V381" s="28" t="inlineStr">
        <is>
          <t xml:space="preserve">NA </t>
        </is>
      </c>
      <c r="W381" s="28" t="inlineStr">
        <is>
          <t xml:space="preserve">NA </t>
        </is>
      </c>
      <c r="X381" s="28" t="inlineStr">
        <is>
          <t xml:space="preserve">NA </t>
        </is>
      </c>
      <c r="Y381" s="28" t="inlineStr">
        <is>
          <t xml:space="preserve">NA </t>
        </is>
      </c>
      <c r="Z381" s="11" t="n">
        <v>0.48</v>
      </c>
      <c r="AA381" s="28" t="inlineStr">
        <is>
          <t>Not Met</t>
        </is>
      </c>
      <c r="AB381" s="102" t="n">
        <v>0.21</v>
      </c>
      <c r="AC381" s="28" t="inlineStr">
        <is>
          <t>Not Met</t>
        </is>
      </c>
      <c r="AD381" s="102" t="n">
        <v>0.44</v>
      </c>
      <c r="AE381" s="28" t="inlineStr">
        <is>
          <t>Not Met</t>
        </is>
      </c>
      <c r="AF381" s="102" t="n">
        <v>0.07000000000000001</v>
      </c>
      <c r="AG381" s="28" t="inlineStr">
        <is>
          <t>Not Met</t>
        </is>
      </c>
      <c r="AH381" s="285" t="n">
        <v>0</v>
      </c>
      <c r="AI381" s="285" t="inlineStr">
        <is>
          <t>Not Reported</t>
        </is>
      </c>
      <c r="AJ381" s="135" t="n">
        <v>0.3</v>
      </c>
      <c r="AK381" s="28" t="inlineStr">
        <is>
          <t>Not Met</t>
        </is>
      </c>
    </row>
    <row r="382">
      <c r="A382" s="21" t="inlineStr">
        <is>
          <t xml:space="preserve">SKF Auto </t>
        </is>
      </c>
      <c r="B382" s="5" t="inlineStr">
        <is>
          <t>North</t>
        </is>
      </c>
      <c r="C382" s="277" t="inlineStr">
        <is>
          <t>Archana Trikha</t>
        </is>
      </c>
      <c r="D382" s="26" t="inlineStr">
        <is>
          <t>Rishab</t>
        </is>
      </c>
      <c r="E382" s="26" t="inlineStr">
        <is>
          <t>Category (B)</t>
        </is>
      </c>
      <c r="F382" s="21" t="inlineStr">
        <is>
          <t>Internal KPI</t>
        </is>
      </c>
      <c r="G382" s="21" t="inlineStr">
        <is>
          <t>No</t>
        </is>
      </c>
      <c r="H382" s="77" t="inlineStr">
        <is>
          <t>First Time Right Ratio</t>
        </is>
      </c>
      <c r="I382" s="20" t="n">
        <v>0.75</v>
      </c>
      <c r="J382" s="29" t="inlineStr">
        <is>
          <t xml:space="preserve">NA </t>
        </is>
      </c>
      <c r="K382" s="29" t="inlineStr">
        <is>
          <t xml:space="preserve">NA </t>
        </is>
      </c>
      <c r="L382" s="29" t="inlineStr">
        <is>
          <t xml:space="preserve">NA </t>
        </is>
      </c>
      <c r="M382" s="29" t="inlineStr">
        <is>
          <t xml:space="preserve">NA </t>
        </is>
      </c>
      <c r="N382" s="29" t="inlineStr">
        <is>
          <t xml:space="preserve">NA </t>
        </is>
      </c>
      <c r="O382" s="29" t="inlineStr">
        <is>
          <t xml:space="preserve">NA </t>
        </is>
      </c>
      <c r="P382" s="29" t="inlineStr">
        <is>
          <t xml:space="preserve">NA </t>
        </is>
      </c>
      <c r="Q382" s="29" t="inlineStr">
        <is>
          <t xml:space="preserve">NA </t>
        </is>
      </c>
      <c r="R382" s="29" t="inlineStr">
        <is>
          <t xml:space="preserve">NA </t>
        </is>
      </c>
      <c r="S382" s="29" t="inlineStr">
        <is>
          <t xml:space="preserve">NA </t>
        </is>
      </c>
      <c r="T382" s="29" t="inlineStr">
        <is>
          <t xml:space="preserve">NA </t>
        </is>
      </c>
      <c r="U382" s="29" t="inlineStr">
        <is>
          <t xml:space="preserve">NA </t>
        </is>
      </c>
      <c r="V382" s="28" t="inlineStr">
        <is>
          <t xml:space="preserve">NA </t>
        </is>
      </c>
      <c r="W382" s="28" t="inlineStr">
        <is>
          <t xml:space="preserve">NA </t>
        </is>
      </c>
      <c r="X382" s="28" t="inlineStr">
        <is>
          <t xml:space="preserve">NA </t>
        </is>
      </c>
      <c r="Y382" s="28" t="inlineStr">
        <is>
          <t xml:space="preserve">NA </t>
        </is>
      </c>
      <c r="Z382" s="11" t="n">
        <v>0.82</v>
      </c>
      <c r="AA382" s="28" t="inlineStr">
        <is>
          <t>Met</t>
        </is>
      </c>
      <c r="AB382" s="102" t="n">
        <v>0.76</v>
      </c>
      <c r="AC382" s="28" t="inlineStr">
        <is>
          <t>Met</t>
        </is>
      </c>
      <c r="AD382" s="102" t="n">
        <v>0.75</v>
      </c>
      <c r="AE382" s="28" t="inlineStr">
        <is>
          <t>Met</t>
        </is>
      </c>
      <c r="AF382" s="102" t="n">
        <v>0.76</v>
      </c>
      <c r="AG382" s="202" t="inlineStr">
        <is>
          <t>Met</t>
        </is>
      </c>
      <c r="AH382" s="285" t="n">
        <v>0</v>
      </c>
      <c r="AI382" s="285" t="inlineStr">
        <is>
          <t>Not Reported</t>
        </is>
      </c>
      <c r="AJ382" s="135" t="n">
        <v>0.76</v>
      </c>
      <c r="AK382" s="202" t="inlineStr">
        <is>
          <t>Met</t>
        </is>
      </c>
    </row>
    <row r="383">
      <c r="A383" s="21" t="inlineStr">
        <is>
          <t xml:space="preserve">SKF Auto </t>
        </is>
      </c>
      <c r="B383" s="5" t="inlineStr">
        <is>
          <t>North</t>
        </is>
      </c>
      <c r="C383" s="277" t="inlineStr">
        <is>
          <t>Archana Trikha</t>
        </is>
      </c>
      <c r="D383" s="26" t="inlineStr">
        <is>
          <t>Rishab</t>
        </is>
      </c>
      <c r="E383" s="26" t="inlineStr">
        <is>
          <t>Category (B)</t>
        </is>
      </c>
      <c r="F383" s="26" t="inlineStr">
        <is>
          <t>Contractual SLA</t>
        </is>
      </c>
      <c r="G383" s="21" t="inlineStr">
        <is>
          <t>Yes</t>
        </is>
      </c>
      <c r="H383" s="44" t="inlineStr">
        <is>
          <t>Supply of CVs</t>
        </is>
      </c>
      <c r="I383" s="11" t="n">
        <v>0.8</v>
      </c>
      <c r="J383" s="29" t="inlineStr">
        <is>
          <t xml:space="preserve">NA </t>
        </is>
      </c>
      <c r="K383" s="29" t="inlineStr">
        <is>
          <t xml:space="preserve">NA </t>
        </is>
      </c>
      <c r="L383" s="29" t="inlineStr">
        <is>
          <t xml:space="preserve">NA </t>
        </is>
      </c>
      <c r="M383" s="29" t="inlineStr">
        <is>
          <t xml:space="preserve">NA </t>
        </is>
      </c>
      <c r="N383" s="29" t="inlineStr">
        <is>
          <t xml:space="preserve">NA </t>
        </is>
      </c>
      <c r="O383" s="29" t="inlineStr">
        <is>
          <t xml:space="preserve">NA </t>
        </is>
      </c>
      <c r="P383" s="29" t="inlineStr">
        <is>
          <t xml:space="preserve">NA </t>
        </is>
      </c>
      <c r="Q383" s="29" t="inlineStr">
        <is>
          <t xml:space="preserve">NA </t>
        </is>
      </c>
      <c r="R383" s="29" t="inlineStr">
        <is>
          <t xml:space="preserve">NA </t>
        </is>
      </c>
      <c r="S383" s="29" t="inlineStr">
        <is>
          <t xml:space="preserve">NA </t>
        </is>
      </c>
      <c r="T383" s="29" t="inlineStr">
        <is>
          <t xml:space="preserve">NA </t>
        </is>
      </c>
      <c r="U383" s="29" t="inlineStr">
        <is>
          <t xml:space="preserve">NA </t>
        </is>
      </c>
      <c r="V383" s="28" t="inlineStr">
        <is>
          <t xml:space="preserve">NA </t>
        </is>
      </c>
      <c r="W383" s="28" t="inlineStr">
        <is>
          <t xml:space="preserve">NA </t>
        </is>
      </c>
      <c r="X383" s="28" t="inlineStr">
        <is>
          <t xml:space="preserve">NA </t>
        </is>
      </c>
      <c r="Y383" s="28" t="inlineStr">
        <is>
          <t xml:space="preserve">NA </t>
        </is>
      </c>
      <c r="Z383" s="20" t="n">
        <v>0.9</v>
      </c>
      <c r="AA383" s="28" t="inlineStr">
        <is>
          <t>Met</t>
        </is>
      </c>
      <c r="AB383" s="102" t="n">
        <v>0.83</v>
      </c>
      <c r="AC383" s="28" t="inlineStr">
        <is>
          <t>Met</t>
        </is>
      </c>
      <c r="AD383" s="102" t="n">
        <v>1</v>
      </c>
      <c r="AE383" s="28" t="inlineStr">
        <is>
          <t>Met</t>
        </is>
      </c>
      <c r="AF383" s="102" t="n">
        <v>1</v>
      </c>
      <c r="AG383" s="202" t="inlineStr">
        <is>
          <t>Met</t>
        </is>
      </c>
      <c r="AH383" s="285" t="n">
        <v>0</v>
      </c>
      <c r="AI383" s="285" t="inlineStr">
        <is>
          <t>Not Reported</t>
        </is>
      </c>
      <c r="AJ383" s="135" t="n">
        <v>0.91</v>
      </c>
      <c r="AK383" s="202" t="inlineStr">
        <is>
          <t>Met</t>
        </is>
      </c>
    </row>
    <row r="384">
      <c r="A384" s="21" t="inlineStr">
        <is>
          <t xml:space="preserve">SKF Auto </t>
        </is>
      </c>
      <c r="B384" s="5" t="inlineStr">
        <is>
          <t>North</t>
        </is>
      </c>
      <c r="C384" s="277" t="inlineStr">
        <is>
          <t>Archana Trikha</t>
        </is>
      </c>
      <c r="D384" s="26" t="inlineStr">
        <is>
          <t>Rishab</t>
        </is>
      </c>
      <c r="E384" s="26" t="inlineStr">
        <is>
          <t>Category (B)</t>
        </is>
      </c>
      <c r="F384" s="26" t="inlineStr">
        <is>
          <t>Contractual SLA</t>
        </is>
      </c>
      <c r="G384" s="21" t="inlineStr">
        <is>
          <t>Yes</t>
        </is>
      </c>
      <c r="H384" s="44" t="inlineStr">
        <is>
          <t>Early Attrition</t>
        </is>
      </c>
      <c r="I384" s="11" t="n">
        <v>0.05</v>
      </c>
      <c r="J384" s="29" t="inlineStr">
        <is>
          <t xml:space="preserve">NA </t>
        </is>
      </c>
      <c r="K384" s="29" t="inlineStr">
        <is>
          <t xml:space="preserve">NA </t>
        </is>
      </c>
      <c r="L384" s="29" t="inlineStr">
        <is>
          <t xml:space="preserve">NA </t>
        </is>
      </c>
      <c r="M384" s="29" t="inlineStr">
        <is>
          <t xml:space="preserve">NA </t>
        </is>
      </c>
      <c r="N384" s="29" t="inlineStr">
        <is>
          <t xml:space="preserve">NA </t>
        </is>
      </c>
      <c r="O384" s="29" t="inlineStr">
        <is>
          <t xml:space="preserve">NA </t>
        </is>
      </c>
      <c r="P384" s="29" t="inlineStr">
        <is>
          <t xml:space="preserve">NA </t>
        </is>
      </c>
      <c r="Q384" s="29" t="inlineStr">
        <is>
          <t xml:space="preserve">NA </t>
        </is>
      </c>
      <c r="R384" s="29" t="inlineStr">
        <is>
          <t xml:space="preserve">NA </t>
        </is>
      </c>
      <c r="S384" s="29" t="inlineStr">
        <is>
          <t xml:space="preserve">NA </t>
        </is>
      </c>
      <c r="T384" s="29" t="inlineStr">
        <is>
          <t xml:space="preserve">NA </t>
        </is>
      </c>
      <c r="U384" s="29" t="inlineStr">
        <is>
          <t xml:space="preserve">NA </t>
        </is>
      </c>
      <c r="V384" s="28" t="inlineStr">
        <is>
          <t xml:space="preserve">NA </t>
        </is>
      </c>
      <c r="W384" s="28" t="inlineStr">
        <is>
          <t xml:space="preserve">NA </t>
        </is>
      </c>
      <c r="X384" s="28" t="inlineStr">
        <is>
          <t xml:space="preserve">NA </t>
        </is>
      </c>
      <c r="Y384" s="28" t="inlineStr">
        <is>
          <t xml:space="preserve">NA </t>
        </is>
      </c>
      <c r="Z384" s="20" t="n">
        <v>0</v>
      </c>
      <c r="AA384" s="28" t="inlineStr">
        <is>
          <t>Met</t>
        </is>
      </c>
      <c r="AB384" s="102" t="n">
        <v>0</v>
      </c>
      <c r="AC384" s="28" t="inlineStr">
        <is>
          <t>Met</t>
        </is>
      </c>
      <c r="AD384" s="102" t="n">
        <v>0</v>
      </c>
      <c r="AE384" s="28" t="inlineStr">
        <is>
          <t>Met</t>
        </is>
      </c>
      <c r="AF384" s="102" t="n">
        <v>0</v>
      </c>
      <c r="AG384" s="202" t="inlineStr">
        <is>
          <t>Met</t>
        </is>
      </c>
      <c r="AH384" s="285" t="n">
        <v>0</v>
      </c>
      <c r="AI384" s="285" t="inlineStr">
        <is>
          <t>Not Reported</t>
        </is>
      </c>
      <c r="AJ384" s="135" t="n">
        <v>0</v>
      </c>
      <c r="AK384" s="202" t="inlineStr">
        <is>
          <t>Met</t>
        </is>
      </c>
    </row>
    <row r="385">
      <c r="A385" s="21" t="inlineStr">
        <is>
          <t>SKF Industrial</t>
        </is>
      </c>
      <c r="B385" s="5" t="inlineStr">
        <is>
          <t>North</t>
        </is>
      </c>
      <c r="C385" s="277" t="inlineStr">
        <is>
          <t>Archana Trikha</t>
        </is>
      </c>
      <c r="D385" s="26" t="inlineStr">
        <is>
          <t>Rishab</t>
        </is>
      </c>
      <c r="E385" s="26" t="inlineStr">
        <is>
          <t>Category (B)</t>
        </is>
      </c>
      <c r="F385" s="26" t="inlineStr">
        <is>
          <t>Contractual SLA</t>
        </is>
      </c>
      <c r="G385" s="21" t="inlineStr">
        <is>
          <t>Yes</t>
        </is>
      </c>
      <c r="H385" s="77" t="inlineStr">
        <is>
          <t>Time to Fill</t>
        </is>
      </c>
      <c r="I385" s="14" t="inlineStr">
        <is>
          <t>45 Days</t>
        </is>
      </c>
      <c r="J385" s="29" t="inlineStr">
        <is>
          <t xml:space="preserve">NA </t>
        </is>
      </c>
      <c r="K385" s="29" t="inlineStr">
        <is>
          <t xml:space="preserve">NA </t>
        </is>
      </c>
      <c r="L385" s="29" t="inlineStr">
        <is>
          <t xml:space="preserve">NA </t>
        </is>
      </c>
      <c r="M385" s="29" t="inlineStr">
        <is>
          <t xml:space="preserve">NA </t>
        </is>
      </c>
      <c r="N385" s="29" t="inlineStr">
        <is>
          <t xml:space="preserve">NA </t>
        </is>
      </c>
      <c r="O385" s="29" t="inlineStr">
        <is>
          <t xml:space="preserve">NA </t>
        </is>
      </c>
      <c r="P385" s="29" t="inlineStr">
        <is>
          <t xml:space="preserve">NA </t>
        </is>
      </c>
      <c r="Q385" s="29" t="inlineStr">
        <is>
          <t xml:space="preserve">NA </t>
        </is>
      </c>
      <c r="R385" s="29" t="inlineStr">
        <is>
          <t xml:space="preserve">NA </t>
        </is>
      </c>
      <c r="S385" s="29" t="inlineStr">
        <is>
          <t xml:space="preserve">NA </t>
        </is>
      </c>
      <c r="T385" s="29" t="inlineStr">
        <is>
          <t xml:space="preserve">NA </t>
        </is>
      </c>
      <c r="U385" s="29" t="inlineStr">
        <is>
          <t xml:space="preserve">NA </t>
        </is>
      </c>
      <c r="V385" s="28" t="inlineStr">
        <is>
          <t xml:space="preserve">NA </t>
        </is>
      </c>
      <c r="W385" s="28" t="inlineStr">
        <is>
          <t xml:space="preserve">NA </t>
        </is>
      </c>
      <c r="X385" s="28" t="inlineStr">
        <is>
          <t xml:space="preserve">NA </t>
        </is>
      </c>
      <c r="Y385" s="28" t="inlineStr">
        <is>
          <t xml:space="preserve">NA </t>
        </is>
      </c>
      <c r="Z385" s="13" t="inlineStr">
        <is>
          <t xml:space="preserve">52 Days </t>
        </is>
      </c>
      <c r="AA385" s="28" t="inlineStr">
        <is>
          <t>Not Met</t>
        </is>
      </c>
      <c r="AB385" s="78" t="n">
        <v>45</v>
      </c>
      <c r="AC385" s="28" t="inlineStr">
        <is>
          <t>Met</t>
        </is>
      </c>
      <c r="AD385" s="78" t="n">
        <v>34</v>
      </c>
      <c r="AE385" s="28" t="inlineStr">
        <is>
          <t>Met</t>
        </is>
      </c>
      <c r="AF385" s="78" t="n">
        <v>37</v>
      </c>
      <c r="AG385" s="202" t="inlineStr">
        <is>
          <t>Met</t>
        </is>
      </c>
      <c r="AH385" s="285" t="n">
        <v>85</v>
      </c>
      <c r="AI385" s="285" t="inlineStr">
        <is>
          <t>Met</t>
        </is>
      </c>
      <c r="AJ385" s="161" t="n">
        <v>44</v>
      </c>
      <c r="AK385" s="202" t="inlineStr">
        <is>
          <t>Met</t>
        </is>
      </c>
    </row>
    <row r="386">
      <c r="A386" s="21" t="inlineStr">
        <is>
          <t>SKF Industrial</t>
        </is>
      </c>
      <c r="B386" s="5" t="inlineStr">
        <is>
          <t>North</t>
        </is>
      </c>
      <c r="C386" s="277" t="inlineStr">
        <is>
          <t>Archana Trikha</t>
        </is>
      </c>
      <c r="D386" s="26" t="inlineStr">
        <is>
          <t>Rishab</t>
        </is>
      </c>
      <c r="E386" s="26" t="inlineStr">
        <is>
          <t>Category (B)</t>
        </is>
      </c>
      <c r="F386" s="26" t="inlineStr">
        <is>
          <t>Contractual SLA</t>
        </is>
      </c>
      <c r="G386" s="21" t="inlineStr">
        <is>
          <t>Yes</t>
        </is>
      </c>
      <c r="H386" s="44" t="inlineStr">
        <is>
          <t>Source Mix (PS)</t>
        </is>
      </c>
      <c r="I386" s="11" t="n">
        <v>0.6</v>
      </c>
      <c r="J386" s="29" t="inlineStr">
        <is>
          <t xml:space="preserve">NA </t>
        </is>
      </c>
      <c r="K386" s="29" t="inlineStr">
        <is>
          <t xml:space="preserve">NA </t>
        </is>
      </c>
      <c r="L386" s="29" t="inlineStr">
        <is>
          <t xml:space="preserve">NA </t>
        </is>
      </c>
      <c r="M386" s="29" t="inlineStr">
        <is>
          <t xml:space="preserve">NA </t>
        </is>
      </c>
      <c r="N386" s="29" t="inlineStr">
        <is>
          <t xml:space="preserve">NA </t>
        </is>
      </c>
      <c r="O386" s="29" t="inlineStr">
        <is>
          <t xml:space="preserve">NA </t>
        </is>
      </c>
      <c r="P386" s="29" t="inlineStr">
        <is>
          <t xml:space="preserve">NA </t>
        </is>
      </c>
      <c r="Q386" s="29" t="inlineStr">
        <is>
          <t xml:space="preserve">NA </t>
        </is>
      </c>
      <c r="R386" s="29" t="inlineStr">
        <is>
          <t xml:space="preserve">NA </t>
        </is>
      </c>
      <c r="S386" s="29" t="inlineStr">
        <is>
          <t xml:space="preserve">NA </t>
        </is>
      </c>
      <c r="T386" s="29" t="inlineStr">
        <is>
          <t xml:space="preserve">NA </t>
        </is>
      </c>
      <c r="U386" s="29" t="inlineStr">
        <is>
          <t xml:space="preserve">NA </t>
        </is>
      </c>
      <c r="V386" s="28" t="inlineStr">
        <is>
          <t xml:space="preserve">NA </t>
        </is>
      </c>
      <c r="W386" s="28" t="inlineStr">
        <is>
          <t xml:space="preserve">NA </t>
        </is>
      </c>
      <c r="X386" s="28" t="inlineStr">
        <is>
          <t xml:space="preserve">NA </t>
        </is>
      </c>
      <c r="Y386" s="28" t="inlineStr">
        <is>
          <t xml:space="preserve">NA </t>
        </is>
      </c>
      <c r="Z386" s="50" t="n">
        <v>0.5652173913043478</v>
      </c>
      <c r="AA386" s="28" t="inlineStr">
        <is>
          <t>Not Met</t>
        </is>
      </c>
      <c r="AB386" s="119" t="n">
        <v>0.5833333333333334</v>
      </c>
      <c r="AC386" s="28" t="inlineStr">
        <is>
          <t>Not Met</t>
        </is>
      </c>
      <c r="AD386" s="119">
        <f>8/15</f>
        <v/>
      </c>
      <c r="AE386" s="28" t="inlineStr">
        <is>
          <t>Not Met</t>
        </is>
      </c>
      <c r="AF386" s="149" t="n">
        <v>0.5714285714285714</v>
      </c>
      <c r="AG386" s="28" t="inlineStr">
        <is>
          <t>Not Met</t>
        </is>
      </c>
      <c r="AH386" s="285" t="n">
        <v>85</v>
      </c>
      <c r="AI386" s="285" t="inlineStr">
        <is>
          <t>Met</t>
        </is>
      </c>
      <c r="AJ386" s="149" t="n">
        <v>0.5101010101010101</v>
      </c>
      <c r="AK386" s="28" t="inlineStr">
        <is>
          <t>Not Met</t>
        </is>
      </c>
    </row>
    <row r="387">
      <c r="A387" s="21" t="inlineStr">
        <is>
          <t>SKF Industrial</t>
        </is>
      </c>
      <c r="B387" s="5" t="inlineStr">
        <is>
          <t>North</t>
        </is>
      </c>
      <c r="C387" s="277" t="inlineStr">
        <is>
          <t>Archana Trikha</t>
        </is>
      </c>
      <c r="D387" s="26" t="inlineStr">
        <is>
          <t>Rishab</t>
        </is>
      </c>
      <c r="E387" s="26" t="inlineStr">
        <is>
          <t>Category (B)</t>
        </is>
      </c>
      <c r="F387" s="26" t="inlineStr">
        <is>
          <t>Contractual SLA</t>
        </is>
      </c>
      <c r="G387" s="21" t="inlineStr">
        <is>
          <t>Yes</t>
        </is>
      </c>
      <c r="H387" s="44" t="inlineStr">
        <is>
          <t>Source Mix (ER &amp; IJP)</t>
        </is>
      </c>
      <c r="I387" s="11" t="n">
        <v>0.4</v>
      </c>
      <c r="J387" s="29" t="inlineStr">
        <is>
          <t xml:space="preserve">NA </t>
        </is>
      </c>
      <c r="K387" s="29" t="inlineStr">
        <is>
          <t xml:space="preserve">NA </t>
        </is>
      </c>
      <c r="L387" s="29" t="inlineStr">
        <is>
          <t xml:space="preserve">NA </t>
        </is>
      </c>
      <c r="M387" s="29" t="inlineStr">
        <is>
          <t xml:space="preserve">NA </t>
        </is>
      </c>
      <c r="N387" s="29" t="inlineStr">
        <is>
          <t xml:space="preserve">NA </t>
        </is>
      </c>
      <c r="O387" s="29" t="inlineStr">
        <is>
          <t xml:space="preserve">NA </t>
        </is>
      </c>
      <c r="P387" s="29" t="inlineStr">
        <is>
          <t xml:space="preserve">NA </t>
        </is>
      </c>
      <c r="Q387" s="29" t="inlineStr">
        <is>
          <t xml:space="preserve">NA </t>
        </is>
      </c>
      <c r="R387" s="29" t="inlineStr">
        <is>
          <t xml:space="preserve">NA </t>
        </is>
      </c>
      <c r="S387" s="29" t="inlineStr">
        <is>
          <t xml:space="preserve">NA </t>
        </is>
      </c>
      <c r="T387" s="29" t="inlineStr">
        <is>
          <t xml:space="preserve">NA </t>
        </is>
      </c>
      <c r="U387" s="29" t="inlineStr">
        <is>
          <t xml:space="preserve">NA </t>
        </is>
      </c>
      <c r="V387" s="28" t="inlineStr">
        <is>
          <t xml:space="preserve">NA </t>
        </is>
      </c>
      <c r="W387" s="28" t="inlineStr">
        <is>
          <t xml:space="preserve">NA </t>
        </is>
      </c>
      <c r="X387" s="28" t="inlineStr">
        <is>
          <t xml:space="preserve">NA </t>
        </is>
      </c>
      <c r="Y387" s="28" t="inlineStr">
        <is>
          <t xml:space="preserve">NA </t>
        </is>
      </c>
      <c r="Z387" s="20" t="n">
        <v>0.4347826086956522</v>
      </c>
      <c r="AA387" s="28" t="inlineStr">
        <is>
          <t>Met</t>
        </is>
      </c>
      <c r="AB387" s="119" t="n">
        <v>0.4166666666666667</v>
      </c>
      <c r="AC387" s="28" t="inlineStr">
        <is>
          <t>Met</t>
        </is>
      </c>
      <c r="AD387" s="149">
        <f>7/15</f>
        <v/>
      </c>
      <c r="AE387" s="28" t="inlineStr">
        <is>
          <t>Met</t>
        </is>
      </c>
      <c r="AF387" s="119" t="n">
        <v>0.4285714285714285</v>
      </c>
      <c r="AG387" s="202" t="inlineStr">
        <is>
          <t>Met</t>
        </is>
      </c>
      <c r="AH387" s="285" t="n">
        <v>85</v>
      </c>
      <c r="AI387" s="285" t="inlineStr">
        <is>
          <t>Met</t>
        </is>
      </c>
      <c r="AJ387" s="149" t="n">
        <v>0.4898989898989899</v>
      </c>
      <c r="AK387" s="202" t="inlineStr">
        <is>
          <t>Met</t>
        </is>
      </c>
    </row>
    <row r="388">
      <c r="A388" s="21" t="inlineStr">
        <is>
          <t>SKF Industrial</t>
        </is>
      </c>
      <c r="B388" s="5" t="inlineStr">
        <is>
          <t>North</t>
        </is>
      </c>
      <c r="C388" s="277" t="inlineStr">
        <is>
          <t>Archana Trikha</t>
        </is>
      </c>
      <c r="D388" s="26" t="inlineStr">
        <is>
          <t>Rishab</t>
        </is>
      </c>
      <c r="E388" s="26" t="inlineStr">
        <is>
          <t>Category (B)</t>
        </is>
      </c>
      <c r="F388" s="26" t="inlineStr">
        <is>
          <t>Contractual SLA</t>
        </is>
      </c>
      <c r="G388" s="21" t="inlineStr">
        <is>
          <t>Yes</t>
        </is>
      </c>
      <c r="H388" s="76" t="inlineStr">
        <is>
          <t>CSAT</t>
        </is>
      </c>
      <c r="I388" s="11" t="n">
        <v>0.8</v>
      </c>
      <c r="J388" s="29" t="inlineStr">
        <is>
          <t xml:space="preserve">NA </t>
        </is>
      </c>
      <c r="K388" s="29" t="inlineStr">
        <is>
          <t xml:space="preserve">NA </t>
        </is>
      </c>
      <c r="L388" s="29" t="inlineStr">
        <is>
          <t xml:space="preserve">NA </t>
        </is>
      </c>
      <c r="M388" s="29" t="inlineStr">
        <is>
          <t xml:space="preserve">NA </t>
        </is>
      </c>
      <c r="N388" s="29" t="inlineStr">
        <is>
          <t xml:space="preserve">NA </t>
        </is>
      </c>
      <c r="O388" s="29" t="inlineStr">
        <is>
          <t xml:space="preserve">NA </t>
        </is>
      </c>
      <c r="P388" s="29" t="inlineStr">
        <is>
          <t xml:space="preserve">NA </t>
        </is>
      </c>
      <c r="Q388" s="29" t="inlineStr">
        <is>
          <t xml:space="preserve">NA </t>
        </is>
      </c>
      <c r="R388" s="29" t="inlineStr">
        <is>
          <t xml:space="preserve">NA </t>
        </is>
      </c>
      <c r="S388" s="29" t="inlineStr">
        <is>
          <t xml:space="preserve">NA </t>
        </is>
      </c>
      <c r="T388" s="29" t="inlineStr">
        <is>
          <t xml:space="preserve">NA </t>
        </is>
      </c>
      <c r="U388" s="29" t="inlineStr">
        <is>
          <t xml:space="preserve">NA </t>
        </is>
      </c>
      <c r="V388" s="28" t="inlineStr">
        <is>
          <t xml:space="preserve">NA </t>
        </is>
      </c>
      <c r="W388" s="28" t="inlineStr">
        <is>
          <t xml:space="preserve">NA </t>
        </is>
      </c>
      <c r="X388" s="28" t="inlineStr">
        <is>
          <t xml:space="preserve">NA </t>
        </is>
      </c>
      <c r="Y388" s="28" t="inlineStr">
        <is>
          <t xml:space="preserve">NA </t>
        </is>
      </c>
      <c r="Z388" s="20" t="n">
        <v>0.9800000000000001</v>
      </c>
      <c r="AA388" s="28" t="inlineStr">
        <is>
          <t>Met</t>
        </is>
      </c>
      <c r="AB388" s="119" t="n">
        <v>0.9800000000000001</v>
      </c>
      <c r="AC388" s="28" t="inlineStr">
        <is>
          <t>Met</t>
        </is>
      </c>
      <c r="AD388" s="149">
        <f>4.9/5</f>
        <v/>
      </c>
      <c r="AE388" s="28" t="inlineStr">
        <is>
          <t>Met</t>
        </is>
      </c>
      <c r="AF388" s="119" t="n">
        <v>1</v>
      </c>
      <c r="AG388" s="202" t="inlineStr">
        <is>
          <t>Met</t>
        </is>
      </c>
      <c r="AH388" s="285" t="n">
        <v>85</v>
      </c>
      <c r="AI388" s="285" t="inlineStr">
        <is>
          <t>Met</t>
        </is>
      </c>
      <c r="AJ388" s="149" t="n">
        <v>0.9800000000000001</v>
      </c>
      <c r="AK388" s="202" t="inlineStr">
        <is>
          <t>Met</t>
        </is>
      </c>
    </row>
    <row r="389">
      <c r="A389" s="21" t="inlineStr">
        <is>
          <t>SKF Industrial</t>
        </is>
      </c>
      <c r="B389" s="5" t="inlineStr">
        <is>
          <t>North</t>
        </is>
      </c>
      <c r="C389" s="277" t="inlineStr">
        <is>
          <t>Archana Trikha</t>
        </is>
      </c>
      <c r="D389" s="26" t="inlineStr">
        <is>
          <t>Rishab</t>
        </is>
      </c>
      <c r="E389" s="26" t="inlineStr">
        <is>
          <t>Category (B)</t>
        </is>
      </c>
      <c r="F389" s="26" t="inlineStr">
        <is>
          <t>Contractual SLA</t>
        </is>
      </c>
      <c r="G389" s="21" t="inlineStr">
        <is>
          <t>Yes</t>
        </is>
      </c>
      <c r="H389" s="76" t="inlineStr">
        <is>
          <t>HM SAT</t>
        </is>
      </c>
      <c r="I389" s="11" t="n">
        <v>0.8</v>
      </c>
      <c r="J389" s="29" t="inlineStr">
        <is>
          <t xml:space="preserve">NA </t>
        </is>
      </c>
      <c r="K389" s="29" t="inlineStr">
        <is>
          <t xml:space="preserve">NA </t>
        </is>
      </c>
      <c r="L389" s="29" t="inlineStr">
        <is>
          <t xml:space="preserve">NA </t>
        </is>
      </c>
      <c r="M389" s="29" t="inlineStr">
        <is>
          <t xml:space="preserve">NA </t>
        </is>
      </c>
      <c r="N389" s="29" t="inlineStr">
        <is>
          <t xml:space="preserve">NA </t>
        </is>
      </c>
      <c r="O389" s="29" t="inlineStr">
        <is>
          <t xml:space="preserve">NA </t>
        </is>
      </c>
      <c r="P389" s="29" t="inlineStr">
        <is>
          <t xml:space="preserve">NA </t>
        </is>
      </c>
      <c r="Q389" s="29" t="inlineStr">
        <is>
          <t xml:space="preserve">NA </t>
        </is>
      </c>
      <c r="R389" s="29" t="inlineStr">
        <is>
          <t xml:space="preserve">NA </t>
        </is>
      </c>
      <c r="S389" s="29" t="inlineStr">
        <is>
          <t xml:space="preserve">NA </t>
        </is>
      </c>
      <c r="T389" s="29" t="inlineStr">
        <is>
          <t xml:space="preserve">NA </t>
        </is>
      </c>
      <c r="U389" s="29" t="inlineStr">
        <is>
          <t xml:space="preserve">NA </t>
        </is>
      </c>
      <c r="V389" s="28" t="inlineStr">
        <is>
          <t xml:space="preserve">NA </t>
        </is>
      </c>
      <c r="W389" s="28" t="inlineStr">
        <is>
          <t xml:space="preserve">NA </t>
        </is>
      </c>
      <c r="X389" s="28" t="inlineStr">
        <is>
          <t xml:space="preserve">NA </t>
        </is>
      </c>
      <c r="Y389" s="28" t="inlineStr">
        <is>
          <t xml:space="preserve">NA </t>
        </is>
      </c>
      <c r="Z389" s="20" t="n">
        <v>0.9800000000000001</v>
      </c>
      <c r="AA389" s="28" t="inlineStr">
        <is>
          <t>Met</t>
        </is>
      </c>
      <c r="AB389" s="119" t="n">
        <v>0.8800000000000001</v>
      </c>
      <c r="AC389" s="28" t="inlineStr">
        <is>
          <t>Met</t>
        </is>
      </c>
      <c r="AD389" s="149">
        <f>4.6/5</f>
        <v/>
      </c>
      <c r="AE389" s="28" t="inlineStr">
        <is>
          <t>Met</t>
        </is>
      </c>
      <c r="AF389" s="119" t="n">
        <v>0.9199999999999999</v>
      </c>
      <c r="AG389" s="202" t="inlineStr">
        <is>
          <t>Met</t>
        </is>
      </c>
      <c r="AH389" s="285" t="n">
        <v>85</v>
      </c>
      <c r="AI389" s="285" t="inlineStr">
        <is>
          <t>Met</t>
        </is>
      </c>
      <c r="AJ389" s="160" t="n">
        <v>0.96</v>
      </c>
      <c r="AK389" s="202" t="inlineStr">
        <is>
          <t>Met</t>
        </is>
      </c>
    </row>
    <row r="390">
      <c r="A390" s="21" t="inlineStr">
        <is>
          <t>SKF Industrial</t>
        </is>
      </c>
      <c r="B390" s="5" t="inlineStr">
        <is>
          <t>North</t>
        </is>
      </c>
      <c r="C390" s="277" t="inlineStr">
        <is>
          <t>Archana Trikha</t>
        </is>
      </c>
      <c r="D390" s="26" t="inlineStr">
        <is>
          <t>Rishab</t>
        </is>
      </c>
      <c r="E390" s="26" t="inlineStr">
        <is>
          <t>Category (B)</t>
        </is>
      </c>
      <c r="F390" s="26" t="inlineStr">
        <is>
          <t>Contractual SLA</t>
        </is>
      </c>
      <c r="G390" s="21" t="inlineStr">
        <is>
          <t>Yes</t>
        </is>
      </c>
      <c r="H390" s="76" t="inlineStr">
        <is>
          <t>Diversity</t>
        </is>
      </c>
      <c r="I390" s="11" t="n">
        <v>0.35</v>
      </c>
      <c r="J390" s="29" t="inlineStr">
        <is>
          <t xml:space="preserve">NA </t>
        </is>
      </c>
      <c r="K390" s="29" t="inlineStr">
        <is>
          <t xml:space="preserve">NA </t>
        </is>
      </c>
      <c r="L390" s="29" t="inlineStr">
        <is>
          <t xml:space="preserve">NA </t>
        </is>
      </c>
      <c r="M390" s="29" t="inlineStr">
        <is>
          <t xml:space="preserve">NA </t>
        </is>
      </c>
      <c r="N390" s="29" t="inlineStr">
        <is>
          <t xml:space="preserve">NA </t>
        </is>
      </c>
      <c r="O390" s="29" t="inlineStr">
        <is>
          <t xml:space="preserve">NA </t>
        </is>
      </c>
      <c r="P390" s="29" t="inlineStr">
        <is>
          <t xml:space="preserve">NA </t>
        </is>
      </c>
      <c r="Q390" s="29" t="inlineStr">
        <is>
          <t xml:space="preserve">NA </t>
        </is>
      </c>
      <c r="R390" s="29" t="inlineStr">
        <is>
          <t xml:space="preserve">NA </t>
        </is>
      </c>
      <c r="S390" s="29" t="inlineStr">
        <is>
          <t xml:space="preserve">NA </t>
        </is>
      </c>
      <c r="T390" s="29" t="inlineStr">
        <is>
          <t xml:space="preserve">NA </t>
        </is>
      </c>
      <c r="U390" s="29" t="inlineStr">
        <is>
          <t xml:space="preserve">NA </t>
        </is>
      </c>
      <c r="V390" s="28" t="inlineStr">
        <is>
          <t xml:space="preserve">NA </t>
        </is>
      </c>
      <c r="W390" s="28" t="inlineStr">
        <is>
          <t xml:space="preserve">NA </t>
        </is>
      </c>
      <c r="X390" s="28" t="inlineStr">
        <is>
          <t xml:space="preserve">NA </t>
        </is>
      </c>
      <c r="Y390" s="28" t="inlineStr">
        <is>
          <t xml:space="preserve">NA </t>
        </is>
      </c>
      <c r="Z390" s="20" t="n">
        <v>0.2608695652173913</v>
      </c>
      <c r="AA390" s="28" t="inlineStr">
        <is>
          <t>Not Met</t>
        </is>
      </c>
      <c r="AB390" s="119" t="n">
        <v>0.1666666666666667</v>
      </c>
      <c r="AC390" s="28" t="inlineStr">
        <is>
          <t>Not Met</t>
        </is>
      </c>
      <c r="AD390" s="149">
        <f>4/15</f>
        <v/>
      </c>
      <c r="AE390" s="28" t="inlineStr">
        <is>
          <t>Not Met</t>
        </is>
      </c>
      <c r="AF390" s="149" t="n">
        <v>0.2857142857142857</v>
      </c>
      <c r="AG390" s="28" t="inlineStr">
        <is>
          <t>Not Met</t>
        </is>
      </c>
      <c r="AH390" s="285" t="n">
        <v>85</v>
      </c>
      <c r="AI390" s="285" t="inlineStr">
        <is>
          <t>Met</t>
        </is>
      </c>
      <c r="AJ390" s="160" t="n">
        <v>0.2777777777777778</v>
      </c>
      <c r="AK390" s="28" t="inlineStr">
        <is>
          <t>Not Met</t>
        </is>
      </c>
    </row>
    <row r="391">
      <c r="A391" s="21" t="inlineStr">
        <is>
          <t>SKF Industrial</t>
        </is>
      </c>
      <c r="B391" s="5" t="inlineStr">
        <is>
          <t>North</t>
        </is>
      </c>
      <c r="C391" s="277" t="inlineStr">
        <is>
          <t>Archana Trikha</t>
        </is>
      </c>
      <c r="D391" s="26" t="inlineStr">
        <is>
          <t>Rishab</t>
        </is>
      </c>
      <c r="E391" s="26" t="inlineStr">
        <is>
          <t>Category (B)</t>
        </is>
      </c>
      <c r="F391" s="26" t="inlineStr">
        <is>
          <t>Contractual SLA</t>
        </is>
      </c>
      <c r="G391" s="21" t="inlineStr">
        <is>
          <t>Yes</t>
        </is>
      </c>
      <c r="H391" s="44" t="inlineStr">
        <is>
          <t>Offer Drop</t>
        </is>
      </c>
      <c r="I391" s="11" t="n">
        <v>0.15</v>
      </c>
      <c r="J391" s="29" t="inlineStr">
        <is>
          <t xml:space="preserve">NA </t>
        </is>
      </c>
      <c r="K391" s="29" t="inlineStr">
        <is>
          <t xml:space="preserve">NA </t>
        </is>
      </c>
      <c r="L391" s="29" t="inlineStr">
        <is>
          <t xml:space="preserve">NA </t>
        </is>
      </c>
      <c r="M391" s="29" t="inlineStr">
        <is>
          <t xml:space="preserve">NA </t>
        </is>
      </c>
      <c r="N391" s="29" t="inlineStr">
        <is>
          <t xml:space="preserve">NA </t>
        </is>
      </c>
      <c r="O391" s="29" t="inlineStr">
        <is>
          <t xml:space="preserve">NA </t>
        </is>
      </c>
      <c r="P391" s="29" t="inlineStr">
        <is>
          <t xml:space="preserve">NA </t>
        </is>
      </c>
      <c r="Q391" s="29" t="inlineStr">
        <is>
          <t xml:space="preserve">NA </t>
        </is>
      </c>
      <c r="R391" s="29" t="inlineStr">
        <is>
          <t xml:space="preserve">NA </t>
        </is>
      </c>
      <c r="S391" s="29" t="inlineStr">
        <is>
          <t xml:space="preserve">NA </t>
        </is>
      </c>
      <c r="T391" s="29" t="inlineStr">
        <is>
          <t xml:space="preserve">NA </t>
        </is>
      </c>
      <c r="U391" s="29" t="inlineStr">
        <is>
          <t xml:space="preserve">NA </t>
        </is>
      </c>
      <c r="V391" s="28" t="inlineStr">
        <is>
          <t xml:space="preserve">NA </t>
        </is>
      </c>
      <c r="W391" s="28" t="inlineStr">
        <is>
          <t xml:space="preserve">NA </t>
        </is>
      </c>
      <c r="X391" s="28" t="inlineStr">
        <is>
          <t xml:space="preserve">NA </t>
        </is>
      </c>
      <c r="Y391" s="28" t="inlineStr">
        <is>
          <t xml:space="preserve">NA </t>
        </is>
      </c>
      <c r="Z391" s="20" t="n">
        <v>0</v>
      </c>
      <c r="AA391" s="28" t="inlineStr">
        <is>
          <t>Met</t>
        </is>
      </c>
      <c r="AB391" s="119" t="n">
        <v>0</v>
      </c>
      <c r="AC391" s="28" t="inlineStr">
        <is>
          <t>Met</t>
        </is>
      </c>
      <c r="AD391" s="119">
        <f>1/18</f>
        <v/>
      </c>
      <c r="AE391" s="28" t="inlineStr">
        <is>
          <t>Met</t>
        </is>
      </c>
      <c r="AF391" s="259" t="n">
        <v>0</v>
      </c>
      <c r="AG391" s="202" t="inlineStr">
        <is>
          <t>Met</t>
        </is>
      </c>
      <c r="AH391" s="285" t="n">
        <v>85</v>
      </c>
      <c r="AI391" s="285" t="inlineStr">
        <is>
          <t>Met</t>
        </is>
      </c>
      <c r="AJ391" s="149" t="n">
        <v>0.1009174311926606</v>
      </c>
      <c r="AK391" s="202" t="inlineStr">
        <is>
          <t>Met</t>
        </is>
      </c>
    </row>
    <row r="392">
      <c r="A392" s="21" t="inlineStr">
        <is>
          <t>SKF Industrial</t>
        </is>
      </c>
      <c r="B392" s="5" t="inlineStr">
        <is>
          <t>North</t>
        </is>
      </c>
      <c r="C392" s="277" t="inlineStr">
        <is>
          <t>Archana Trikha</t>
        </is>
      </c>
      <c r="D392" s="26" t="inlineStr">
        <is>
          <t>Rishab</t>
        </is>
      </c>
      <c r="E392" s="26" t="inlineStr">
        <is>
          <t>Category (B)</t>
        </is>
      </c>
      <c r="F392" s="26" t="inlineStr">
        <is>
          <t>Contractual SLA</t>
        </is>
      </c>
      <c r="G392" s="21" t="inlineStr">
        <is>
          <t>Yes</t>
        </is>
      </c>
      <c r="H392" s="44" t="inlineStr">
        <is>
          <t>Ageing</t>
        </is>
      </c>
      <c r="I392" s="11" t="n">
        <v>0.2</v>
      </c>
      <c r="J392" s="29" t="inlineStr">
        <is>
          <t xml:space="preserve">NA </t>
        </is>
      </c>
      <c r="K392" s="29" t="inlineStr">
        <is>
          <t xml:space="preserve">NA </t>
        </is>
      </c>
      <c r="L392" s="29" t="inlineStr">
        <is>
          <t xml:space="preserve">NA </t>
        </is>
      </c>
      <c r="M392" s="29" t="inlineStr">
        <is>
          <t xml:space="preserve">NA </t>
        </is>
      </c>
      <c r="N392" s="29" t="inlineStr">
        <is>
          <t xml:space="preserve">NA </t>
        </is>
      </c>
      <c r="O392" s="29" t="inlineStr">
        <is>
          <t xml:space="preserve">NA </t>
        </is>
      </c>
      <c r="P392" s="29" t="inlineStr">
        <is>
          <t xml:space="preserve">NA </t>
        </is>
      </c>
      <c r="Q392" s="29" t="inlineStr">
        <is>
          <t xml:space="preserve">NA </t>
        </is>
      </c>
      <c r="R392" s="29" t="inlineStr">
        <is>
          <t xml:space="preserve">NA </t>
        </is>
      </c>
      <c r="S392" s="29" t="inlineStr">
        <is>
          <t xml:space="preserve">NA </t>
        </is>
      </c>
      <c r="T392" s="29" t="inlineStr">
        <is>
          <t xml:space="preserve">NA </t>
        </is>
      </c>
      <c r="U392" s="29" t="inlineStr">
        <is>
          <t xml:space="preserve">NA </t>
        </is>
      </c>
      <c r="V392" s="28" t="inlineStr">
        <is>
          <t xml:space="preserve">NA </t>
        </is>
      </c>
      <c r="W392" s="28" t="inlineStr">
        <is>
          <t xml:space="preserve">NA </t>
        </is>
      </c>
      <c r="X392" s="28" t="inlineStr">
        <is>
          <t xml:space="preserve">NA </t>
        </is>
      </c>
      <c r="Y392" s="28" t="inlineStr">
        <is>
          <t xml:space="preserve">NA </t>
        </is>
      </c>
      <c r="Z392" s="20" t="n">
        <v>0.3043478260869565</v>
      </c>
      <c r="AA392" s="28" t="inlineStr">
        <is>
          <t>Not Met</t>
        </is>
      </c>
      <c r="AB392" s="119" t="n">
        <v>0.4166666666666667</v>
      </c>
      <c r="AC392" s="28" t="inlineStr">
        <is>
          <t>Not Met</t>
        </is>
      </c>
      <c r="AD392" s="119">
        <f>1/15</f>
        <v/>
      </c>
      <c r="AE392" s="28" t="inlineStr">
        <is>
          <t>Met</t>
        </is>
      </c>
      <c r="AF392" s="119" t="n">
        <v>0.1428571428571428</v>
      </c>
      <c r="AG392" s="202" t="inlineStr">
        <is>
          <t>Met</t>
        </is>
      </c>
      <c r="AH392" s="285" t="n">
        <v>85</v>
      </c>
      <c r="AI392" s="285" t="inlineStr">
        <is>
          <t>Met</t>
        </is>
      </c>
      <c r="AJ392" s="149" t="n">
        <v>0.2121212121212121</v>
      </c>
      <c r="AK392" s="28" t="inlineStr">
        <is>
          <t>Not Met</t>
        </is>
      </c>
    </row>
    <row r="393">
      <c r="A393" s="21" t="inlineStr">
        <is>
          <t>SKF Industrial</t>
        </is>
      </c>
      <c r="B393" s="5" t="inlineStr">
        <is>
          <t>North</t>
        </is>
      </c>
      <c r="C393" s="277" t="inlineStr">
        <is>
          <t>Archana Trikha</t>
        </is>
      </c>
      <c r="D393" s="26" t="inlineStr">
        <is>
          <t>Rishab</t>
        </is>
      </c>
      <c r="E393" s="26" t="inlineStr">
        <is>
          <t>Category (B)</t>
        </is>
      </c>
      <c r="F393" s="21" t="inlineStr">
        <is>
          <t>Internal KPI</t>
        </is>
      </c>
      <c r="G393" s="21" t="inlineStr">
        <is>
          <t>No</t>
        </is>
      </c>
      <c r="H393" s="77" t="inlineStr">
        <is>
          <t>Time to Hire</t>
        </is>
      </c>
      <c r="I393" s="14" t="inlineStr">
        <is>
          <t>135 Days</t>
        </is>
      </c>
      <c r="J393" s="29" t="inlineStr">
        <is>
          <t xml:space="preserve">NA </t>
        </is>
      </c>
      <c r="K393" s="29" t="inlineStr">
        <is>
          <t xml:space="preserve">NA </t>
        </is>
      </c>
      <c r="L393" s="29" t="inlineStr">
        <is>
          <t xml:space="preserve">NA </t>
        </is>
      </c>
      <c r="M393" s="29" t="inlineStr">
        <is>
          <t xml:space="preserve">NA </t>
        </is>
      </c>
      <c r="N393" s="29" t="inlineStr">
        <is>
          <t xml:space="preserve">NA </t>
        </is>
      </c>
      <c r="O393" s="29" t="inlineStr">
        <is>
          <t xml:space="preserve">NA </t>
        </is>
      </c>
      <c r="P393" s="29" t="inlineStr">
        <is>
          <t xml:space="preserve">NA </t>
        </is>
      </c>
      <c r="Q393" s="29" t="inlineStr">
        <is>
          <t xml:space="preserve">NA </t>
        </is>
      </c>
      <c r="R393" s="29" t="inlineStr">
        <is>
          <t xml:space="preserve">NA </t>
        </is>
      </c>
      <c r="S393" s="29" t="inlineStr">
        <is>
          <t xml:space="preserve">NA </t>
        </is>
      </c>
      <c r="T393" s="29" t="inlineStr">
        <is>
          <t xml:space="preserve">NA </t>
        </is>
      </c>
      <c r="U393" s="29" t="inlineStr">
        <is>
          <t xml:space="preserve">NA </t>
        </is>
      </c>
      <c r="V393" s="28" t="inlineStr">
        <is>
          <t xml:space="preserve">NA </t>
        </is>
      </c>
      <c r="W393" s="28" t="inlineStr">
        <is>
          <t xml:space="preserve">NA </t>
        </is>
      </c>
      <c r="X393" s="28" t="inlineStr">
        <is>
          <t xml:space="preserve">NA </t>
        </is>
      </c>
      <c r="Y393" s="28" t="inlineStr">
        <is>
          <t xml:space="preserve">NA </t>
        </is>
      </c>
      <c r="Z393" s="14" t="inlineStr">
        <is>
          <t xml:space="preserve">95 Days </t>
        </is>
      </c>
      <c r="AA393" s="28" t="inlineStr">
        <is>
          <t>Met</t>
        </is>
      </c>
      <c r="AB393" s="78" t="n">
        <v>121</v>
      </c>
      <c r="AC393" s="28" t="inlineStr">
        <is>
          <t>Met</t>
        </is>
      </c>
      <c r="AD393" s="78" t="n">
        <v>86</v>
      </c>
      <c r="AE393" s="28" t="inlineStr">
        <is>
          <t>Met</t>
        </is>
      </c>
      <c r="AF393" s="78" t="n">
        <v>91</v>
      </c>
      <c r="AG393" s="202" t="inlineStr">
        <is>
          <t>Met</t>
        </is>
      </c>
      <c r="AH393" s="285" t="n">
        <v>85</v>
      </c>
      <c r="AI393" s="285" t="inlineStr">
        <is>
          <t>Met</t>
        </is>
      </c>
      <c r="AJ393" s="147" t="n">
        <v>89</v>
      </c>
      <c r="AK393" s="202" t="inlineStr">
        <is>
          <t>Met</t>
        </is>
      </c>
    </row>
    <row r="394">
      <c r="A394" s="21" t="inlineStr">
        <is>
          <t>SKF Industrial</t>
        </is>
      </c>
      <c r="B394" s="5" t="inlineStr">
        <is>
          <t>North</t>
        </is>
      </c>
      <c r="C394" s="277" t="inlineStr">
        <is>
          <t>Archana Trikha</t>
        </is>
      </c>
      <c r="D394" s="26" t="inlineStr">
        <is>
          <t>Rishab</t>
        </is>
      </c>
      <c r="E394" s="26" t="inlineStr">
        <is>
          <t>Category (B)</t>
        </is>
      </c>
      <c r="F394" s="21" t="inlineStr">
        <is>
          <t>Internal KPI</t>
        </is>
      </c>
      <c r="G394" s="21" t="inlineStr">
        <is>
          <t>No</t>
        </is>
      </c>
      <c r="H394" s="77" t="inlineStr">
        <is>
          <t>Hit Ratio</t>
        </is>
      </c>
      <c r="I394" s="16" t="n">
        <v>0.04722222222222222</v>
      </c>
      <c r="J394" s="29" t="inlineStr">
        <is>
          <t xml:space="preserve">NA </t>
        </is>
      </c>
      <c r="K394" s="29" t="inlineStr">
        <is>
          <t xml:space="preserve">NA </t>
        </is>
      </c>
      <c r="L394" s="29" t="inlineStr">
        <is>
          <t xml:space="preserve">NA </t>
        </is>
      </c>
      <c r="M394" s="29" t="inlineStr">
        <is>
          <t xml:space="preserve">NA </t>
        </is>
      </c>
      <c r="N394" s="29" t="inlineStr">
        <is>
          <t xml:space="preserve">NA </t>
        </is>
      </c>
      <c r="O394" s="29" t="inlineStr">
        <is>
          <t xml:space="preserve">NA </t>
        </is>
      </c>
      <c r="P394" s="29" t="inlineStr">
        <is>
          <t xml:space="preserve">NA </t>
        </is>
      </c>
      <c r="Q394" s="29" t="inlineStr">
        <is>
          <t xml:space="preserve">NA </t>
        </is>
      </c>
      <c r="R394" s="29" t="inlineStr">
        <is>
          <t xml:space="preserve">NA </t>
        </is>
      </c>
      <c r="S394" s="29" t="inlineStr">
        <is>
          <t xml:space="preserve">NA </t>
        </is>
      </c>
      <c r="T394" s="29" t="inlineStr">
        <is>
          <t xml:space="preserve">NA </t>
        </is>
      </c>
      <c r="U394" s="29" t="inlineStr">
        <is>
          <t xml:space="preserve">NA </t>
        </is>
      </c>
      <c r="V394" s="28" t="inlineStr">
        <is>
          <t xml:space="preserve">NA </t>
        </is>
      </c>
      <c r="W394" s="28" t="inlineStr">
        <is>
          <t xml:space="preserve">NA </t>
        </is>
      </c>
      <c r="X394" s="28" t="inlineStr">
        <is>
          <t xml:space="preserve">NA </t>
        </is>
      </c>
      <c r="Y394" s="28" t="inlineStr">
        <is>
          <t xml:space="preserve">NA </t>
        </is>
      </c>
      <c r="Z394" s="74" t="n">
        <v>0.04375</v>
      </c>
      <c r="AA394" s="28" t="inlineStr">
        <is>
          <t>Met</t>
        </is>
      </c>
      <c r="AB394" s="122" t="n">
        <v>0.04236111111111111</v>
      </c>
      <c r="AC394" s="28" t="inlineStr">
        <is>
          <t>Met</t>
        </is>
      </c>
      <c r="AD394" s="141" t="n">
        <v>0.04305555555555556</v>
      </c>
      <c r="AE394" s="28" t="inlineStr">
        <is>
          <t>Met</t>
        </is>
      </c>
      <c r="AF394" s="122" t="n">
        <v>0.04444444444444445</v>
      </c>
      <c r="AG394" s="202" t="inlineStr">
        <is>
          <t>Met</t>
        </is>
      </c>
      <c r="AH394" s="285" t="n">
        <v>85</v>
      </c>
      <c r="AI394" s="285" t="inlineStr">
        <is>
          <t>Met</t>
        </is>
      </c>
      <c r="AJ394" s="122" t="n">
        <v>0.04305555555555556</v>
      </c>
      <c r="AK394" s="202" t="inlineStr">
        <is>
          <t>Met</t>
        </is>
      </c>
    </row>
    <row r="395">
      <c r="A395" s="21" t="inlineStr">
        <is>
          <t>SKF Industrial</t>
        </is>
      </c>
      <c r="B395" s="5" t="inlineStr">
        <is>
          <t>North</t>
        </is>
      </c>
      <c r="C395" s="277" t="inlineStr">
        <is>
          <t>Archana Trikha</t>
        </is>
      </c>
      <c r="D395" s="26" t="inlineStr">
        <is>
          <t>Rishab</t>
        </is>
      </c>
      <c r="E395" s="26" t="inlineStr">
        <is>
          <t>Category (B)</t>
        </is>
      </c>
      <c r="F395" s="21" t="inlineStr">
        <is>
          <t>Internal KPI</t>
        </is>
      </c>
      <c r="G395" s="21" t="inlineStr">
        <is>
          <t>No</t>
        </is>
      </c>
      <c r="H395" s="77" t="inlineStr">
        <is>
          <t xml:space="preserve">Fulfilment </t>
        </is>
      </c>
      <c r="I395" s="20" t="n">
        <v>0.85</v>
      </c>
      <c r="J395" s="29" t="inlineStr">
        <is>
          <t xml:space="preserve">NA </t>
        </is>
      </c>
      <c r="K395" s="29" t="inlineStr">
        <is>
          <t xml:space="preserve">NA </t>
        </is>
      </c>
      <c r="L395" s="29" t="inlineStr">
        <is>
          <t xml:space="preserve">NA </t>
        </is>
      </c>
      <c r="M395" s="29" t="inlineStr">
        <is>
          <t xml:space="preserve">NA </t>
        </is>
      </c>
      <c r="N395" s="29" t="inlineStr">
        <is>
          <t xml:space="preserve">NA </t>
        </is>
      </c>
      <c r="O395" s="29" t="inlineStr">
        <is>
          <t xml:space="preserve">NA </t>
        </is>
      </c>
      <c r="P395" s="29" t="inlineStr">
        <is>
          <t xml:space="preserve">NA </t>
        </is>
      </c>
      <c r="Q395" s="29" t="inlineStr">
        <is>
          <t xml:space="preserve">NA </t>
        </is>
      </c>
      <c r="R395" s="29" t="inlineStr">
        <is>
          <t xml:space="preserve">NA </t>
        </is>
      </c>
      <c r="S395" s="29" t="inlineStr">
        <is>
          <t xml:space="preserve">NA </t>
        </is>
      </c>
      <c r="T395" s="29" t="inlineStr">
        <is>
          <t xml:space="preserve">NA </t>
        </is>
      </c>
      <c r="U395" s="29" t="inlineStr">
        <is>
          <t xml:space="preserve">NA </t>
        </is>
      </c>
      <c r="V395" s="28" t="inlineStr">
        <is>
          <t xml:space="preserve">NA </t>
        </is>
      </c>
      <c r="W395" s="28" t="inlineStr">
        <is>
          <t xml:space="preserve">NA </t>
        </is>
      </c>
      <c r="X395" s="28" t="inlineStr">
        <is>
          <t xml:space="preserve">NA </t>
        </is>
      </c>
      <c r="Y395" s="28" t="inlineStr">
        <is>
          <t xml:space="preserve">NA </t>
        </is>
      </c>
      <c r="Z395" s="11" t="n">
        <v>0.26</v>
      </c>
      <c r="AA395" s="28" t="inlineStr">
        <is>
          <t>Not Met</t>
        </is>
      </c>
      <c r="AB395" s="102" t="n">
        <v>0.14</v>
      </c>
      <c r="AC395" s="28" t="inlineStr">
        <is>
          <t>Not Met</t>
        </is>
      </c>
      <c r="AD395" s="102" t="n">
        <v>0.63</v>
      </c>
      <c r="AE395" s="28" t="inlineStr">
        <is>
          <t>Not Met</t>
        </is>
      </c>
      <c r="AF395" s="102" t="n">
        <v>0.22</v>
      </c>
      <c r="AG395" s="28" t="inlineStr">
        <is>
          <t>Not Met</t>
        </is>
      </c>
      <c r="AH395" s="285" t="n">
        <v>85</v>
      </c>
      <c r="AI395" s="285" t="inlineStr">
        <is>
          <t>Met</t>
        </is>
      </c>
      <c r="AJ395" s="135" t="n">
        <v>0.29</v>
      </c>
      <c r="AK395" s="28" t="inlineStr">
        <is>
          <t>Not Met</t>
        </is>
      </c>
    </row>
    <row r="396">
      <c r="A396" s="21" t="inlineStr">
        <is>
          <t>SKF Industrial</t>
        </is>
      </c>
      <c r="B396" s="5" t="inlineStr">
        <is>
          <t>North</t>
        </is>
      </c>
      <c r="C396" s="277" t="inlineStr">
        <is>
          <t>Archana Trikha</t>
        </is>
      </c>
      <c r="D396" s="26" t="inlineStr">
        <is>
          <t>Rishab</t>
        </is>
      </c>
      <c r="E396" s="26" t="inlineStr">
        <is>
          <t>Category (B)</t>
        </is>
      </c>
      <c r="F396" s="21" t="inlineStr">
        <is>
          <t>Internal KPI</t>
        </is>
      </c>
      <c r="G396" s="21" t="inlineStr">
        <is>
          <t>No</t>
        </is>
      </c>
      <c r="H396" s="77" t="inlineStr">
        <is>
          <t>First Time Right Ratio</t>
        </is>
      </c>
      <c r="I396" s="20" t="n">
        <v>0.75</v>
      </c>
      <c r="J396" s="29" t="inlineStr">
        <is>
          <t xml:space="preserve">NA </t>
        </is>
      </c>
      <c r="K396" s="29" t="inlineStr">
        <is>
          <t xml:space="preserve">NA </t>
        </is>
      </c>
      <c r="L396" s="29" t="inlineStr">
        <is>
          <t xml:space="preserve">NA </t>
        </is>
      </c>
      <c r="M396" s="29" t="inlineStr">
        <is>
          <t xml:space="preserve">NA </t>
        </is>
      </c>
      <c r="N396" s="29" t="inlineStr">
        <is>
          <t xml:space="preserve">NA </t>
        </is>
      </c>
      <c r="O396" s="29" t="inlineStr">
        <is>
          <t xml:space="preserve">NA </t>
        </is>
      </c>
      <c r="P396" s="29" t="inlineStr">
        <is>
          <t xml:space="preserve">NA </t>
        </is>
      </c>
      <c r="Q396" s="29" t="inlineStr">
        <is>
          <t xml:space="preserve">NA </t>
        </is>
      </c>
      <c r="R396" s="29" t="inlineStr">
        <is>
          <t xml:space="preserve">NA </t>
        </is>
      </c>
      <c r="S396" s="29" t="inlineStr">
        <is>
          <t xml:space="preserve">NA </t>
        </is>
      </c>
      <c r="T396" s="29" t="inlineStr">
        <is>
          <t xml:space="preserve">NA </t>
        </is>
      </c>
      <c r="U396" s="29" t="inlineStr">
        <is>
          <t xml:space="preserve">NA </t>
        </is>
      </c>
      <c r="V396" s="28" t="inlineStr">
        <is>
          <t xml:space="preserve">NA </t>
        </is>
      </c>
      <c r="W396" s="28" t="inlineStr">
        <is>
          <t xml:space="preserve">NA </t>
        </is>
      </c>
      <c r="X396" s="28" t="inlineStr">
        <is>
          <t xml:space="preserve">NA </t>
        </is>
      </c>
      <c r="Y396" s="28" t="inlineStr">
        <is>
          <t xml:space="preserve">NA </t>
        </is>
      </c>
      <c r="Z396" s="11" t="n">
        <v>0.75</v>
      </c>
      <c r="AA396" s="28" t="inlineStr">
        <is>
          <t>Met</t>
        </is>
      </c>
      <c r="AB396" s="83" t="n">
        <v>0.75</v>
      </c>
      <c r="AC396" s="28" t="inlineStr">
        <is>
          <t>Met</t>
        </is>
      </c>
      <c r="AD396" s="102" t="n">
        <v>0.77</v>
      </c>
      <c r="AE396" s="28" t="inlineStr">
        <is>
          <t>Met</t>
        </is>
      </c>
      <c r="AF396" s="149" t="n">
        <v>0.75</v>
      </c>
      <c r="AG396" s="202" t="inlineStr">
        <is>
          <t>Met</t>
        </is>
      </c>
      <c r="AH396" s="285" t="n">
        <v>85</v>
      </c>
      <c r="AI396" s="285" t="inlineStr">
        <is>
          <t>Met</t>
        </is>
      </c>
      <c r="AJ396" s="135" t="n">
        <v>0.75</v>
      </c>
      <c r="AK396" s="202" t="inlineStr">
        <is>
          <t>Met</t>
        </is>
      </c>
    </row>
    <row r="397">
      <c r="A397" s="21" t="inlineStr">
        <is>
          <t>SKF Industrial</t>
        </is>
      </c>
      <c r="B397" s="5" t="inlineStr">
        <is>
          <t>North</t>
        </is>
      </c>
      <c r="C397" s="277" t="inlineStr">
        <is>
          <t>Archana Trikha</t>
        </is>
      </c>
      <c r="D397" s="26" t="inlineStr">
        <is>
          <t>Rishab</t>
        </is>
      </c>
      <c r="E397" s="26" t="inlineStr">
        <is>
          <t>Category (B)</t>
        </is>
      </c>
      <c r="F397" s="26" t="inlineStr">
        <is>
          <t>Contractual SLA</t>
        </is>
      </c>
      <c r="G397" s="21" t="inlineStr">
        <is>
          <t>Yes</t>
        </is>
      </c>
      <c r="H397" s="44" t="inlineStr">
        <is>
          <t>Supply of CVs</t>
        </is>
      </c>
      <c r="I397" s="11" t="n">
        <v>0.8</v>
      </c>
      <c r="J397" s="29" t="inlineStr">
        <is>
          <t xml:space="preserve">NA </t>
        </is>
      </c>
      <c r="K397" s="29" t="inlineStr">
        <is>
          <t xml:space="preserve">NA </t>
        </is>
      </c>
      <c r="L397" s="29" t="inlineStr">
        <is>
          <t xml:space="preserve">NA </t>
        </is>
      </c>
      <c r="M397" s="29" t="inlineStr">
        <is>
          <t xml:space="preserve">NA </t>
        </is>
      </c>
      <c r="N397" s="29" t="inlineStr">
        <is>
          <t xml:space="preserve">NA </t>
        </is>
      </c>
      <c r="O397" s="29" t="inlineStr">
        <is>
          <t xml:space="preserve">NA </t>
        </is>
      </c>
      <c r="P397" s="29" t="inlineStr">
        <is>
          <t xml:space="preserve">NA </t>
        </is>
      </c>
      <c r="Q397" s="29" t="inlineStr">
        <is>
          <t xml:space="preserve">NA </t>
        </is>
      </c>
      <c r="R397" s="29" t="inlineStr">
        <is>
          <t xml:space="preserve">NA </t>
        </is>
      </c>
      <c r="S397" s="29" t="inlineStr">
        <is>
          <t xml:space="preserve">NA </t>
        </is>
      </c>
      <c r="T397" s="29" t="inlineStr">
        <is>
          <t xml:space="preserve">NA </t>
        </is>
      </c>
      <c r="U397" s="29" t="inlineStr">
        <is>
          <t xml:space="preserve">NA </t>
        </is>
      </c>
      <c r="V397" s="28" t="inlineStr">
        <is>
          <t xml:space="preserve">NA </t>
        </is>
      </c>
      <c r="W397" s="28" t="inlineStr">
        <is>
          <t xml:space="preserve">NA </t>
        </is>
      </c>
      <c r="X397" s="28" t="inlineStr">
        <is>
          <t xml:space="preserve">NA </t>
        </is>
      </c>
      <c r="Y397" s="28" t="inlineStr">
        <is>
          <t xml:space="preserve">NA </t>
        </is>
      </c>
      <c r="Z397" s="50" t="n">
        <v>0.8695652173913043</v>
      </c>
      <c r="AA397" s="28" t="inlineStr">
        <is>
          <t>Met</t>
        </is>
      </c>
      <c r="AB397" s="102" t="n">
        <v>0.75</v>
      </c>
      <c r="AC397" s="28" t="inlineStr">
        <is>
          <t>Not Met</t>
        </is>
      </c>
      <c r="AD397" s="102" t="n">
        <v>0.87</v>
      </c>
      <c r="AE397" s="28" t="inlineStr">
        <is>
          <t>Met</t>
        </is>
      </c>
      <c r="AF397" s="119" t="n">
        <v>0.9285714285714286</v>
      </c>
      <c r="AG397" s="202" t="inlineStr">
        <is>
          <t>Met</t>
        </is>
      </c>
      <c r="AH397" s="285" t="n">
        <v>85</v>
      </c>
      <c r="AI397" s="285" t="inlineStr">
        <is>
          <t>Met</t>
        </is>
      </c>
      <c r="AJ397" s="119" t="n">
        <v>0.87</v>
      </c>
      <c r="AK397" s="202" t="inlineStr">
        <is>
          <t>Met</t>
        </is>
      </c>
    </row>
    <row r="398">
      <c r="A398" s="21" t="inlineStr">
        <is>
          <t>SKF Industrial</t>
        </is>
      </c>
      <c r="B398" s="5" t="inlineStr">
        <is>
          <t>North</t>
        </is>
      </c>
      <c r="C398" s="277" t="inlineStr">
        <is>
          <t>Archana Trikha</t>
        </is>
      </c>
      <c r="D398" s="26" t="inlineStr">
        <is>
          <t>Rishab</t>
        </is>
      </c>
      <c r="E398" s="26" t="inlineStr">
        <is>
          <t>Category (B)</t>
        </is>
      </c>
      <c r="F398" s="26" t="inlineStr">
        <is>
          <t>Contractual SLA</t>
        </is>
      </c>
      <c r="G398" s="21" t="inlineStr">
        <is>
          <t>Yes</t>
        </is>
      </c>
      <c r="H398" s="44" t="inlineStr">
        <is>
          <t>Early Attrition</t>
        </is>
      </c>
      <c r="I398" s="11" t="n">
        <v>0.05</v>
      </c>
      <c r="J398" s="29" t="inlineStr">
        <is>
          <t xml:space="preserve">NA </t>
        </is>
      </c>
      <c r="K398" s="29" t="inlineStr">
        <is>
          <t xml:space="preserve">NA </t>
        </is>
      </c>
      <c r="L398" s="29" t="inlineStr">
        <is>
          <t xml:space="preserve">NA </t>
        </is>
      </c>
      <c r="M398" s="29" t="inlineStr">
        <is>
          <t xml:space="preserve">NA </t>
        </is>
      </c>
      <c r="N398" s="29" t="inlineStr">
        <is>
          <t xml:space="preserve">NA </t>
        </is>
      </c>
      <c r="O398" s="29" t="inlineStr">
        <is>
          <t xml:space="preserve">NA </t>
        </is>
      </c>
      <c r="P398" s="29" t="inlineStr">
        <is>
          <t xml:space="preserve">NA </t>
        </is>
      </c>
      <c r="Q398" s="29" t="inlineStr">
        <is>
          <t xml:space="preserve">NA </t>
        </is>
      </c>
      <c r="R398" s="29" t="inlineStr">
        <is>
          <t xml:space="preserve">NA </t>
        </is>
      </c>
      <c r="S398" s="29" t="inlineStr">
        <is>
          <t xml:space="preserve">NA </t>
        </is>
      </c>
      <c r="T398" s="29" t="inlineStr">
        <is>
          <t xml:space="preserve">NA </t>
        </is>
      </c>
      <c r="U398" s="29" t="inlineStr">
        <is>
          <t xml:space="preserve">NA </t>
        </is>
      </c>
      <c r="V398" s="28" t="inlineStr">
        <is>
          <t xml:space="preserve">NA </t>
        </is>
      </c>
      <c r="W398" s="28" t="inlineStr">
        <is>
          <t xml:space="preserve">NA </t>
        </is>
      </c>
      <c r="X398" s="28" t="inlineStr">
        <is>
          <t xml:space="preserve">NA </t>
        </is>
      </c>
      <c r="Y398" s="28" t="inlineStr">
        <is>
          <t xml:space="preserve">NA </t>
        </is>
      </c>
      <c r="Z398" s="20" t="n">
        <v>0</v>
      </c>
      <c r="AA398" s="28" t="inlineStr">
        <is>
          <t>Met</t>
        </is>
      </c>
      <c r="AB398" s="102" t="n">
        <v>0</v>
      </c>
      <c r="AC398" s="28" t="inlineStr">
        <is>
          <t>Met</t>
        </is>
      </c>
      <c r="AD398" s="102" t="n">
        <v>0</v>
      </c>
      <c r="AE398" s="28" t="inlineStr">
        <is>
          <t>Met</t>
        </is>
      </c>
      <c r="AF398" s="119" t="n">
        <v>0</v>
      </c>
      <c r="AG398" s="202" t="inlineStr">
        <is>
          <t>Met</t>
        </is>
      </c>
      <c r="AH398" s="285" t="n">
        <v>85</v>
      </c>
      <c r="AI398" s="285" t="inlineStr">
        <is>
          <t>Met</t>
        </is>
      </c>
      <c r="AJ398" s="149" t="n">
        <v>0.01</v>
      </c>
      <c r="AK398" s="202" t="inlineStr">
        <is>
          <t>Met</t>
        </is>
      </c>
    </row>
    <row r="399">
      <c r="A399" s="21" t="inlineStr">
        <is>
          <t>Sterling tools</t>
        </is>
      </c>
      <c r="B399" s="5" t="inlineStr">
        <is>
          <t>North</t>
        </is>
      </c>
      <c r="C399" s="277" t="inlineStr">
        <is>
          <t>Archana Trikha</t>
        </is>
      </c>
      <c r="D399" s="26" t="inlineStr">
        <is>
          <t>Rishab</t>
        </is>
      </c>
      <c r="E399" s="26" t="inlineStr">
        <is>
          <t>Category (A)</t>
        </is>
      </c>
      <c r="F399" s="21" t="inlineStr">
        <is>
          <t>Internal KPI</t>
        </is>
      </c>
      <c r="G399" s="21" t="inlineStr">
        <is>
          <t>No</t>
        </is>
      </c>
      <c r="H399" s="26" t="inlineStr">
        <is>
          <t>Time to Hire</t>
        </is>
      </c>
      <c r="I399" s="11" t="inlineStr">
        <is>
          <t>90 Days</t>
        </is>
      </c>
      <c r="J399" s="11" t="inlineStr">
        <is>
          <t>Not Reported</t>
        </is>
      </c>
      <c r="K399" s="28" t="inlineStr">
        <is>
          <t>Not Reported</t>
        </is>
      </c>
      <c r="L399" s="11" t="inlineStr">
        <is>
          <t>Not Reported</t>
        </is>
      </c>
      <c r="M399" s="28" t="inlineStr">
        <is>
          <t>Not Reported</t>
        </is>
      </c>
      <c r="N399" s="11" t="inlineStr">
        <is>
          <t>Not Reported</t>
        </is>
      </c>
      <c r="O399" s="28" t="inlineStr">
        <is>
          <t>Not Reported</t>
        </is>
      </c>
      <c r="P399" s="11" t="inlineStr">
        <is>
          <t>Not Reported</t>
        </is>
      </c>
      <c r="Q399" s="28" t="inlineStr">
        <is>
          <t>Not Reported</t>
        </is>
      </c>
      <c r="R399" s="28" t="inlineStr">
        <is>
          <t>Not Reported</t>
        </is>
      </c>
      <c r="S399" s="28" t="inlineStr">
        <is>
          <t xml:space="preserve">Not Reported </t>
        </is>
      </c>
      <c r="T399" s="11" t="inlineStr">
        <is>
          <t>64 Days</t>
        </is>
      </c>
      <c r="U399" s="28" t="inlineStr">
        <is>
          <t>Met</t>
        </is>
      </c>
      <c r="V399" s="17" t="inlineStr">
        <is>
          <t>86 Days</t>
        </is>
      </c>
      <c r="W399" s="28" t="inlineStr">
        <is>
          <t>Met</t>
        </is>
      </c>
      <c r="X399" s="17" t="inlineStr">
        <is>
          <t xml:space="preserve">93 Days </t>
        </is>
      </c>
      <c r="Y399" s="28" t="inlineStr">
        <is>
          <t>Not Met</t>
        </is>
      </c>
      <c r="Z399" s="17" t="inlineStr">
        <is>
          <t>87 Days</t>
        </is>
      </c>
      <c r="AA399" s="28" t="inlineStr">
        <is>
          <t>Met</t>
        </is>
      </c>
      <c r="AB399" s="17" t="n">
        <v>90</v>
      </c>
      <c r="AC399" s="28" t="inlineStr">
        <is>
          <t>Met</t>
        </is>
      </c>
      <c r="AD399" s="93" t="n">
        <v>90</v>
      </c>
      <c r="AE399" s="28" t="inlineStr">
        <is>
          <t>Met</t>
        </is>
      </c>
      <c r="AF399" s="93" t="n">
        <v>54</v>
      </c>
      <c r="AG399" s="202" t="inlineStr">
        <is>
          <t>Met</t>
        </is>
      </c>
      <c r="AH399" s="285" t="n">
        <v>100</v>
      </c>
      <c r="AI399" s="285" t="inlineStr">
        <is>
          <t>Met</t>
        </is>
      </c>
      <c r="AJ399" s="93" t="n">
        <v>89</v>
      </c>
      <c r="AK399" s="202" t="inlineStr">
        <is>
          <t>Met</t>
        </is>
      </c>
    </row>
    <row r="400">
      <c r="A400" s="21" t="inlineStr">
        <is>
          <t>Sterling tools</t>
        </is>
      </c>
      <c r="B400" s="5" t="inlineStr">
        <is>
          <t>North</t>
        </is>
      </c>
      <c r="C400" s="277" t="inlineStr">
        <is>
          <t>Archana Trikha</t>
        </is>
      </c>
      <c r="D400" s="26" t="inlineStr">
        <is>
          <t>Rishab</t>
        </is>
      </c>
      <c r="E400" s="26" t="inlineStr">
        <is>
          <t>Category (A)</t>
        </is>
      </c>
      <c r="F400" s="21" t="inlineStr">
        <is>
          <t>Internal KPI</t>
        </is>
      </c>
      <c r="G400" s="21" t="inlineStr">
        <is>
          <t>No</t>
        </is>
      </c>
      <c r="H400" s="26" t="inlineStr">
        <is>
          <t>Time to Fill</t>
        </is>
      </c>
      <c r="I400" s="11" t="inlineStr">
        <is>
          <t>60 Days</t>
        </is>
      </c>
      <c r="J400" s="11" t="inlineStr">
        <is>
          <t>Not Reported</t>
        </is>
      </c>
      <c r="K400" s="28" t="inlineStr">
        <is>
          <t>Not Reported</t>
        </is>
      </c>
      <c r="L400" s="11" t="inlineStr">
        <is>
          <t>Not Reported</t>
        </is>
      </c>
      <c r="M400" s="28" t="inlineStr">
        <is>
          <t>Not Reported</t>
        </is>
      </c>
      <c r="N400" s="11" t="inlineStr">
        <is>
          <t>Not Reported</t>
        </is>
      </c>
      <c r="O400" s="28" t="inlineStr">
        <is>
          <t>Not Reported</t>
        </is>
      </c>
      <c r="P400" s="11" t="inlineStr">
        <is>
          <t>Not Reported</t>
        </is>
      </c>
      <c r="Q400" s="28" t="inlineStr">
        <is>
          <t>Not Reported</t>
        </is>
      </c>
      <c r="R400" s="28" t="inlineStr">
        <is>
          <t>Not Reported</t>
        </is>
      </c>
      <c r="S400" s="28" t="inlineStr">
        <is>
          <t xml:space="preserve">Not Reported </t>
        </is>
      </c>
      <c r="T400" s="11" t="inlineStr">
        <is>
          <t>45 Days</t>
        </is>
      </c>
      <c r="U400" s="28" t="inlineStr">
        <is>
          <t>Met</t>
        </is>
      </c>
      <c r="V400" s="17" t="inlineStr">
        <is>
          <t>32 Days</t>
        </is>
      </c>
      <c r="W400" s="28" t="inlineStr">
        <is>
          <t>Met</t>
        </is>
      </c>
      <c r="X400" s="17" t="inlineStr">
        <is>
          <t xml:space="preserve">35 Days </t>
        </is>
      </c>
      <c r="Y400" s="28" t="inlineStr">
        <is>
          <t>Met</t>
        </is>
      </c>
      <c r="Z400" s="17" t="inlineStr">
        <is>
          <t>50 Days</t>
        </is>
      </c>
      <c r="AA400" s="28" t="inlineStr">
        <is>
          <t>Met</t>
        </is>
      </c>
      <c r="AB400" s="17" t="n">
        <v>35</v>
      </c>
      <c r="AC400" s="28" t="inlineStr">
        <is>
          <t>Met</t>
        </is>
      </c>
      <c r="AD400" s="93" t="n">
        <v>37</v>
      </c>
      <c r="AE400" s="28" t="inlineStr">
        <is>
          <t>Met</t>
        </is>
      </c>
      <c r="AF400" s="93" t="n">
        <v>33</v>
      </c>
      <c r="AG400" s="202" t="inlineStr">
        <is>
          <t>Met</t>
        </is>
      </c>
      <c r="AH400" s="285" t="n">
        <v>100</v>
      </c>
      <c r="AI400" s="285" t="inlineStr">
        <is>
          <t>Met</t>
        </is>
      </c>
      <c r="AJ400" s="93" t="n">
        <v>49</v>
      </c>
      <c r="AK400" s="202" t="inlineStr">
        <is>
          <t>Met</t>
        </is>
      </c>
    </row>
    <row r="401">
      <c r="A401" s="21" t="inlineStr">
        <is>
          <t>Sterling tools</t>
        </is>
      </c>
      <c r="B401" s="5" t="inlineStr">
        <is>
          <t>North</t>
        </is>
      </c>
      <c r="C401" s="277" t="inlineStr">
        <is>
          <t>Archana Trikha</t>
        </is>
      </c>
      <c r="D401" s="26" t="inlineStr">
        <is>
          <t>Rishab</t>
        </is>
      </c>
      <c r="E401" s="26" t="inlineStr">
        <is>
          <t>Category (A)</t>
        </is>
      </c>
      <c r="F401" s="21" t="inlineStr">
        <is>
          <t>Internal KPI</t>
        </is>
      </c>
      <c r="G401" s="21" t="inlineStr">
        <is>
          <t>No</t>
        </is>
      </c>
      <c r="H401" s="26" t="inlineStr">
        <is>
          <t>Ageing</t>
        </is>
      </c>
      <c r="I401" s="11" t="n">
        <v>0.2</v>
      </c>
      <c r="J401" s="11" t="inlineStr">
        <is>
          <t>Not Reported</t>
        </is>
      </c>
      <c r="K401" s="28" t="inlineStr">
        <is>
          <t>Not Reported</t>
        </is>
      </c>
      <c r="L401" s="11" t="inlineStr">
        <is>
          <t>Not Reported</t>
        </is>
      </c>
      <c r="M401" s="28" t="inlineStr">
        <is>
          <t>Not Reported</t>
        </is>
      </c>
      <c r="N401" s="11" t="inlineStr">
        <is>
          <t>Not Reported</t>
        </is>
      </c>
      <c r="O401" s="28" t="inlineStr">
        <is>
          <t>Not Reported</t>
        </is>
      </c>
      <c r="P401" s="11" t="inlineStr">
        <is>
          <t>Not Reported</t>
        </is>
      </c>
      <c r="Q401" s="28" t="inlineStr">
        <is>
          <t>Not Reported</t>
        </is>
      </c>
      <c r="R401" s="28" t="inlineStr">
        <is>
          <t>Not Reported</t>
        </is>
      </c>
      <c r="S401" s="28" t="inlineStr">
        <is>
          <t xml:space="preserve">Not Reported </t>
        </is>
      </c>
      <c r="T401" s="11" t="n">
        <v>0.41</v>
      </c>
      <c r="U401" s="28" t="inlineStr">
        <is>
          <t>Not Met</t>
        </is>
      </c>
      <c r="V401" s="18" t="n">
        <v>0.41</v>
      </c>
      <c r="W401" s="28" t="inlineStr">
        <is>
          <t>Not Met</t>
        </is>
      </c>
      <c r="X401" s="18" t="n">
        <v>0.41</v>
      </c>
      <c r="Y401" s="28" t="inlineStr">
        <is>
          <t>Not Met</t>
        </is>
      </c>
      <c r="Z401" s="18" t="n">
        <v>0.5</v>
      </c>
      <c r="AA401" s="28" t="inlineStr">
        <is>
          <t>Not Met</t>
        </is>
      </c>
      <c r="AB401" s="18" t="n">
        <v>0.23</v>
      </c>
      <c r="AC401" s="28" t="inlineStr">
        <is>
          <t>Not Met</t>
        </is>
      </c>
      <c r="AD401" s="96" t="n">
        <v>0.47</v>
      </c>
      <c r="AE401" s="28" t="inlineStr">
        <is>
          <t>Not Met</t>
        </is>
      </c>
      <c r="AF401" s="96" t="n">
        <v>0.5</v>
      </c>
      <c r="AG401" s="28" t="inlineStr">
        <is>
          <t>Not Met</t>
        </is>
      </c>
      <c r="AH401" s="285" t="n">
        <v>100</v>
      </c>
      <c r="AI401" s="285" t="inlineStr">
        <is>
          <t>Met</t>
        </is>
      </c>
      <c r="AJ401" s="96" t="n">
        <v>0.5</v>
      </c>
      <c r="AK401" s="28" t="inlineStr">
        <is>
          <t>Not Met</t>
        </is>
      </c>
    </row>
    <row r="402">
      <c r="A402" s="21" t="inlineStr">
        <is>
          <t>Sterling tools</t>
        </is>
      </c>
      <c r="B402" s="5" t="inlineStr">
        <is>
          <t>North</t>
        </is>
      </c>
      <c r="C402" s="277" t="inlineStr">
        <is>
          <t>Archana Trikha</t>
        </is>
      </c>
      <c r="D402" s="26" t="inlineStr">
        <is>
          <t>Rishab</t>
        </is>
      </c>
      <c r="E402" s="26" t="inlineStr">
        <is>
          <t>Category (A)</t>
        </is>
      </c>
      <c r="F402" s="21" t="inlineStr">
        <is>
          <t>Internal KPI</t>
        </is>
      </c>
      <c r="G402" s="21" t="inlineStr">
        <is>
          <t>No</t>
        </is>
      </c>
      <c r="H402" s="26" t="inlineStr">
        <is>
          <t>First Time Right Ratio</t>
        </is>
      </c>
      <c r="I402" s="11" t="n">
        <v>0.5</v>
      </c>
      <c r="J402" s="11" t="inlineStr">
        <is>
          <t>Not Reported</t>
        </is>
      </c>
      <c r="K402" s="28" t="inlineStr">
        <is>
          <t>Not Reported</t>
        </is>
      </c>
      <c r="L402" s="11" t="inlineStr">
        <is>
          <t>Not Reported</t>
        </is>
      </c>
      <c r="M402" s="28" t="inlineStr">
        <is>
          <t>Not Reported</t>
        </is>
      </c>
      <c r="N402" s="11" t="inlineStr">
        <is>
          <t>Not Reported</t>
        </is>
      </c>
      <c r="O402" s="28" t="inlineStr">
        <is>
          <t>Not Reported</t>
        </is>
      </c>
      <c r="P402" s="11" t="inlineStr">
        <is>
          <t>Not Reported</t>
        </is>
      </c>
      <c r="Q402" s="28" t="inlineStr">
        <is>
          <t>Not Reported</t>
        </is>
      </c>
      <c r="R402" s="28" t="inlineStr">
        <is>
          <t>Not Reported</t>
        </is>
      </c>
      <c r="S402" s="28" t="inlineStr">
        <is>
          <t xml:space="preserve">Not Reported </t>
        </is>
      </c>
      <c r="T402" s="11" t="n">
        <v>0.79</v>
      </c>
      <c r="U402" s="28" t="inlineStr">
        <is>
          <t>Met</t>
        </is>
      </c>
      <c r="V402" s="18" t="n">
        <v>0.72</v>
      </c>
      <c r="W402" s="28" t="inlineStr">
        <is>
          <t>Met</t>
        </is>
      </c>
      <c r="X402" s="18" t="n">
        <v>0.7</v>
      </c>
      <c r="Y402" s="28" t="inlineStr">
        <is>
          <t>Met</t>
        </is>
      </c>
      <c r="Z402" s="18" t="n">
        <v>0.8</v>
      </c>
      <c r="AA402" s="28" t="inlineStr">
        <is>
          <t>Met</t>
        </is>
      </c>
      <c r="AB402" s="18" t="n">
        <v>0.83</v>
      </c>
      <c r="AC402" s="28" t="inlineStr">
        <is>
          <t>Met</t>
        </is>
      </c>
      <c r="AD402" s="96" t="n">
        <v>0.83</v>
      </c>
      <c r="AE402" s="28" t="inlineStr">
        <is>
          <t>Met</t>
        </is>
      </c>
      <c r="AF402" s="96" t="n">
        <v>0.83</v>
      </c>
      <c r="AG402" s="202" t="inlineStr">
        <is>
          <t>Met</t>
        </is>
      </c>
      <c r="AH402" s="285" t="n">
        <v>100</v>
      </c>
      <c r="AI402" s="285" t="inlineStr">
        <is>
          <t>Met</t>
        </is>
      </c>
      <c r="AJ402" s="96" t="n">
        <v>0.77</v>
      </c>
      <c r="AK402" s="202" t="inlineStr">
        <is>
          <t>Met</t>
        </is>
      </c>
    </row>
    <row r="403">
      <c r="A403" s="21" t="inlineStr">
        <is>
          <t>Sterling tools</t>
        </is>
      </c>
      <c r="B403" s="5" t="inlineStr">
        <is>
          <t>North</t>
        </is>
      </c>
      <c r="C403" s="277" t="inlineStr">
        <is>
          <t>Archana Trikha</t>
        </is>
      </c>
      <c r="D403" s="26" t="inlineStr">
        <is>
          <t>Rishab</t>
        </is>
      </c>
      <c r="E403" s="26" t="inlineStr">
        <is>
          <t>Category (A)</t>
        </is>
      </c>
      <c r="F403" s="21" t="inlineStr">
        <is>
          <t>Internal KPI</t>
        </is>
      </c>
      <c r="G403" s="21" t="inlineStr">
        <is>
          <t>No</t>
        </is>
      </c>
      <c r="H403" s="26" t="inlineStr">
        <is>
          <t>Hit Ratio</t>
        </is>
      </c>
      <c r="I403" s="11" t="n">
        <v>0.05</v>
      </c>
      <c r="J403" s="11" t="inlineStr">
        <is>
          <t>Not Reported</t>
        </is>
      </c>
      <c r="K403" s="28" t="inlineStr">
        <is>
          <t>Not Reported</t>
        </is>
      </c>
      <c r="L403" s="11" t="inlineStr">
        <is>
          <t>Not Reported</t>
        </is>
      </c>
      <c r="M403" s="28" t="inlineStr">
        <is>
          <t>Not Reported</t>
        </is>
      </c>
      <c r="N403" s="11" t="inlineStr">
        <is>
          <t>Not Reported</t>
        </is>
      </c>
      <c r="O403" s="28" t="inlineStr">
        <is>
          <t>Not Reported</t>
        </is>
      </c>
      <c r="P403" s="11" t="inlineStr">
        <is>
          <t>Not Reported</t>
        </is>
      </c>
      <c r="Q403" s="28" t="inlineStr">
        <is>
          <t>Not Reported</t>
        </is>
      </c>
      <c r="R403" s="28" t="inlineStr">
        <is>
          <t>Not Reported</t>
        </is>
      </c>
      <c r="S403" s="28" t="inlineStr">
        <is>
          <t xml:space="preserve">Not Reported </t>
        </is>
      </c>
      <c r="T403" s="16" t="n">
        <v>0.04652777777777778</v>
      </c>
      <c r="U403" s="28" t="inlineStr">
        <is>
          <t>Met</t>
        </is>
      </c>
      <c r="V403" s="70" t="n">
        <v>0.04791666666666667</v>
      </c>
      <c r="W403" s="28" t="inlineStr">
        <is>
          <t>Met</t>
        </is>
      </c>
      <c r="X403" s="70" t="n">
        <v>0.04722222222222222</v>
      </c>
      <c r="Y403" s="28" t="inlineStr">
        <is>
          <t>Met</t>
        </is>
      </c>
      <c r="Z403" s="18" t="n">
        <v>0.16</v>
      </c>
      <c r="AA403" s="28" t="inlineStr">
        <is>
          <t>Met</t>
        </is>
      </c>
      <c r="AB403" s="70" t="n">
        <v>0.04583333333333333</v>
      </c>
      <c r="AC403" s="28" t="inlineStr">
        <is>
          <t>Met</t>
        </is>
      </c>
      <c r="AD403" s="150" t="n">
        <v>0.04513888888888889</v>
      </c>
      <c r="AE403" s="28" t="inlineStr">
        <is>
          <t>Met</t>
        </is>
      </c>
      <c r="AF403" s="150" t="n">
        <v>0.04583333333333333</v>
      </c>
      <c r="AG403" s="202" t="inlineStr">
        <is>
          <t>Met</t>
        </is>
      </c>
      <c r="AH403" s="285" t="n">
        <v>100</v>
      </c>
      <c r="AI403" s="285" t="inlineStr">
        <is>
          <t>Met</t>
        </is>
      </c>
      <c r="AJ403" s="150" t="n">
        <v>0.04791666666666667</v>
      </c>
      <c r="AK403" s="202" t="inlineStr">
        <is>
          <t>Met</t>
        </is>
      </c>
    </row>
    <row r="404">
      <c r="A404" s="21" t="inlineStr">
        <is>
          <t>Sterling tools</t>
        </is>
      </c>
      <c r="B404" s="5" t="inlineStr">
        <is>
          <t>North</t>
        </is>
      </c>
      <c r="C404" s="277" t="inlineStr">
        <is>
          <t>Archana Trikha</t>
        </is>
      </c>
      <c r="D404" s="26" t="inlineStr">
        <is>
          <t>Rishab</t>
        </is>
      </c>
      <c r="E404" s="26" t="inlineStr">
        <is>
          <t>Category (A)</t>
        </is>
      </c>
      <c r="F404" s="21" t="inlineStr">
        <is>
          <t>Internal KPI</t>
        </is>
      </c>
      <c r="G404" s="21" t="inlineStr">
        <is>
          <t>No</t>
        </is>
      </c>
      <c r="H404" s="26" t="inlineStr">
        <is>
          <t>Offer Drop</t>
        </is>
      </c>
      <c r="I404" s="11" t="n">
        <v>0.2</v>
      </c>
      <c r="J404" s="11" t="inlineStr">
        <is>
          <t>Not Reported</t>
        </is>
      </c>
      <c r="K404" s="28" t="inlineStr">
        <is>
          <t>Not Reported</t>
        </is>
      </c>
      <c r="L404" s="11" t="inlineStr">
        <is>
          <t>Not Reported</t>
        </is>
      </c>
      <c r="M404" s="28" t="inlineStr">
        <is>
          <t>Not Reported</t>
        </is>
      </c>
      <c r="N404" s="11" t="inlineStr">
        <is>
          <t>Not Reported</t>
        </is>
      </c>
      <c r="O404" s="28" t="inlineStr">
        <is>
          <t>Not Reported</t>
        </is>
      </c>
      <c r="P404" s="11" t="inlineStr">
        <is>
          <t>Not Reported</t>
        </is>
      </c>
      <c r="Q404" s="28" t="inlineStr">
        <is>
          <t>Not Reported</t>
        </is>
      </c>
      <c r="R404" s="28" t="inlineStr">
        <is>
          <t>Not Reported</t>
        </is>
      </c>
      <c r="S404" s="28" t="inlineStr">
        <is>
          <t xml:space="preserve">Not Reported </t>
        </is>
      </c>
      <c r="T404" s="11" t="n">
        <v>0.11</v>
      </c>
      <c r="U404" s="28" t="inlineStr">
        <is>
          <t>Met</t>
        </is>
      </c>
      <c r="V404" s="18" t="n">
        <v>0.08</v>
      </c>
      <c r="W404" s="28" t="inlineStr">
        <is>
          <t>Met</t>
        </is>
      </c>
      <c r="X404" s="18" t="n">
        <v>0.096</v>
      </c>
      <c r="Y404" s="28" t="inlineStr">
        <is>
          <t>Met</t>
        </is>
      </c>
      <c r="Z404" s="18" t="n">
        <v>0.33</v>
      </c>
      <c r="AA404" s="28" t="inlineStr">
        <is>
          <t>Not Met</t>
        </is>
      </c>
      <c r="AB404" s="18" t="n">
        <v>0.2</v>
      </c>
      <c r="AC404" s="28" t="inlineStr">
        <is>
          <t>Met</t>
        </is>
      </c>
      <c r="AD404" s="111" t="n">
        <v>0.11</v>
      </c>
      <c r="AE404" s="28" t="inlineStr">
        <is>
          <t>Met</t>
        </is>
      </c>
      <c r="AF404" s="111" t="n">
        <v>0.16</v>
      </c>
      <c r="AG404" s="202" t="inlineStr">
        <is>
          <t>Met</t>
        </is>
      </c>
      <c r="AH404" s="285" t="n">
        <v>100</v>
      </c>
      <c r="AI404" s="285" t="inlineStr">
        <is>
          <t>Met</t>
        </is>
      </c>
      <c r="AJ404" s="96" t="n">
        <v>0.19</v>
      </c>
      <c r="AK404" s="202" t="inlineStr">
        <is>
          <t>Met</t>
        </is>
      </c>
    </row>
    <row r="405">
      <c r="A405" s="21" t="inlineStr">
        <is>
          <t>Subros</t>
        </is>
      </c>
      <c r="B405" s="5" t="inlineStr">
        <is>
          <t>North</t>
        </is>
      </c>
      <c r="C405" s="277" t="inlineStr">
        <is>
          <t>Archana Trikha</t>
        </is>
      </c>
      <c r="D405" s="26" t="inlineStr">
        <is>
          <t>Rishab</t>
        </is>
      </c>
      <c r="E405" s="26" t="inlineStr">
        <is>
          <t>Category (A)</t>
        </is>
      </c>
      <c r="F405" s="21" t="inlineStr">
        <is>
          <t>Internal KPI</t>
        </is>
      </c>
      <c r="G405" s="21" t="inlineStr">
        <is>
          <t>No</t>
        </is>
      </c>
      <c r="H405" s="26" t="inlineStr">
        <is>
          <t>Time to Hire</t>
        </is>
      </c>
      <c r="I405" s="11" t="inlineStr">
        <is>
          <t xml:space="preserve">90 Days </t>
        </is>
      </c>
      <c r="J405" s="9" t="inlineStr">
        <is>
          <t>22 Days</t>
        </is>
      </c>
      <c r="K405" s="28" t="inlineStr">
        <is>
          <t>Met</t>
        </is>
      </c>
      <c r="L405" s="28" t="inlineStr">
        <is>
          <t xml:space="preserve">48 Days </t>
        </is>
      </c>
      <c r="M405" s="28" t="inlineStr">
        <is>
          <t>Met</t>
        </is>
      </c>
      <c r="N405" s="9" t="inlineStr">
        <is>
          <t xml:space="preserve">85 Days </t>
        </is>
      </c>
      <c r="O405" s="28" t="inlineStr">
        <is>
          <t>Met</t>
        </is>
      </c>
      <c r="P405" s="9" t="inlineStr">
        <is>
          <t xml:space="preserve">50 Days </t>
        </is>
      </c>
      <c r="Q405" s="28" t="inlineStr">
        <is>
          <t>Met</t>
        </is>
      </c>
      <c r="R405" s="9" t="inlineStr">
        <is>
          <t xml:space="preserve">103 Days </t>
        </is>
      </c>
      <c r="S405" s="28" t="inlineStr">
        <is>
          <t>Not Met</t>
        </is>
      </c>
      <c r="T405" s="9" t="inlineStr">
        <is>
          <t xml:space="preserve">89 Days </t>
        </is>
      </c>
      <c r="U405" s="28" t="inlineStr">
        <is>
          <t>Met</t>
        </is>
      </c>
      <c r="V405" s="28" t="inlineStr">
        <is>
          <t>Not Reported</t>
        </is>
      </c>
      <c r="W405" s="28" t="inlineStr">
        <is>
          <t>Not Reported</t>
        </is>
      </c>
      <c r="X405" s="28" t="inlineStr">
        <is>
          <t>Not Reported</t>
        </is>
      </c>
      <c r="Y405" s="28" t="inlineStr">
        <is>
          <t>Not Reported</t>
        </is>
      </c>
      <c r="Z405" s="9" t="inlineStr">
        <is>
          <t xml:space="preserve">108 Days </t>
        </is>
      </c>
      <c r="AA405" s="28" t="inlineStr">
        <is>
          <t>Not Met</t>
        </is>
      </c>
      <c r="AB405" s="117" t="n">
        <v>135</v>
      </c>
      <c r="AC405" s="28" t="inlineStr">
        <is>
          <t>Not Met</t>
        </is>
      </c>
      <c r="AD405" s="151" t="n">
        <v>112</v>
      </c>
      <c r="AE405" s="28" t="inlineStr">
        <is>
          <t>Not Met</t>
        </is>
      </c>
      <c r="AF405" s="158" t="n">
        <v>44</v>
      </c>
      <c r="AG405" s="202" t="inlineStr">
        <is>
          <t>Met</t>
        </is>
      </c>
      <c r="AH405" s="285" t="n">
        <v>42</v>
      </c>
      <c r="AI405" s="285" t="inlineStr">
        <is>
          <t>Not Met</t>
        </is>
      </c>
      <c r="AJ405" s="151" t="n">
        <v>84</v>
      </c>
      <c r="AK405" s="202" t="inlineStr">
        <is>
          <t>Met</t>
        </is>
      </c>
    </row>
    <row r="406">
      <c r="A406" s="21" t="inlineStr">
        <is>
          <t>Subros</t>
        </is>
      </c>
      <c r="B406" s="5" t="inlineStr">
        <is>
          <t>North</t>
        </is>
      </c>
      <c r="C406" s="277" t="inlineStr">
        <is>
          <t>Archana Trikha</t>
        </is>
      </c>
      <c r="D406" s="26" t="inlineStr">
        <is>
          <t>Rishab</t>
        </is>
      </c>
      <c r="E406" s="26" t="inlineStr">
        <is>
          <t>Category (A)</t>
        </is>
      </c>
      <c r="F406" s="21" t="inlineStr">
        <is>
          <t>Internal KPI</t>
        </is>
      </c>
      <c r="G406" s="21" t="inlineStr">
        <is>
          <t>No</t>
        </is>
      </c>
      <c r="H406" s="26" t="inlineStr">
        <is>
          <t>Time to Fill</t>
        </is>
      </c>
      <c r="I406" s="11" t="inlineStr">
        <is>
          <t xml:space="preserve">60 Days </t>
        </is>
      </c>
      <c r="J406" s="14" t="inlineStr">
        <is>
          <t xml:space="preserve">29 Days </t>
        </is>
      </c>
      <c r="K406" s="28" t="inlineStr">
        <is>
          <t>Met</t>
        </is>
      </c>
      <c r="L406" s="28" t="inlineStr">
        <is>
          <t xml:space="preserve">NA </t>
        </is>
      </c>
      <c r="M406" s="20" t="inlineStr">
        <is>
          <t>NA</t>
        </is>
      </c>
      <c r="N406" s="14" t="inlineStr">
        <is>
          <t xml:space="preserve">41 Days </t>
        </is>
      </c>
      <c r="O406" s="28" t="inlineStr">
        <is>
          <t>Met</t>
        </is>
      </c>
      <c r="P406" s="14" t="inlineStr">
        <is>
          <t xml:space="preserve">33 Days </t>
        </is>
      </c>
      <c r="Q406" s="28" t="inlineStr">
        <is>
          <t>Met</t>
        </is>
      </c>
      <c r="R406" s="14" t="inlineStr">
        <is>
          <t xml:space="preserve">60 Days </t>
        </is>
      </c>
      <c r="S406" s="28" t="inlineStr">
        <is>
          <t>Met</t>
        </is>
      </c>
      <c r="T406" s="14" t="inlineStr">
        <is>
          <t xml:space="preserve">74 Days </t>
        </is>
      </c>
      <c r="U406" s="28" t="inlineStr">
        <is>
          <t>Not Met</t>
        </is>
      </c>
      <c r="V406" s="28" t="inlineStr">
        <is>
          <t>Not Reported</t>
        </is>
      </c>
      <c r="W406" s="28" t="inlineStr">
        <is>
          <t>Not Reported</t>
        </is>
      </c>
      <c r="X406" s="28" t="inlineStr">
        <is>
          <t>Not Reported</t>
        </is>
      </c>
      <c r="Y406" s="28" t="inlineStr">
        <is>
          <t>Not Reported</t>
        </is>
      </c>
      <c r="Z406" s="14" t="inlineStr">
        <is>
          <t xml:space="preserve">51 Days </t>
        </is>
      </c>
      <c r="AA406" s="28" t="inlineStr">
        <is>
          <t>Met</t>
        </is>
      </c>
      <c r="AB406" s="6" t="n">
        <v>59</v>
      </c>
      <c r="AC406" s="28" t="inlineStr">
        <is>
          <t>Met</t>
        </is>
      </c>
      <c r="AD406" s="152" t="n">
        <v>33</v>
      </c>
      <c r="AE406" s="28" t="inlineStr">
        <is>
          <t>Met</t>
        </is>
      </c>
      <c r="AF406" s="147" t="n">
        <v>57</v>
      </c>
      <c r="AG406" s="202" t="inlineStr">
        <is>
          <t>Met</t>
        </is>
      </c>
      <c r="AH406" s="285" t="n">
        <v>42</v>
      </c>
      <c r="AI406" s="285" t="inlineStr">
        <is>
          <t>Not Met</t>
        </is>
      </c>
      <c r="AJ406" s="152" t="n">
        <v>46</v>
      </c>
      <c r="AK406" s="202" t="inlineStr">
        <is>
          <t>Met</t>
        </is>
      </c>
    </row>
    <row r="407">
      <c r="A407" s="21" t="inlineStr">
        <is>
          <t>Subros</t>
        </is>
      </c>
      <c r="B407" s="5" t="inlineStr">
        <is>
          <t>North</t>
        </is>
      </c>
      <c r="C407" s="277" t="inlineStr">
        <is>
          <t>Archana Trikha</t>
        </is>
      </c>
      <c r="D407" s="26" t="inlineStr">
        <is>
          <t>Rishab</t>
        </is>
      </c>
      <c r="E407" s="26" t="inlineStr">
        <is>
          <t>Category (A)</t>
        </is>
      </c>
      <c r="F407" s="21" t="inlineStr">
        <is>
          <t>Internal KPI</t>
        </is>
      </c>
      <c r="G407" s="21" t="inlineStr">
        <is>
          <t>No</t>
        </is>
      </c>
      <c r="H407" s="26" t="inlineStr">
        <is>
          <t>Ageing</t>
        </is>
      </c>
      <c r="I407" s="11" t="n">
        <v>0.2</v>
      </c>
      <c r="J407" s="20" t="n">
        <v>0.45</v>
      </c>
      <c r="K407" s="28" t="inlineStr">
        <is>
          <t>Not Met</t>
        </is>
      </c>
      <c r="L407" s="20" t="n">
        <v>0.9393939393939394</v>
      </c>
      <c r="M407" s="28" t="inlineStr">
        <is>
          <t>Not Met</t>
        </is>
      </c>
      <c r="N407" s="20" t="n">
        <v>0.7596153846153846</v>
      </c>
      <c r="O407" s="28" t="inlineStr">
        <is>
          <t>Not Met</t>
        </is>
      </c>
      <c r="P407" s="20" t="n">
        <v>0.7596153846153846</v>
      </c>
      <c r="Q407" s="28" t="inlineStr">
        <is>
          <t>Not Met</t>
        </is>
      </c>
      <c r="R407" s="20" t="n">
        <v>0.7596153846153846</v>
      </c>
      <c r="S407" s="28" t="inlineStr">
        <is>
          <t>Not Met</t>
        </is>
      </c>
      <c r="T407" s="20" t="n">
        <v>0.9090909090909091</v>
      </c>
      <c r="U407" s="28" t="inlineStr">
        <is>
          <t>Not Met</t>
        </is>
      </c>
      <c r="V407" s="28" t="inlineStr">
        <is>
          <t>Not Reported</t>
        </is>
      </c>
      <c r="W407" s="28" t="inlineStr">
        <is>
          <t>Not Reported</t>
        </is>
      </c>
      <c r="X407" s="28" t="inlineStr">
        <is>
          <t>Not Reported</t>
        </is>
      </c>
      <c r="Y407" s="28" t="inlineStr">
        <is>
          <t>Not Reported</t>
        </is>
      </c>
      <c r="Z407" s="20" t="n">
        <v>0.32</v>
      </c>
      <c r="AA407" s="28" t="inlineStr">
        <is>
          <t>Not Met</t>
        </is>
      </c>
      <c r="AB407" s="118" t="n">
        <v>0.4328358208955224</v>
      </c>
      <c r="AC407" s="28" t="inlineStr">
        <is>
          <t>Not Met</t>
        </is>
      </c>
      <c r="AD407" s="153">
        <f>22/56</f>
        <v/>
      </c>
      <c r="AE407" s="28" t="inlineStr">
        <is>
          <t>Not Met</t>
        </is>
      </c>
      <c r="AF407" s="153" t="n">
        <v>0.67</v>
      </c>
      <c r="AG407" s="28" t="inlineStr">
        <is>
          <t>Not Met</t>
        </is>
      </c>
      <c r="AH407" s="285" t="n">
        <v>42</v>
      </c>
      <c r="AI407" s="285" t="inlineStr">
        <is>
          <t>Not Met</t>
        </is>
      </c>
      <c r="AJ407" s="153" t="n">
        <v>0.67</v>
      </c>
      <c r="AK407" s="28" t="inlineStr">
        <is>
          <t>Not Met</t>
        </is>
      </c>
    </row>
    <row r="408">
      <c r="A408" s="21" t="inlineStr">
        <is>
          <t>Subros</t>
        </is>
      </c>
      <c r="B408" s="5" t="inlineStr">
        <is>
          <t>North</t>
        </is>
      </c>
      <c r="C408" s="277" t="inlineStr">
        <is>
          <t>Archana Trikha</t>
        </is>
      </c>
      <c r="D408" s="26" t="inlineStr">
        <is>
          <t>Rishab</t>
        </is>
      </c>
      <c r="E408" s="26" t="inlineStr">
        <is>
          <t>Category (A)</t>
        </is>
      </c>
      <c r="F408" s="21" t="inlineStr">
        <is>
          <t>Internal KPI</t>
        </is>
      </c>
      <c r="G408" s="21" t="inlineStr">
        <is>
          <t>No</t>
        </is>
      </c>
      <c r="H408" s="26" t="inlineStr">
        <is>
          <t>First Time Right Ratio</t>
        </is>
      </c>
      <c r="I408" s="11" t="n">
        <v>0.7</v>
      </c>
      <c r="J408" s="52" t="n">
        <v>0.5289256198347108</v>
      </c>
      <c r="K408" s="28" t="inlineStr">
        <is>
          <t>Not Met</t>
        </is>
      </c>
      <c r="L408" s="52" t="n">
        <v>0.5121951219512195</v>
      </c>
      <c r="M408" s="28" t="inlineStr">
        <is>
          <t>Not Met</t>
        </is>
      </c>
      <c r="N408" s="52" t="n">
        <v>0.4680851063829787</v>
      </c>
      <c r="O408" s="28" t="inlineStr">
        <is>
          <t>Not Met</t>
        </is>
      </c>
      <c r="P408" s="52" t="n">
        <v>0.5119617224880383</v>
      </c>
      <c r="Q408" s="28" t="inlineStr">
        <is>
          <t>Not Met</t>
        </is>
      </c>
      <c r="R408" s="52" t="n">
        <v>0.4863813229571984</v>
      </c>
      <c r="S408" s="28" t="inlineStr">
        <is>
          <t>Not Met</t>
        </is>
      </c>
      <c r="T408" s="52" t="n">
        <v>0.5769230769230769</v>
      </c>
      <c r="U408" s="28" t="inlineStr">
        <is>
          <t>Not Met</t>
        </is>
      </c>
      <c r="V408" s="28" t="inlineStr">
        <is>
          <t>Not Reported</t>
        </is>
      </c>
      <c r="W408" s="28" t="inlineStr">
        <is>
          <t>Not Reported</t>
        </is>
      </c>
      <c r="X408" s="28" t="inlineStr">
        <is>
          <t>Not Reported</t>
        </is>
      </c>
      <c r="Y408" s="28" t="inlineStr">
        <is>
          <t>Not Reported</t>
        </is>
      </c>
      <c r="Z408" s="50" t="n">
        <v>0.5326086956521739</v>
      </c>
      <c r="AA408" s="28" t="inlineStr">
        <is>
          <t>Not Met</t>
        </is>
      </c>
      <c r="AB408" s="119" t="n">
        <v>0.5374149659863946</v>
      </c>
      <c r="AC408" s="28" t="inlineStr">
        <is>
          <t>Not Met</t>
        </is>
      </c>
      <c r="AD408" s="119">
        <f>117/175</f>
        <v/>
      </c>
      <c r="AE408" s="28" t="inlineStr">
        <is>
          <t>Not Met</t>
        </is>
      </c>
      <c r="AF408" s="119">
        <f>98/155</f>
        <v/>
      </c>
      <c r="AG408" s="28" t="inlineStr">
        <is>
          <t>Not Met</t>
        </is>
      </c>
      <c r="AH408" s="285" t="n">
        <v>42</v>
      </c>
      <c r="AI408" s="285" t="inlineStr">
        <is>
          <t>Not Met</t>
        </is>
      </c>
      <c r="AJ408" s="119" t="n">
        <v>0.55</v>
      </c>
      <c r="AK408" s="28" t="inlineStr">
        <is>
          <t>Not Met</t>
        </is>
      </c>
    </row>
    <row r="409">
      <c r="A409" s="21" t="inlineStr">
        <is>
          <t>Subros</t>
        </is>
      </c>
      <c r="B409" s="5" t="inlineStr">
        <is>
          <t>North</t>
        </is>
      </c>
      <c r="C409" s="277" t="inlineStr">
        <is>
          <t>Archana Trikha</t>
        </is>
      </c>
      <c r="D409" s="26" t="inlineStr">
        <is>
          <t>Rishab</t>
        </is>
      </c>
      <c r="E409" s="26" t="inlineStr">
        <is>
          <t>Category (A)</t>
        </is>
      </c>
      <c r="F409" s="21" t="inlineStr">
        <is>
          <t>Internal KPI</t>
        </is>
      </c>
      <c r="G409" s="21" t="inlineStr">
        <is>
          <t>No</t>
        </is>
      </c>
      <c r="H409" s="26" t="inlineStr">
        <is>
          <t>Hit Ratio</t>
        </is>
      </c>
      <c r="I409" s="11" t="n">
        <v>0.7</v>
      </c>
      <c r="J409" s="20" t="n">
        <v>0.03305785123966942</v>
      </c>
      <c r="K409" s="28" t="inlineStr">
        <is>
          <t>Not Met</t>
        </is>
      </c>
      <c r="L409" s="20" t="n">
        <v>0.1707317073170732</v>
      </c>
      <c r="M409" s="28" t="inlineStr">
        <is>
          <t>Not Met</t>
        </is>
      </c>
      <c r="N409" s="20" t="n">
        <v>0.1063829787234043</v>
      </c>
      <c r="O409" s="28" t="inlineStr">
        <is>
          <t>Not Met</t>
        </is>
      </c>
      <c r="P409" s="20" t="n">
        <v>0.07655502392344497</v>
      </c>
      <c r="Q409" s="28" t="inlineStr">
        <is>
          <t>Not Met</t>
        </is>
      </c>
      <c r="R409" s="20" t="n">
        <v>0.03501945525291829</v>
      </c>
      <c r="S409" s="28" t="inlineStr">
        <is>
          <t>Not Met</t>
        </is>
      </c>
      <c r="T409" s="20" t="n">
        <v>0.07692307692307693</v>
      </c>
      <c r="U409" s="28" t="inlineStr">
        <is>
          <t>Not Met</t>
        </is>
      </c>
      <c r="V409" s="28" t="inlineStr">
        <is>
          <t>Not Reported</t>
        </is>
      </c>
      <c r="W409" s="28" t="inlineStr">
        <is>
          <t>Not Reported</t>
        </is>
      </c>
      <c r="X409" s="28" t="inlineStr">
        <is>
          <t>Not Reported</t>
        </is>
      </c>
      <c r="Y409" s="28" t="inlineStr">
        <is>
          <t>Not Reported</t>
        </is>
      </c>
      <c r="Z409" s="20" t="n">
        <v>0.1630434782608696</v>
      </c>
      <c r="AA409" s="28" t="inlineStr">
        <is>
          <t>Not Met</t>
        </is>
      </c>
      <c r="AB409" s="118" t="n">
        <v>0</v>
      </c>
      <c r="AC409" s="28" t="inlineStr">
        <is>
          <t>Not Met</t>
        </is>
      </c>
      <c r="AD409" s="153">
        <f>13/175</f>
        <v/>
      </c>
      <c r="AE409" s="28" t="inlineStr">
        <is>
          <t>Not Met</t>
        </is>
      </c>
      <c r="AF409" s="149">
        <f>7/155</f>
        <v/>
      </c>
      <c r="AG409" s="28" t="inlineStr">
        <is>
          <t>Not Met</t>
        </is>
      </c>
      <c r="AH409" s="285" t="n">
        <v>42</v>
      </c>
      <c r="AI409" s="285" t="inlineStr">
        <is>
          <t>Not Met</t>
        </is>
      </c>
      <c r="AJ409" s="153" t="n">
        <v>0.07000000000000001</v>
      </c>
      <c r="AK409" s="28" t="inlineStr">
        <is>
          <t>Not Met</t>
        </is>
      </c>
    </row>
    <row r="410">
      <c r="A410" s="21" t="inlineStr">
        <is>
          <t>Subros</t>
        </is>
      </c>
      <c r="B410" s="5" t="inlineStr">
        <is>
          <t>North</t>
        </is>
      </c>
      <c r="C410" s="277" t="inlineStr">
        <is>
          <t>Archana Trikha</t>
        </is>
      </c>
      <c r="D410" s="26" t="inlineStr">
        <is>
          <t>Rishab</t>
        </is>
      </c>
      <c r="E410" s="26" t="inlineStr">
        <is>
          <t>Category (A)</t>
        </is>
      </c>
      <c r="F410" s="21" t="inlineStr">
        <is>
          <t>Internal KPI</t>
        </is>
      </c>
      <c r="G410" s="21" t="inlineStr">
        <is>
          <t>No</t>
        </is>
      </c>
      <c r="H410" s="26" t="inlineStr">
        <is>
          <t>Offer Drop</t>
        </is>
      </c>
      <c r="I410" s="11" t="n">
        <v>0.1</v>
      </c>
      <c r="J410" s="11" t="n">
        <v>0</v>
      </c>
      <c r="K410" s="28" t="inlineStr">
        <is>
          <t>Met</t>
        </is>
      </c>
      <c r="L410" s="28" t="inlineStr">
        <is>
          <t xml:space="preserve">NA </t>
        </is>
      </c>
      <c r="M410" s="20" t="inlineStr">
        <is>
          <t>NA</t>
        </is>
      </c>
      <c r="N410" s="11" t="n">
        <v>0</v>
      </c>
      <c r="O410" s="28" t="inlineStr">
        <is>
          <t>Met</t>
        </is>
      </c>
      <c r="P410" s="11" t="n">
        <v>0</v>
      </c>
      <c r="Q410" s="28" t="inlineStr">
        <is>
          <t>Met</t>
        </is>
      </c>
      <c r="R410" s="11" t="n">
        <v>0</v>
      </c>
      <c r="S410" s="28" t="inlineStr">
        <is>
          <t>Met</t>
        </is>
      </c>
      <c r="T410" s="11" t="n">
        <v>0</v>
      </c>
      <c r="U410" s="28" t="inlineStr">
        <is>
          <t>Met</t>
        </is>
      </c>
      <c r="V410" s="28" t="inlineStr">
        <is>
          <t>Not Reported</t>
        </is>
      </c>
      <c r="W410" s="28" t="inlineStr">
        <is>
          <t>Not Reported</t>
        </is>
      </c>
      <c r="X410" s="28" t="inlineStr">
        <is>
          <t>Not Reported</t>
        </is>
      </c>
      <c r="Y410" s="28" t="inlineStr">
        <is>
          <t>Not Reported</t>
        </is>
      </c>
      <c r="Z410" s="11" t="n">
        <v>0</v>
      </c>
      <c r="AA410" s="28" t="inlineStr">
        <is>
          <t>Met</t>
        </is>
      </c>
      <c r="AB410" s="120" t="n">
        <v>0</v>
      </c>
      <c r="AC410" s="28" t="inlineStr">
        <is>
          <t>Met</t>
        </is>
      </c>
      <c r="AD410" s="154">
        <f>0/1</f>
        <v/>
      </c>
      <c r="AE410" s="28" t="inlineStr">
        <is>
          <t>Met</t>
        </is>
      </c>
      <c r="AF410" s="135">
        <f>0/7</f>
        <v/>
      </c>
      <c r="AG410" s="202" t="inlineStr">
        <is>
          <t>Met</t>
        </is>
      </c>
      <c r="AH410" s="285" t="n">
        <v>42</v>
      </c>
      <c r="AI410" s="285" t="inlineStr">
        <is>
          <t>Not Met</t>
        </is>
      </c>
      <c r="AJ410" s="154">
        <f>0/3</f>
        <v/>
      </c>
      <c r="AK410" s="202" t="inlineStr">
        <is>
          <t>Met</t>
        </is>
      </c>
    </row>
    <row r="411">
      <c r="A411" s="21" t="inlineStr">
        <is>
          <t>Subros</t>
        </is>
      </c>
      <c r="B411" s="5" t="inlineStr">
        <is>
          <t>North</t>
        </is>
      </c>
      <c r="C411" s="277" t="inlineStr">
        <is>
          <t>Archana Trikha</t>
        </is>
      </c>
      <c r="D411" s="26" t="inlineStr">
        <is>
          <t>Rishab</t>
        </is>
      </c>
      <c r="E411" s="26" t="inlineStr">
        <is>
          <t>Category (A)</t>
        </is>
      </c>
      <c r="F411" s="21" t="inlineStr">
        <is>
          <t>Internal KPI</t>
        </is>
      </c>
      <c r="G411" s="21" t="inlineStr">
        <is>
          <t>No</t>
        </is>
      </c>
      <c r="H411" s="26" t="inlineStr">
        <is>
          <t xml:space="preserve">Fulfilment </t>
        </is>
      </c>
      <c r="I411" s="11" t="n">
        <v>0.3</v>
      </c>
      <c r="J411" s="20" t="n">
        <v>0.025</v>
      </c>
      <c r="K411" s="28" t="inlineStr">
        <is>
          <t>Not Met</t>
        </is>
      </c>
      <c r="L411" s="20" t="n">
        <v>0.06060606060606061</v>
      </c>
      <c r="M411" s="28" t="inlineStr">
        <is>
          <t>Not Met</t>
        </is>
      </c>
      <c r="N411" s="20" t="n">
        <v>0.03225806451612903</v>
      </c>
      <c r="O411" s="28" t="inlineStr">
        <is>
          <t>Not Met</t>
        </is>
      </c>
      <c r="P411" s="20" t="n">
        <v>0.03846153846153846</v>
      </c>
      <c r="Q411" s="28" t="inlineStr">
        <is>
          <t>Not Met</t>
        </is>
      </c>
      <c r="R411" s="20" t="n">
        <v>0.1153846153846154</v>
      </c>
      <c r="S411" s="28" t="inlineStr">
        <is>
          <t>Not Met</t>
        </is>
      </c>
      <c r="T411" s="20" t="n">
        <v>0.09090909090909091</v>
      </c>
      <c r="U411" s="28" t="inlineStr">
        <is>
          <t>Not Met</t>
        </is>
      </c>
      <c r="V411" s="28" t="inlineStr">
        <is>
          <t>Not Reported</t>
        </is>
      </c>
      <c r="W411" s="28" t="inlineStr">
        <is>
          <t>Not Reported</t>
        </is>
      </c>
      <c r="X411" s="28" t="inlineStr">
        <is>
          <t>Not Reported</t>
        </is>
      </c>
      <c r="Y411" s="28" t="inlineStr">
        <is>
          <t>Not Reported</t>
        </is>
      </c>
      <c r="Z411" s="20" t="n">
        <v>0.24</v>
      </c>
      <c r="AA411" s="28" t="inlineStr">
        <is>
          <t>Not Met</t>
        </is>
      </c>
      <c r="AB411" s="118" t="n">
        <v>0.04477611940298507</v>
      </c>
      <c r="AC411" s="28" t="inlineStr">
        <is>
          <t>Not Met</t>
        </is>
      </c>
      <c r="AD411" s="153">
        <f>2/56</f>
        <v/>
      </c>
      <c r="AE411" s="28" t="inlineStr">
        <is>
          <t>Not Met</t>
        </is>
      </c>
      <c r="AF411" s="149">
        <f>3/48</f>
        <v/>
      </c>
      <c r="AG411" s="28" t="inlineStr">
        <is>
          <t>Not Met</t>
        </is>
      </c>
      <c r="AH411" s="285" t="n">
        <v>42</v>
      </c>
      <c r="AI411" s="285" t="inlineStr">
        <is>
          <t>Not Met</t>
        </is>
      </c>
      <c r="AJ411" s="153" t="n">
        <v>0.09</v>
      </c>
      <c r="AK411" s="28" t="inlineStr">
        <is>
          <t>Not Met</t>
        </is>
      </c>
    </row>
    <row r="412">
      <c r="A412" s="21" t="inlineStr">
        <is>
          <t>Subros</t>
        </is>
      </c>
      <c r="B412" s="5" t="inlineStr">
        <is>
          <t>North</t>
        </is>
      </c>
      <c r="C412" s="277" t="inlineStr">
        <is>
          <t>Archana Trikha</t>
        </is>
      </c>
      <c r="D412" s="26" t="inlineStr">
        <is>
          <t>Rishab</t>
        </is>
      </c>
      <c r="E412" s="26" t="inlineStr">
        <is>
          <t>Category (A)</t>
        </is>
      </c>
      <c r="F412" s="21" t="inlineStr">
        <is>
          <t>Internal KPI</t>
        </is>
      </c>
      <c r="G412" s="21" t="inlineStr">
        <is>
          <t>No</t>
        </is>
      </c>
      <c r="H412" s="26" t="inlineStr">
        <is>
          <t>Diversity</t>
        </is>
      </c>
      <c r="I412" s="11" t="n">
        <v>0.15</v>
      </c>
      <c r="J412" s="11" t="n">
        <v>0</v>
      </c>
      <c r="K412" s="28" t="inlineStr">
        <is>
          <t>Not Met</t>
        </is>
      </c>
      <c r="L412" s="11" t="n">
        <v>0</v>
      </c>
      <c r="M412" s="28" t="inlineStr">
        <is>
          <t>Not Met</t>
        </is>
      </c>
      <c r="N412" s="11" t="n">
        <v>0</v>
      </c>
      <c r="O412" s="28" t="inlineStr">
        <is>
          <t>Not Met</t>
        </is>
      </c>
      <c r="P412" s="11" t="n">
        <v>0</v>
      </c>
      <c r="Q412" s="28" t="inlineStr">
        <is>
          <t>Not Met</t>
        </is>
      </c>
      <c r="R412" s="11" t="n">
        <v>0</v>
      </c>
      <c r="S412" s="28" t="inlineStr">
        <is>
          <t>Not Met</t>
        </is>
      </c>
      <c r="T412" s="11" t="n">
        <v>0</v>
      </c>
      <c r="U412" s="28" t="inlineStr">
        <is>
          <t>Not Met</t>
        </is>
      </c>
      <c r="V412" s="28" t="inlineStr">
        <is>
          <t>Not Reported</t>
        </is>
      </c>
      <c r="W412" s="28" t="inlineStr">
        <is>
          <t>Not Reported</t>
        </is>
      </c>
      <c r="X412" s="28" t="inlineStr">
        <is>
          <t>Not Reported</t>
        </is>
      </c>
      <c r="Y412" s="28" t="inlineStr">
        <is>
          <t>Not Reported</t>
        </is>
      </c>
      <c r="Z412" s="11" t="n">
        <v>0</v>
      </c>
      <c r="AA412" s="28" t="inlineStr">
        <is>
          <t>Not Met</t>
        </is>
      </c>
      <c r="AB412" s="120" t="n">
        <v>0</v>
      </c>
      <c r="AC412" s="28" t="inlineStr">
        <is>
          <t>Not Met</t>
        </is>
      </c>
      <c r="AD412" s="154" t="inlineStr">
        <is>
          <t>NA</t>
        </is>
      </c>
      <c r="AE412" s="97" t="inlineStr">
        <is>
          <t>NA</t>
        </is>
      </c>
      <c r="AF412" s="193" t="inlineStr">
        <is>
          <t>NA</t>
        </is>
      </c>
      <c r="AG412" s="97" t="inlineStr">
        <is>
          <t>NA</t>
        </is>
      </c>
      <c r="AH412" s="285" t="n">
        <v>42</v>
      </c>
      <c r="AI412" s="285" t="inlineStr">
        <is>
          <t>Not Met</t>
        </is>
      </c>
      <c r="AJ412" s="193" t="inlineStr">
        <is>
          <t>NA</t>
        </is>
      </c>
      <c r="AK412" s="97" t="inlineStr">
        <is>
          <t>NA</t>
        </is>
      </c>
    </row>
    <row r="413">
      <c r="A413" s="21" t="inlineStr">
        <is>
          <t>TATA Consumer</t>
        </is>
      </c>
      <c r="B413" s="5" t="inlineStr">
        <is>
          <t>West 1</t>
        </is>
      </c>
      <c r="C413" s="76" t="inlineStr">
        <is>
          <t>Usha</t>
        </is>
      </c>
      <c r="D413" s="26" t="inlineStr">
        <is>
          <t>Himanshu Srivastava</t>
        </is>
      </c>
      <c r="E413" s="26" t="inlineStr">
        <is>
          <t>Category (B)</t>
        </is>
      </c>
      <c r="F413" s="21" t="inlineStr">
        <is>
          <t>Internal KPI</t>
        </is>
      </c>
      <c r="G413" s="21" t="inlineStr">
        <is>
          <t>No</t>
        </is>
      </c>
      <c r="H413" s="26" t="inlineStr">
        <is>
          <t>Time to Hire (Sales)</t>
        </is>
      </c>
      <c r="I413" s="11" t="inlineStr">
        <is>
          <t>75 Days</t>
        </is>
      </c>
      <c r="J413" s="28" t="n">
        <v>54</v>
      </c>
      <c r="K413" s="28" t="inlineStr">
        <is>
          <t>Met</t>
        </is>
      </c>
      <c r="L413" s="28" t="n">
        <v>52</v>
      </c>
      <c r="M413" s="28" t="inlineStr">
        <is>
          <t>Met</t>
        </is>
      </c>
      <c r="N413" s="28" t="inlineStr">
        <is>
          <t>NA</t>
        </is>
      </c>
      <c r="O413" s="28" t="inlineStr">
        <is>
          <t>NA</t>
        </is>
      </c>
      <c r="P413" s="28" t="inlineStr">
        <is>
          <t>NA</t>
        </is>
      </c>
      <c r="Q413" s="28" t="inlineStr">
        <is>
          <t>NA</t>
        </is>
      </c>
      <c r="R413" s="14" t="n">
        <v>44</v>
      </c>
      <c r="S413" s="28" t="inlineStr">
        <is>
          <t>Met</t>
        </is>
      </c>
      <c r="T413" s="14" t="n">
        <v>48</v>
      </c>
      <c r="U413" s="28" t="inlineStr">
        <is>
          <t>Met</t>
        </is>
      </c>
      <c r="V413" s="14" t="n">
        <v>48</v>
      </c>
      <c r="W413" s="28" t="inlineStr">
        <is>
          <t>Met</t>
        </is>
      </c>
      <c r="X413" s="14" t="inlineStr">
        <is>
          <t>Not Reported</t>
        </is>
      </c>
      <c r="Y413" s="28" t="inlineStr">
        <is>
          <t>Not Reported</t>
        </is>
      </c>
      <c r="Z413" s="14" t="n">
        <v>56</v>
      </c>
      <c r="AA413" s="28" t="inlineStr">
        <is>
          <t>Met</t>
        </is>
      </c>
      <c r="AB413" s="90" t="n">
        <v>57</v>
      </c>
      <c r="AC413" s="28" t="inlineStr">
        <is>
          <t>Met</t>
        </is>
      </c>
      <c r="AD413" s="152" t="n">
        <v>52</v>
      </c>
      <c r="AE413" s="28" t="inlineStr">
        <is>
          <t>Met</t>
        </is>
      </c>
      <c r="AF413" s="152" t="n">
        <v>43</v>
      </c>
      <c r="AG413" s="202" t="inlineStr">
        <is>
          <t>Met</t>
        </is>
      </c>
      <c r="AH413" s="285" t="n">
        <v>0</v>
      </c>
      <c r="AI413" s="285" t="inlineStr">
        <is>
          <t>Not Reported</t>
        </is>
      </c>
      <c r="AJ413" s="152" t="n">
        <v>51</v>
      </c>
      <c r="AK413" s="202" t="inlineStr">
        <is>
          <t>Met</t>
        </is>
      </c>
    </row>
    <row r="414">
      <c r="A414" s="21" t="inlineStr">
        <is>
          <t>TATA Consumer</t>
        </is>
      </c>
      <c r="B414" s="5" t="inlineStr">
        <is>
          <t>West 1</t>
        </is>
      </c>
      <c r="C414" s="76" t="inlineStr">
        <is>
          <t>Usha</t>
        </is>
      </c>
      <c r="D414" s="26" t="inlineStr">
        <is>
          <t>Himanshu Srivastava</t>
        </is>
      </c>
      <c r="E414" s="26" t="inlineStr">
        <is>
          <t>Category (B)</t>
        </is>
      </c>
      <c r="F414" s="21" t="inlineStr">
        <is>
          <t>Internal KPI</t>
        </is>
      </c>
      <c r="G414" s="21" t="inlineStr">
        <is>
          <t>No</t>
        </is>
      </c>
      <c r="H414" s="26" t="inlineStr">
        <is>
          <t>Time to Hire</t>
        </is>
      </c>
      <c r="I414" s="11" t="inlineStr">
        <is>
          <t>90 Days</t>
        </is>
      </c>
      <c r="J414" s="28" t="n">
        <v>94</v>
      </c>
      <c r="K414" s="28" t="inlineStr">
        <is>
          <t>Not Met</t>
        </is>
      </c>
      <c r="L414" s="28" t="n">
        <v>73</v>
      </c>
      <c r="M414" s="28" t="inlineStr">
        <is>
          <t>Met</t>
        </is>
      </c>
      <c r="N414" s="28" t="n">
        <v>65</v>
      </c>
      <c r="O414" s="28" t="inlineStr">
        <is>
          <t>Met</t>
        </is>
      </c>
      <c r="P414" s="28" t="n">
        <v>61</v>
      </c>
      <c r="Q414" s="28" t="inlineStr">
        <is>
          <t>Met</t>
        </is>
      </c>
      <c r="R414" s="14" t="n">
        <v>68</v>
      </c>
      <c r="S414" s="28" t="inlineStr">
        <is>
          <t>Met</t>
        </is>
      </c>
      <c r="T414" s="14" t="n">
        <v>72</v>
      </c>
      <c r="U414" s="28" t="inlineStr">
        <is>
          <t>Met</t>
        </is>
      </c>
      <c r="V414" s="14" t="n">
        <v>75</v>
      </c>
      <c r="W414" s="28" t="inlineStr">
        <is>
          <t>Met</t>
        </is>
      </c>
      <c r="X414" s="14" t="inlineStr">
        <is>
          <t>Not Reported</t>
        </is>
      </c>
      <c r="Y414" s="28" t="inlineStr">
        <is>
          <t>Not Reported</t>
        </is>
      </c>
      <c r="Z414" s="14" t="n">
        <v>75</v>
      </c>
      <c r="AA414" s="28" t="inlineStr">
        <is>
          <t>Met</t>
        </is>
      </c>
      <c r="AB414" s="90" t="n">
        <v>59</v>
      </c>
      <c r="AC414" s="28" t="inlineStr">
        <is>
          <t>Met</t>
        </is>
      </c>
      <c r="AD414" s="152" t="n">
        <v>66</v>
      </c>
      <c r="AE414" s="28" t="inlineStr">
        <is>
          <t>Met</t>
        </is>
      </c>
      <c r="AF414" s="152" t="n">
        <v>72</v>
      </c>
      <c r="AG414" s="202" t="inlineStr">
        <is>
          <t>Met</t>
        </is>
      </c>
      <c r="AH414" s="285" t="n">
        <v>0</v>
      </c>
      <c r="AI414" s="285" t="inlineStr">
        <is>
          <t>Not Reported</t>
        </is>
      </c>
      <c r="AJ414" s="152" t="n">
        <v>75</v>
      </c>
      <c r="AK414" s="202" t="inlineStr">
        <is>
          <t>Met</t>
        </is>
      </c>
    </row>
    <row r="415">
      <c r="A415" s="21" t="inlineStr">
        <is>
          <t>TATA Consumer</t>
        </is>
      </c>
      <c r="B415" s="5" t="inlineStr">
        <is>
          <t>West 1</t>
        </is>
      </c>
      <c r="C415" s="76" t="inlineStr">
        <is>
          <t>Usha</t>
        </is>
      </c>
      <c r="D415" s="26" t="inlineStr">
        <is>
          <t>Himanshu Srivastava</t>
        </is>
      </c>
      <c r="E415" s="26" t="inlineStr">
        <is>
          <t>Category (B)</t>
        </is>
      </c>
      <c r="F415" s="21" t="inlineStr">
        <is>
          <t>Internal KPI</t>
        </is>
      </c>
      <c r="G415" s="21" t="inlineStr">
        <is>
          <t>No</t>
        </is>
      </c>
      <c r="H415" s="26" t="inlineStr">
        <is>
          <t>Time to Fill (Sales)</t>
        </is>
      </c>
      <c r="I415" s="11" t="inlineStr">
        <is>
          <t>30 Days</t>
        </is>
      </c>
      <c r="J415" s="28" t="n">
        <v>22</v>
      </c>
      <c r="K415" s="28" t="inlineStr">
        <is>
          <t>Met</t>
        </is>
      </c>
      <c r="L415" s="28" t="n">
        <v>15</v>
      </c>
      <c r="M415" s="28" t="inlineStr">
        <is>
          <t>Met</t>
        </is>
      </c>
      <c r="N415" s="28" t="inlineStr">
        <is>
          <t>NA</t>
        </is>
      </c>
      <c r="O415" s="28" t="inlineStr">
        <is>
          <t>NA</t>
        </is>
      </c>
      <c r="P415" s="28" t="inlineStr">
        <is>
          <t>NA</t>
        </is>
      </c>
      <c r="Q415" s="28" t="inlineStr">
        <is>
          <t>NA</t>
        </is>
      </c>
      <c r="R415" s="14" t="n">
        <v>16</v>
      </c>
      <c r="S415" s="28" t="inlineStr">
        <is>
          <t>Met</t>
        </is>
      </c>
      <c r="T415" s="14" t="n">
        <v>18</v>
      </c>
      <c r="U415" s="28" t="inlineStr">
        <is>
          <t>Met</t>
        </is>
      </c>
      <c r="V415" s="14" t="n">
        <v>23</v>
      </c>
      <c r="W415" s="28" t="inlineStr">
        <is>
          <t>Met</t>
        </is>
      </c>
      <c r="X415" s="14" t="inlineStr">
        <is>
          <t>Not Reported</t>
        </is>
      </c>
      <c r="Y415" s="28" t="inlineStr">
        <is>
          <t>Not Reported</t>
        </is>
      </c>
      <c r="Z415" s="14" t="n">
        <v>21</v>
      </c>
      <c r="AA415" s="28" t="inlineStr">
        <is>
          <t>Met</t>
        </is>
      </c>
      <c r="AB415" s="90" t="n">
        <v>19</v>
      </c>
      <c r="AC415" s="28" t="inlineStr">
        <is>
          <t>Met</t>
        </is>
      </c>
      <c r="AD415" s="152" t="n">
        <v>17</v>
      </c>
      <c r="AE415" s="28" t="inlineStr">
        <is>
          <t>Met</t>
        </is>
      </c>
      <c r="AF415" s="152" t="n">
        <v>21</v>
      </c>
      <c r="AG415" s="202" t="inlineStr">
        <is>
          <t>Met</t>
        </is>
      </c>
      <c r="AH415" s="285" t="n">
        <v>0</v>
      </c>
      <c r="AI415" s="285" t="inlineStr">
        <is>
          <t>Not Reported</t>
        </is>
      </c>
      <c r="AJ415" s="152" t="n">
        <v>22</v>
      </c>
      <c r="AK415" s="202" t="inlineStr">
        <is>
          <t>Met</t>
        </is>
      </c>
    </row>
    <row r="416">
      <c r="A416" s="21" t="inlineStr">
        <is>
          <t>TATA Consumer</t>
        </is>
      </c>
      <c r="B416" s="5" t="inlineStr">
        <is>
          <t>West 1</t>
        </is>
      </c>
      <c r="C416" s="76" t="inlineStr">
        <is>
          <t>Usha</t>
        </is>
      </c>
      <c r="D416" s="26" t="inlineStr">
        <is>
          <t>Himanshu Srivastava</t>
        </is>
      </c>
      <c r="E416" s="26" t="inlineStr">
        <is>
          <t>Category (B)</t>
        </is>
      </c>
      <c r="F416" s="21" t="inlineStr">
        <is>
          <t>Internal KPI</t>
        </is>
      </c>
      <c r="G416" s="21" t="inlineStr">
        <is>
          <t>No</t>
        </is>
      </c>
      <c r="H416" s="26" t="inlineStr">
        <is>
          <t>Time to Fill</t>
        </is>
      </c>
      <c r="I416" s="11" t="inlineStr">
        <is>
          <t>40 Days</t>
        </is>
      </c>
      <c r="J416" s="28" t="n">
        <v>34</v>
      </c>
      <c r="K416" s="28" t="inlineStr">
        <is>
          <t>Met</t>
        </is>
      </c>
      <c r="L416" s="28" t="n">
        <v>36</v>
      </c>
      <c r="M416" s="28" t="inlineStr">
        <is>
          <t>Met</t>
        </is>
      </c>
      <c r="N416" s="28" t="n">
        <v>24</v>
      </c>
      <c r="O416" s="28" t="inlineStr">
        <is>
          <t>Met</t>
        </is>
      </c>
      <c r="P416" s="28" t="n">
        <v>25</v>
      </c>
      <c r="Q416" s="28" t="inlineStr">
        <is>
          <t>Met</t>
        </is>
      </c>
      <c r="R416" s="14" t="n">
        <v>27</v>
      </c>
      <c r="S416" s="28" t="inlineStr">
        <is>
          <t>Met</t>
        </is>
      </c>
      <c r="T416" s="14" t="n">
        <v>32</v>
      </c>
      <c r="U416" s="28" t="inlineStr">
        <is>
          <t>Met</t>
        </is>
      </c>
      <c r="V416" s="14" t="n">
        <v>32</v>
      </c>
      <c r="W416" s="28" t="inlineStr">
        <is>
          <t>Met</t>
        </is>
      </c>
      <c r="X416" s="14" t="inlineStr">
        <is>
          <t>Not Reported</t>
        </is>
      </c>
      <c r="Y416" s="28" t="inlineStr">
        <is>
          <t>Not Reported</t>
        </is>
      </c>
      <c r="Z416" s="14" t="n">
        <v>24</v>
      </c>
      <c r="AA416" s="28" t="inlineStr">
        <is>
          <t>Met</t>
        </is>
      </c>
      <c r="AB416" s="90" t="n">
        <v>32</v>
      </c>
      <c r="AC416" s="28" t="inlineStr">
        <is>
          <t>Met</t>
        </is>
      </c>
      <c r="AD416" s="152" t="n">
        <v>23</v>
      </c>
      <c r="AE416" s="28" t="inlineStr">
        <is>
          <t>Met</t>
        </is>
      </c>
      <c r="AF416" s="152" t="n">
        <v>26</v>
      </c>
      <c r="AG416" s="202" t="inlineStr">
        <is>
          <t>Met</t>
        </is>
      </c>
      <c r="AH416" s="285" t="n">
        <v>0</v>
      </c>
      <c r="AI416" s="285" t="inlineStr">
        <is>
          <t>Not Reported</t>
        </is>
      </c>
      <c r="AJ416" s="152" t="n">
        <v>33</v>
      </c>
      <c r="AK416" s="202" t="inlineStr">
        <is>
          <t>Met</t>
        </is>
      </c>
    </row>
    <row r="417">
      <c r="A417" s="21" t="inlineStr">
        <is>
          <t>TATA Consumer</t>
        </is>
      </c>
      <c r="B417" s="5" t="inlineStr">
        <is>
          <t>West 1</t>
        </is>
      </c>
      <c r="C417" s="76" t="inlineStr">
        <is>
          <t>Usha</t>
        </is>
      </c>
      <c r="D417" s="26" t="inlineStr">
        <is>
          <t>Himanshu Srivastava</t>
        </is>
      </c>
      <c r="E417" s="26" t="inlineStr">
        <is>
          <t>Category (B)</t>
        </is>
      </c>
      <c r="F417" s="21" t="inlineStr">
        <is>
          <t>Internal KPI</t>
        </is>
      </c>
      <c r="G417" s="21" t="inlineStr">
        <is>
          <t>No</t>
        </is>
      </c>
      <c r="H417" s="26" t="inlineStr">
        <is>
          <t>Ageing</t>
        </is>
      </c>
      <c r="I417" s="11" t="inlineStr">
        <is>
          <t>&lt;=20%</t>
        </is>
      </c>
      <c r="J417" s="29" t="n">
        <v>0.62</v>
      </c>
      <c r="K417" s="28" t="inlineStr">
        <is>
          <t>Not Met</t>
        </is>
      </c>
      <c r="L417" s="29" t="n">
        <v>0.21</v>
      </c>
      <c r="M417" s="28" t="inlineStr">
        <is>
          <t>Not Met</t>
        </is>
      </c>
      <c r="N417" s="20" t="n">
        <v>0.3452380952380952</v>
      </c>
      <c r="O417" s="28" t="inlineStr">
        <is>
          <t>Not Met</t>
        </is>
      </c>
      <c r="P417" s="20" t="n">
        <v>0.3452380952380952</v>
      </c>
      <c r="Q417" s="28" t="inlineStr">
        <is>
          <t>Not Met</t>
        </is>
      </c>
      <c r="R417" s="9" t="n">
        <v>15.25423728813559</v>
      </c>
      <c r="S417" s="28" t="inlineStr">
        <is>
          <t>Met</t>
        </is>
      </c>
      <c r="T417" s="9" t="n">
        <v>29.85074626865671</v>
      </c>
      <c r="U417" s="28" t="inlineStr">
        <is>
          <t>Not Met</t>
        </is>
      </c>
      <c r="V417" s="20" t="n">
        <v>0.1948051948051948</v>
      </c>
      <c r="W417" s="28" t="inlineStr">
        <is>
          <t>Met</t>
        </is>
      </c>
      <c r="X417" s="14" t="inlineStr">
        <is>
          <t>Not Reported</t>
        </is>
      </c>
      <c r="Y417" s="28" t="inlineStr">
        <is>
          <t>Not Reported</t>
        </is>
      </c>
      <c r="Z417" s="11" t="n">
        <v>0.1142857142857143</v>
      </c>
      <c r="AA417" s="28" t="inlineStr">
        <is>
          <t>Met</t>
        </is>
      </c>
      <c r="AB417" s="82" t="n">
        <v>0.1384615384615385</v>
      </c>
      <c r="AC417" s="28" t="inlineStr">
        <is>
          <t>Met</t>
        </is>
      </c>
      <c r="AD417" s="153" t="n">
        <v>0.04225352112676056</v>
      </c>
      <c r="AE417" s="28" t="inlineStr">
        <is>
          <t>Met</t>
        </is>
      </c>
      <c r="AF417" s="153">
        <f>26/142</f>
        <v/>
      </c>
      <c r="AG417" s="202" t="inlineStr">
        <is>
          <t>Met</t>
        </is>
      </c>
      <c r="AH417" s="285" t="n">
        <v>0</v>
      </c>
      <c r="AI417" s="285" t="inlineStr">
        <is>
          <t>Not Reported</t>
        </is>
      </c>
      <c r="AJ417" s="153" t="n">
        <v>0.18</v>
      </c>
      <c r="AK417" s="202" t="inlineStr">
        <is>
          <t>Met</t>
        </is>
      </c>
    </row>
    <row r="418">
      <c r="A418" s="21" t="inlineStr">
        <is>
          <t>TATA Consumer</t>
        </is>
      </c>
      <c r="B418" s="5" t="inlineStr">
        <is>
          <t>West 1</t>
        </is>
      </c>
      <c r="C418" s="76" t="inlineStr">
        <is>
          <t>Usha</t>
        </is>
      </c>
      <c r="D418" s="26" t="inlineStr">
        <is>
          <t>Himanshu Srivastava</t>
        </is>
      </c>
      <c r="E418" s="26" t="inlineStr">
        <is>
          <t>Category (B)</t>
        </is>
      </c>
      <c r="F418" s="21" t="inlineStr">
        <is>
          <t>Internal KPI</t>
        </is>
      </c>
      <c r="G418" s="21" t="inlineStr">
        <is>
          <t>No</t>
        </is>
      </c>
      <c r="H418" s="26" t="inlineStr">
        <is>
          <t>First Time Right Ratio</t>
        </is>
      </c>
      <c r="I418" s="11" t="n">
        <v>0.6</v>
      </c>
      <c r="J418" s="29" t="n">
        <v>0.68</v>
      </c>
      <c r="K418" s="28" t="inlineStr">
        <is>
          <t>Met</t>
        </is>
      </c>
      <c r="L418" s="29" t="n">
        <v>0.72</v>
      </c>
      <c r="M418" s="28" t="inlineStr">
        <is>
          <t>Met</t>
        </is>
      </c>
      <c r="N418" s="20" t="n">
        <v>0.6684636118598383</v>
      </c>
      <c r="O418" s="28" t="inlineStr">
        <is>
          <t>Met</t>
        </is>
      </c>
      <c r="P418" s="20" t="n">
        <v>0.6738265712012729</v>
      </c>
      <c r="Q418" s="28" t="inlineStr">
        <is>
          <t>Met</t>
        </is>
      </c>
      <c r="R418" s="9" t="n">
        <v>70.35175879396985</v>
      </c>
      <c r="S418" s="28" t="inlineStr">
        <is>
          <t>Met</t>
        </is>
      </c>
      <c r="T418" s="20" t="n">
        <v>0.648068669527897</v>
      </c>
      <c r="U418" s="28" t="inlineStr">
        <is>
          <t>Met</t>
        </is>
      </c>
      <c r="V418" s="20" t="n">
        <v>0.7308533916849015</v>
      </c>
      <c r="W418" s="28" t="inlineStr">
        <is>
          <t>Met</t>
        </is>
      </c>
      <c r="X418" s="14" t="inlineStr">
        <is>
          <t>Not Reported</t>
        </is>
      </c>
      <c r="Y418" s="28" t="inlineStr">
        <is>
          <t>Not Reported</t>
        </is>
      </c>
      <c r="Z418" s="20" t="n">
        <v>0.7068062827225131</v>
      </c>
      <c r="AA418" s="28" t="inlineStr">
        <is>
          <t>Met</t>
        </is>
      </c>
      <c r="AB418" s="82" t="n">
        <v>0.7095516569200779</v>
      </c>
      <c r="AC418" s="28" t="inlineStr">
        <is>
          <t>Met</t>
        </is>
      </c>
      <c r="AD418" s="153" t="n">
        <v>0.832520325203252</v>
      </c>
      <c r="AE418" s="28" t="inlineStr">
        <is>
          <t>Met</t>
        </is>
      </c>
      <c r="AF418" s="153">
        <f>503/726</f>
        <v/>
      </c>
      <c r="AG418" s="202" t="inlineStr">
        <is>
          <t>Met</t>
        </is>
      </c>
      <c r="AH418" s="285" t="n">
        <v>0</v>
      </c>
      <c r="AI418" s="285" t="inlineStr">
        <is>
          <t>Not Reported</t>
        </is>
      </c>
      <c r="AJ418" s="153">
        <f>3980/5657</f>
        <v/>
      </c>
      <c r="AK418" s="202" t="inlineStr">
        <is>
          <t>Met</t>
        </is>
      </c>
    </row>
    <row r="419">
      <c r="A419" s="21" t="inlineStr">
        <is>
          <t>TATA Consumer</t>
        </is>
      </c>
      <c r="B419" s="5" t="inlineStr">
        <is>
          <t>West 1</t>
        </is>
      </c>
      <c r="C419" s="76" t="inlineStr">
        <is>
          <t>Usha</t>
        </is>
      </c>
      <c r="D419" s="26" t="inlineStr">
        <is>
          <t>Himanshu Srivastava</t>
        </is>
      </c>
      <c r="E419" s="26" t="inlineStr">
        <is>
          <t>Category (B)</t>
        </is>
      </c>
      <c r="F419" s="21" t="inlineStr">
        <is>
          <t>Internal KPI</t>
        </is>
      </c>
      <c r="G419" s="21" t="inlineStr">
        <is>
          <t>No</t>
        </is>
      </c>
      <c r="H419" s="26" t="inlineStr">
        <is>
          <t>Hit Ratio</t>
        </is>
      </c>
      <c r="I419" s="16" t="n">
        <v>0.04583333333333333</v>
      </c>
      <c r="J419" s="49" t="n">
        <v>0.04583333333333333</v>
      </c>
      <c r="K419" s="28" t="inlineStr">
        <is>
          <t>Met</t>
        </is>
      </c>
      <c r="L419" s="49" t="n">
        <v>0.04791666666666667</v>
      </c>
      <c r="M419" s="28" t="inlineStr">
        <is>
          <t>Not Met</t>
        </is>
      </c>
      <c r="N419" s="49" t="n">
        <v>0.04652777777777778</v>
      </c>
      <c r="O419" s="28" t="inlineStr">
        <is>
          <t>Not Met</t>
        </is>
      </c>
      <c r="P419" s="49" t="n">
        <v>0.04652777777777778</v>
      </c>
      <c r="Q419" s="28" t="inlineStr">
        <is>
          <t>Not Met</t>
        </is>
      </c>
      <c r="R419" s="16" t="n">
        <v>0.04722222222222222</v>
      </c>
      <c r="S419" s="28" t="inlineStr">
        <is>
          <t>Not Met</t>
        </is>
      </c>
      <c r="T419" s="16" t="n">
        <v>0.05</v>
      </c>
      <c r="U419" s="28" t="inlineStr">
        <is>
          <t>Not Met</t>
        </is>
      </c>
      <c r="V419" s="16" t="n">
        <v>0.04583333333333333</v>
      </c>
      <c r="W419" s="28" t="inlineStr">
        <is>
          <t>Met</t>
        </is>
      </c>
      <c r="X419" s="14" t="inlineStr">
        <is>
          <t>Not Reported</t>
        </is>
      </c>
      <c r="Y419" s="28" t="inlineStr">
        <is>
          <t>Not Reported</t>
        </is>
      </c>
      <c r="Z419" s="49" t="n">
        <v>0.04375</v>
      </c>
      <c r="AA419" s="28" t="inlineStr">
        <is>
          <t>Met</t>
        </is>
      </c>
      <c r="AB419" s="113" t="n">
        <v>0.04722222222222222</v>
      </c>
      <c r="AC419" s="28" t="inlineStr">
        <is>
          <t>Not Met</t>
        </is>
      </c>
      <c r="AD419" s="124" t="n">
        <v>0.04722222222222222</v>
      </c>
      <c r="AE419" s="28" t="inlineStr">
        <is>
          <t>Not Met</t>
        </is>
      </c>
      <c r="AF419" s="260" t="n">
        <v>0.04722222222222222</v>
      </c>
      <c r="AG419" s="28" t="inlineStr">
        <is>
          <t>Not Met</t>
        </is>
      </c>
      <c r="AH419" s="285" t="n">
        <v>0</v>
      </c>
      <c r="AI419" s="285" t="inlineStr">
        <is>
          <t>Not Reported</t>
        </is>
      </c>
      <c r="AJ419" s="124" t="n">
        <v>0.04652777777777778</v>
      </c>
      <c r="AK419" s="28" t="inlineStr">
        <is>
          <t>Not Met</t>
        </is>
      </c>
    </row>
    <row r="420">
      <c r="A420" s="21" t="inlineStr">
        <is>
          <t>TATA Consumer</t>
        </is>
      </c>
      <c r="B420" s="5" t="inlineStr">
        <is>
          <t>West 1</t>
        </is>
      </c>
      <c r="C420" s="76" t="inlineStr">
        <is>
          <t>Usha</t>
        </is>
      </c>
      <c r="D420" s="26" t="inlineStr">
        <is>
          <t>Himanshu Srivastava</t>
        </is>
      </c>
      <c r="E420" s="26" t="inlineStr">
        <is>
          <t>Category (B)</t>
        </is>
      </c>
      <c r="F420" s="21" t="inlineStr">
        <is>
          <t>Internal KPI</t>
        </is>
      </c>
      <c r="G420" s="21" t="inlineStr">
        <is>
          <t>No</t>
        </is>
      </c>
      <c r="H420" s="26" t="inlineStr">
        <is>
          <t>Offer Drop</t>
        </is>
      </c>
      <c r="I420" s="11" t="n">
        <v>0.15</v>
      </c>
      <c r="J420" s="29" t="n">
        <v>0.24</v>
      </c>
      <c r="K420" s="28" t="inlineStr">
        <is>
          <t>Not Met</t>
        </is>
      </c>
      <c r="L420" s="29" t="n">
        <v>0.02</v>
      </c>
      <c r="M420" s="28" t="inlineStr">
        <is>
          <t>Met</t>
        </is>
      </c>
      <c r="N420" s="52" t="n">
        <v>0.1320754716981132</v>
      </c>
      <c r="O420" s="28" t="inlineStr">
        <is>
          <t>Met</t>
        </is>
      </c>
      <c r="P420" s="52" t="n">
        <v>0.2470588235294118</v>
      </c>
      <c r="Q420" s="28" t="inlineStr">
        <is>
          <t>Not Met</t>
        </is>
      </c>
      <c r="R420" s="20" t="n">
        <v>0.3166666666666667</v>
      </c>
      <c r="S420" s="28" t="inlineStr">
        <is>
          <t>Not Met</t>
        </is>
      </c>
      <c r="T420" s="20" t="n">
        <v>0.3818181818181818</v>
      </c>
      <c r="U420" s="28" t="inlineStr">
        <is>
          <t>Not Met</t>
        </is>
      </c>
      <c r="V420" s="20" t="n">
        <v>0.3518518518518519</v>
      </c>
      <c r="W420" s="28" t="inlineStr">
        <is>
          <t>Not Met</t>
        </is>
      </c>
      <c r="X420" s="14" t="inlineStr">
        <is>
          <t>Not Reported</t>
        </is>
      </c>
      <c r="Y420" s="28" t="inlineStr">
        <is>
          <t>Not Reported</t>
        </is>
      </c>
      <c r="Z420" s="29" t="n">
        <v>0.59</v>
      </c>
      <c r="AA420" s="28" t="inlineStr">
        <is>
          <t>Not Met</t>
        </is>
      </c>
      <c r="AB420" s="82" t="n">
        <v>0.08</v>
      </c>
      <c r="AC420" s="28" t="inlineStr">
        <is>
          <t>Met</t>
        </is>
      </c>
      <c r="AD420" s="126" t="n">
        <v>0.02</v>
      </c>
      <c r="AE420" s="28" t="inlineStr">
        <is>
          <t>Met</t>
        </is>
      </c>
      <c r="AF420" s="203" t="n">
        <v>0.07000000000000001</v>
      </c>
      <c r="AG420" s="202" t="inlineStr">
        <is>
          <t>Met</t>
        </is>
      </c>
      <c r="AH420" s="285" t="n">
        <v>0</v>
      </c>
      <c r="AI420" s="285" t="inlineStr">
        <is>
          <t>Not Reported</t>
        </is>
      </c>
      <c r="AJ420" s="274" t="n">
        <v>0.13</v>
      </c>
      <c r="AK420" s="202" t="inlineStr">
        <is>
          <t>Met</t>
        </is>
      </c>
    </row>
    <row r="421">
      <c r="A421" s="21" t="inlineStr">
        <is>
          <t>TATA Consumer</t>
        </is>
      </c>
      <c r="B421" s="5" t="inlineStr">
        <is>
          <t>West 1</t>
        </is>
      </c>
      <c r="C421" s="76" t="inlineStr">
        <is>
          <t>Usha</t>
        </is>
      </c>
      <c r="D421" s="26" t="inlineStr">
        <is>
          <t>Himanshu Srivastava</t>
        </is>
      </c>
      <c r="E421" s="26" t="inlineStr">
        <is>
          <t>Category (B)</t>
        </is>
      </c>
      <c r="F421" s="21" t="inlineStr">
        <is>
          <t>Contractual SLA</t>
        </is>
      </c>
      <c r="G421" s="21" t="inlineStr">
        <is>
          <t>Yes</t>
        </is>
      </c>
      <c r="H421" s="26" t="inlineStr">
        <is>
          <t xml:space="preserve">Fulfilment </t>
        </is>
      </c>
      <c r="I421" s="11" t="n">
        <v>0.9</v>
      </c>
      <c r="J421" s="29" t="n">
        <v>1.13</v>
      </c>
      <c r="K421" s="28" t="inlineStr">
        <is>
          <t>Met</t>
        </is>
      </c>
      <c r="L421" s="29" t="n">
        <v>1.1</v>
      </c>
      <c r="M421" s="28" t="inlineStr">
        <is>
          <t>Met</t>
        </is>
      </c>
      <c r="N421" s="20" t="n">
        <v>0.5476190476190477</v>
      </c>
      <c r="O421" s="28" t="inlineStr">
        <is>
          <t>Not Met</t>
        </is>
      </c>
      <c r="P421" s="20" t="n">
        <v>1.869047619047619</v>
      </c>
      <c r="Q421" s="28" t="inlineStr">
        <is>
          <t>Met</t>
        </is>
      </c>
      <c r="R421" s="11" t="n">
        <v>0.4067796610169492</v>
      </c>
      <c r="S421" s="28" t="inlineStr">
        <is>
          <t>Not Met</t>
        </is>
      </c>
      <c r="T421" s="20" t="n">
        <v>0.5373134328358209</v>
      </c>
      <c r="U421" s="28" t="inlineStr">
        <is>
          <t>Not Met</t>
        </is>
      </c>
      <c r="V421" s="20" t="n">
        <v>0.6233766233766234</v>
      </c>
      <c r="W421" s="28" t="inlineStr">
        <is>
          <t>Not Met</t>
        </is>
      </c>
      <c r="X421" s="14" t="inlineStr">
        <is>
          <t>Not Reported</t>
        </is>
      </c>
      <c r="Y421" s="28" t="inlineStr">
        <is>
          <t>Not Reported</t>
        </is>
      </c>
      <c r="Z421" s="20" t="n">
        <v>0.5714285714285714</v>
      </c>
      <c r="AA421" s="28" t="inlineStr">
        <is>
          <t>Not Met</t>
        </is>
      </c>
      <c r="AB421" s="82" t="n">
        <v>0.43</v>
      </c>
      <c r="AC421" s="28" t="inlineStr">
        <is>
          <t>Not Met</t>
        </is>
      </c>
      <c r="AD421" s="155" t="n">
        <v>0.3516483516483517</v>
      </c>
      <c r="AE421" s="28" t="inlineStr">
        <is>
          <t>Not Met</t>
        </is>
      </c>
      <c r="AF421" s="126" t="n">
        <v>0.25</v>
      </c>
      <c r="AG421" s="28" t="inlineStr">
        <is>
          <t>Not Met</t>
        </is>
      </c>
      <c r="AH421" s="285" t="n">
        <v>0</v>
      </c>
      <c r="AI421" s="285" t="inlineStr">
        <is>
          <t>Not Reported</t>
        </is>
      </c>
      <c r="AJ421" s="153" t="n">
        <v>0.59</v>
      </c>
      <c r="AK421" s="28" t="inlineStr">
        <is>
          <t>Not Met</t>
        </is>
      </c>
    </row>
    <row r="422">
      <c r="A422" s="21" t="inlineStr">
        <is>
          <t>TATA Consumer</t>
        </is>
      </c>
      <c r="B422" s="5" t="inlineStr">
        <is>
          <t>West 1</t>
        </is>
      </c>
      <c r="C422" s="76" t="inlineStr">
        <is>
          <t>Usha</t>
        </is>
      </c>
      <c r="D422" s="26" t="inlineStr">
        <is>
          <t>Himanshu Srivastava</t>
        </is>
      </c>
      <c r="E422" s="26" t="inlineStr">
        <is>
          <t>Category (B)</t>
        </is>
      </c>
      <c r="F422" s="21" t="inlineStr">
        <is>
          <t>Internal KPI</t>
        </is>
      </c>
      <c r="G422" s="21" t="inlineStr">
        <is>
          <t>No</t>
        </is>
      </c>
      <c r="H422" s="26" t="inlineStr">
        <is>
          <t>Diversity</t>
        </is>
      </c>
      <c r="I422" s="11" t="n">
        <v>0.05</v>
      </c>
      <c r="J422" s="29" t="n">
        <v>0.04</v>
      </c>
      <c r="K422" s="28" t="inlineStr">
        <is>
          <t>Not Met</t>
        </is>
      </c>
      <c r="L422" s="29" t="n">
        <v>0.11</v>
      </c>
      <c r="M422" s="28" t="inlineStr">
        <is>
          <t>Met</t>
        </is>
      </c>
      <c r="N422" s="20" t="n">
        <v>0.1666666666666667</v>
      </c>
      <c r="O422" s="28" t="inlineStr">
        <is>
          <t>Met</t>
        </is>
      </c>
      <c r="P422" s="11" t="n">
        <v>0.09933774834437085</v>
      </c>
      <c r="Q422" s="28" t="inlineStr">
        <is>
          <t>Met</t>
        </is>
      </c>
      <c r="R422" s="67" t="n">
        <v>0.1458333333333333</v>
      </c>
      <c r="S422" s="28" t="inlineStr">
        <is>
          <t>Met</t>
        </is>
      </c>
      <c r="T422" s="20" t="n">
        <v>0.1388888888888889</v>
      </c>
      <c r="U422" s="28" t="inlineStr">
        <is>
          <t>Met</t>
        </is>
      </c>
      <c r="V422" s="20" t="n">
        <v>0.08333333333333333</v>
      </c>
      <c r="W422" s="28" t="inlineStr">
        <is>
          <t>Met</t>
        </is>
      </c>
      <c r="X422" s="14" t="inlineStr">
        <is>
          <t>Not Reported</t>
        </is>
      </c>
      <c r="Y422" s="28" t="inlineStr">
        <is>
          <t>Not Reported</t>
        </is>
      </c>
      <c r="Z422" s="20" t="n">
        <v>0</v>
      </c>
      <c r="AA422" s="28" t="inlineStr">
        <is>
          <t>Not Met</t>
        </is>
      </c>
      <c r="AB422" s="82" t="n">
        <v>0.14</v>
      </c>
      <c r="AC422" s="28" t="inlineStr">
        <is>
          <t>Met</t>
        </is>
      </c>
      <c r="AD422" s="153" t="n">
        <v>0.03125</v>
      </c>
      <c r="AE422" s="28" t="inlineStr">
        <is>
          <t>Not Met</t>
        </is>
      </c>
      <c r="AF422" s="98" t="n">
        <v>0.08</v>
      </c>
      <c r="AG422" s="202" t="inlineStr">
        <is>
          <t>Met</t>
        </is>
      </c>
      <c r="AH422" s="285" t="n">
        <v>0</v>
      </c>
      <c r="AI422" s="285" t="inlineStr">
        <is>
          <t>Not Reported</t>
        </is>
      </c>
      <c r="AJ422" s="153" t="n">
        <v>0.0880952380952381</v>
      </c>
      <c r="AK422" s="202" t="inlineStr">
        <is>
          <t>Met</t>
        </is>
      </c>
    </row>
    <row r="423">
      <c r="A423" s="164" t="inlineStr">
        <is>
          <t>TATA Consumer</t>
        </is>
      </c>
      <c r="B423" s="165" t="inlineStr">
        <is>
          <t>West 1</t>
        </is>
      </c>
      <c r="C423" s="278" t="inlineStr">
        <is>
          <t>Usha</t>
        </is>
      </c>
      <c r="D423" s="166" t="inlineStr">
        <is>
          <t>Himanshu Srivastava</t>
        </is>
      </c>
      <c r="E423" s="166" t="inlineStr">
        <is>
          <t>Category (B)</t>
        </is>
      </c>
      <c r="F423" s="164" t="inlineStr">
        <is>
          <t>Contractual SLA</t>
        </is>
      </c>
      <c r="G423" s="164" t="inlineStr">
        <is>
          <t>Yes</t>
        </is>
      </c>
      <c r="H423" s="166" t="inlineStr">
        <is>
          <t>Time to Fill</t>
        </is>
      </c>
      <c r="I423" s="173" t="n">
        <v>0.9</v>
      </c>
      <c r="J423" s="169" t="n">
        <v>0.8</v>
      </c>
      <c r="K423" s="170" t="inlineStr">
        <is>
          <t>Not Met</t>
        </is>
      </c>
      <c r="L423" s="169" t="n">
        <v>0.82</v>
      </c>
      <c r="M423" s="170" t="inlineStr">
        <is>
          <t>Not Met</t>
        </is>
      </c>
      <c r="N423" s="191" t="n">
        <v>0.8936170212765957</v>
      </c>
      <c r="O423" s="170" t="inlineStr">
        <is>
          <t>Not Met</t>
        </is>
      </c>
      <c r="P423" s="191" t="n">
        <v>0.8657718120805369</v>
      </c>
      <c r="Q423" s="170" t="inlineStr">
        <is>
          <t>Not Met</t>
        </is>
      </c>
      <c r="R423" s="190" t="n">
        <v>0.875</v>
      </c>
      <c r="S423" s="170" t="inlineStr">
        <is>
          <t>Not Met</t>
        </is>
      </c>
      <c r="T423" s="191" t="n">
        <v>0.6274509803921569</v>
      </c>
      <c r="U423" s="170" t="inlineStr">
        <is>
          <t>Not Met</t>
        </is>
      </c>
      <c r="V423" s="191" t="n">
        <v>0.78</v>
      </c>
      <c r="W423" s="170" t="inlineStr">
        <is>
          <t>Not Met</t>
        </is>
      </c>
      <c r="X423" s="174" t="inlineStr">
        <is>
          <t>Not Reported</t>
        </is>
      </c>
      <c r="Y423" s="170" t="inlineStr">
        <is>
          <t>Not Reported</t>
        </is>
      </c>
      <c r="Z423" s="191" t="n">
        <v>0.8918918918918919</v>
      </c>
      <c r="AA423" s="170" t="inlineStr">
        <is>
          <t>Not Met</t>
        </is>
      </c>
      <c r="AB423" s="192" t="n">
        <v>0.9</v>
      </c>
      <c r="AC423" s="170" t="inlineStr">
        <is>
          <t>Met</t>
        </is>
      </c>
      <c r="AD423" s="193" t="n">
        <v>0.8983050847457628</v>
      </c>
      <c r="AE423" s="170" t="inlineStr">
        <is>
          <t>Not Met</t>
        </is>
      </c>
      <c r="AF423" s="97" t="n">
        <v>88</v>
      </c>
      <c r="AG423" s="202" t="inlineStr">
        <is>
          <t>Met</t>
        </is>
      </c>
      <c r="AH423" s="285" t="n">
        <v>0</v>
      </c>
      <c r="AI423" s="285" t="inlineStr">
        <is>
          <t>Not Reported</t>
        </is>
      </c>
      <c r="AJ423" s="154" t="n">
        <v>0.84</v>
      </c>
      <c r="AK423" s="28" t="inlineStr">
        <is>
          <t>Not Met</t>
        </is>
      </c>
    </row>
    <row r="424">
      <c r="A424" s="21" t="inlineStr">
        <is>
          <t>TATA Electronics</t>
        </is>
      </c>
      <c r="B424" s="5" t="inlineStr">
        <is>
          <t>South 2</t>
        </is>
      </c>
      <c r="C424" s="76" t="inlineStr">
        <is>
          <t>Krishna</t>
        </is>
      </c>
      <c r="D424" s="26" t="inlineStr">
        <is>
          <t>Mehvish Naz</t>
        </is>
      </c>
      <c r="E424" s="26" t="inlineStr">
        <is>
          <t>Category (B)</t>
        </is>
      </c>
      <c r="F424" s="21" t="inlineStr">
        <is>
          <t>Contractual SLA</t>
        </is>
      </c>
      <c r="G424" s="21" t="inlineStr">
        <is>
          <t>No</t>
        </is>
      </c>
      <c r="H424" s="27" t="inlineStr">
        <is>
          <t>Time to Fill</t>
        </is>
      </c>
      <c r="I424" s="14" t="inlineStr">
        <is>
          <t>30 Days</t>
        </is>
      </c>
      <c r="J424" s="28" t="inlineStr">
        <is>
          <t>Not Reported</t>
        </is>
      </c>
      <c r="K424" s="28" t="inlineStr">
        <is>
          <t>Not Reported</t>
        </is>
      </c>
      <c r="L424" s="55" t="n">
        <v>21</v>
      </c>
      <c r="M424" s="28" t="inlineStr">
        <is>
          <t>Met</t>
        </is>
      </c>
      <c r="N424" s="28" t="n">
        <v>28</v>
      </c>
      <c r="O424" s="28" t="inlineStr">
        <is>
          <t>Met</t>
        </is>
      </c>
      <c r="P424" s="55" t="n">
        <v>16</v>
      </c>
      <c r="Q424" s="28" t="inlineStr">
        <is>
          <t>Met</t>
        </is>
      </c>
      <c r="R424" s="17" t="inlineStr">
        <is>
          <t>NA</t>
        </is>
      </c>
      <c r="S424" s="20" t="inlineStr">
        <is>
          <t>NA</t>
        </is>
      </c>
      <c r="T424" s="17" t="inlineStr">
        <is>
          <t>NA</t>
        </is>
      </c>
      <c r="U424" s="20" t="inlineStr">
        <is>
          <t>NA</t>
        </is>
      </c>
      <c r="V424" s="20" t="inlineStr">
        <is>
          <t>Not Reported</t>
        </is>
      </c>
      <c r="W424" s="28" t="inlineStr">
        <is>
          <t>Not Reported</t>
        </is>
      </c>
      <c r="X424" s="20" t="inlineStr">
        <is>
          <t>Not Reported</t>
        </is>
      </c>
      <c r="Y424" s="28" t="inlineStr">
        <is>
          <t>Not Reported</t>
        </is>
      </c>
      <c r="Z424" s="28" t="inlineStr">
        <is>
          <t>Not Reported</t>
        </is>
      </c>
      <c r="AA424" s="28" t="inlineStr">
        <is>
          <t>Not Reported</t>
        </is>
      </c>
      <c r="AB424" s="95" t="n">
        <v>280</v>
      </c>
      <c r="AC424" s="28" t="inlineStr">
        <is>
          <t>Not Met</t>
        </is>
      </c>
      <c r="AD424" s="97" t="inlineStr">
        <is>
          <t>Not Reported</t>
        </is>
      </c>
      <c r="AE424" s="97" t="inlineStr">
        <is>
          <t>Not Reported</t>
        </is>
      </c>
      <c r="AF424" s="95" t="n">
        <v>408</v>
      </c>
      <c r="AG424" s="28" t="inlineStr">
        <is>
          <t>Not Met</t>
        </is>
      </c>
      <c r="AH424" s="285" t="n">
        <v>0</v>
      </c>
      <c r="AI424" s="285" t="inlineStr">
        <is>
          <t>Not Reported</t>
        </is>
      </c>
      <c r="AJ424" s="95" t="inlineStr">
        <is>
          <t>Not Reported</t>
        </is>
      </c>
      <c r="AK424" s="97" t="inlineStr">
        <is>
          <t>Not Reported</t>
        </is>
      </c>
    </row>
    <row r="425">
      <c r="A425" s="21" t="inlineStr">
        <is>
          <t>TATA Electronics</t>
        </is>
      </c>
      <c r="B425" s="5" t="inlineStr">
        <is>
          <t>South 2</t>
        </is>
      </c>
      <c r="C425" s="76" t="inlineStr">
        <is>
          <t>Krishna</t>
        </is>
      </c>
      <c r="D425" s="26" t="inlineStr">
        <is>
          <t>Mehvish Naz</t>
        </is>
      </c>
      <c r="E425" s="26" t="inlineStr">
        <is>
          <t>Category (B)</t>
        </is>
      </c>
      <c r="F425" s="21" t="inlineStr">
        <is>
          <t>Contractual SLA</t>
        </is>
      </c>
      <c r="G425" s="21" t="inlineStr">
        <is>
          <t>No</t>
        </is>
      </c>
      <c r="H425" s="27" t="inlineStr">
        <is>
          <t>Time to Hire</t>
        </is>
      </c>
      <c r="I425" s="14" t="inlineStr">
        <is>
          <t>120 Days</t>
        </is>
      </c>
      <c r="J425" s="28" t="inlineStr">
        <is>
          <t>Not Reported</t>
        </is>
      </c>
      <c r="K425" s="28" t="inlineStr">
        <is>
          <t>Not Reported</t>
        </is>
      </c>
      <c r="L425" s="55" t="n">
        <v>72</v>
      </c>
      <c r="M425" s="28" t="inlineStr">
        <is>
          <t>Met</t>
        </is>
      </c>
      <c r="N425" s="28" t="n">
        <v>70</v>
      </c>
      <c r="O425" s="28" t="inlineStr">
        <is>
          <t>Met</t>
        </is>
      </c>
      <c r="P425" s="55" t="n">
        <v>57</v>
      </c>
      <c r="Q425" s="28" t="inlineStr">
        <is>
          <t>Met</t>
        </is>
      </c>
      <c r="R425" s="17" t="inlineStr">
        <is>
          <t>NA</t>
        </is>
      </c>
      <c r="S425" s="20" t="inlineStr">
        <is>
          <t>NA</t>
        </is>
      </c>
      <c r="T425" s="17" t="inlineStr">
        <is>
          <t>NA</t>
        </is>
      </c>
      <c r="U425" s="20" t="inlineStr">
        <is>
          <t>NA</t>
        </is>
      </c>
      <c r="V425" s="20" t="inlineStr">
        <is>
          <t>Not Reported</t>
        </is>
      </c>
      <c r="W425" s="28" t="inlineStr">
        <is>
          <t>Not Reported</t>
        </is>
      </c>
      <c r="X425" s="20" t="inlineStr">
        <is>
          <t>Not Reported</t>
        </is>
      </c>
      <c r="Y425" s="28" t="inlineStr">
        <is>
          <t>Not Reported</t>
        </is>
      </c>
      <c r="Z425" s="28" t="inlineStr">
        <is>
          <t>Not Reported</t>
        </is>
      </c>
      <c r="AA425" s="28" t="inlineStr">
        <is>
          <t>Not Reported</t>
        </is>
      </c>
      <c r="AB425" s="95" t="n">
        <v>122</v>
      </c>
      <c r="AC425" s="28" t="inlineStr">
        <is>
          <t>Not Met</t>
        </is>
      </c>
      <c r="AD425" s="97" t="inlineStr">
        <is>
          <t>Not Reported</t>
        </is>
      </c>
      <c r="AE425" s="97" t="inlineStr">
        <is>
          <t>Not Reported</t>
        </is>
      </c>
      <c r="AF425" s="95" t="n">
        <v>402</v>
      </c>
      <c r="AG425" s="28" t="inlineStr">
        <is>
          <t>Not Met</t>
        </is>
      </c>
      <c r="AH425" s="285" t="n">
        <v>0</v>
      </c>
      <c r="AI425" s="285" t="inlineStr">
        <is>
          <t>Not Reported</t>
        </is>
      </c>
      <c r="AJ425" s="95" t="inlineStr">
        <is>
          <t>Not Reported</t>
        </is>
      </c>
      <c r="AK425" s="97" t="inlineStr">
        <is>
          <t>Not Reported</t>
        </is>
      </c>
    </row>
    <row r="426">
      <c r="A426" s="204" t="inlineStr">
        <is>
          <t>TATA Electronics</t>
        </is>
      </c>
      <c r="B426" s="205" t="inlineStr">
        <is>
          <t>South 2</t>
        </is>
      </c>
      <c r="C426" s="279" t="inlineStr">
        <is>
          <t>Krishna</t>
        </is>
      </c>
      <c r="D426" s="206" t="inlineStr">
        <is>
          <t>Mehvish Naz</t>
        </is>
      </c>
      <c r="E426" s="206" t="inlineStr">
        <is>
          <t>Category (B)</t>
        </is>
      </c>
      <c r="F426" s="204" t="inlineStr">
        <is>
          <t>Contractual SLA</t>
        </is>
      </c>
      <c r="G426" s="204" t="inlineStr">
        <is>
          <t>No</t>
        </is>
      </c>
      <c r="H426" s="210" t="inlineStr">
        <is>
          <t>Hit Ratio</t>
        </is>
      </c>
      <c r="I426" s="207" t="n">
        <v>0.2</v>
      </c>
      <c r="J426" s="202" t="inlineStr">
        <is>
          <t>Not Reported</t>
        </is>
      </c>
      <c r="K426" s="202" t="inlineStr">
        <is>
          <t>Not Reported</t>
        </is>
      </c>
      <c r="L426" s="202" t="inlineStr">
        <is>
          <t>Not Reported</t>
        </is>
      </c>
      <c r="M426" s="202" t="inlineStr">
        <is>
          <t>Not Reported</t>
        </is>
      </c>
      <c r="N426" s="202" t="inlineStr">
        <is>
          <t>Not Reported</t>
        </is>
      </c>
      <c r="O426" s="202" t="inlineStr">
        <is>
          <t>Not Reported</t>
        </is>
      </c>
      <c r="P426" s="202" t="inlineStr">
        <is>
          <t>Not Reported</t>
        </is>
      </c>
      <c r="Q426" s="202" t="inlineStr">
        <is>
          <t>Not Reported</t>
        </is>
      </c>
      <c r="R426" s="213" t="inlineStr">
        <is>
          <t>NA</t>
        </is>
      </c>
      <c r="S426" s="200" t="inlineStr">
        <is>
          <t>NA</t>
        </is>
      </c>
      <c r="T426" s="213" t="inlineStr">
        <is>
          <t>NA</t>
        </is>
      </c>
      <c r="U426" s="200" t="inlineStr">
        <is>
          <t>NA</t>
        </is>
      </c>
      <c r="V426" s="200" t="inlineStr">
        <is>
          <t>Not Reported</t>
        </is>
      </c>
      <c r="W426" s="202" t="inlineStr">
        <is>
          <t>Not Reported</t>
        </is>
      </c>
      <c r="X426" s="200" t="inlineStr">
        <is>
          <t>Not Reported</t>
        </is>
      </c>
      <c r="Y426" s="202" t="inlineStr">
        <is>
          <t>Not Reported</t>
        </is>
      </c>
      <c r="Z426" s="202" t="inlineStr">
        <is>
          <t>Not Reported</t>
        </is>
      </c>
      <c r="AA426" s="202" t="inlineStr">
        <is>
          <t>Not Reported</t>
        </is>
      </c>
      <c r="AB426" s="246" t="n">
        <v>0.08</v>
      </c>
      <c r="AC426" s="202" t="inlineStr">
        <is>
          <t>Not Met</t>
        </is>
      </c>
      <c r="AD426" s="247" t="n">
        <v>0.2</v>
      </c>
      <c r="AE426" s="202" t="inlineStr">
        <is>
          <t>Met</t>
        </is>
      </c>
      <c r="AF426" s="102" t="n">
        <v>0.25</v>
      </c>
      <c r="AG426" s="202" t="inlineStr">
        <is>
          <t>Met</t>
        </is>
      </c>
      <c r="AH426" s="285" t="n">
        <v>0</v>
      </c>
      <c r="AI426" s="285" t="inlineStr">
        <is>
          <t>Not Reported</t>
        </is>
      </c>
      <c r="AJ426" s="95" t="inlineStr">
        <is>
          <t>Not Reported</t>
        </is>
      </c>
      <c r="AK426" s="126" t="inlineStr">
        <is>
          <t>Not Reported</t>
        </is>
      </c>
    </row>
    <row r="427">
      <c r="A427" s="21" t="inlineStr">
        <is>
          <t>TATA Electronics</t>
        </is>
      </c>
      <c r="B427" s="5" t="inlineStr">
        <is>
          <t>South 2</t>
        </is>
      </c>
      <c r="C427" s="76" t="inlineStr">
        <is>
          <t>Krishna</t>
        </is>
      </c>
      <c r="D427" s="26" t="inlineStr">
        <is>
          <t>Mehvish Naz</t>
        </is>
      </c>
      <c r="E427" s="26" t="inlineStr">
        <is>
          <t>Category (B)</t>
        </is>
      </c>
      <c r="F427" s="21" t="inlineStr">
        <is>
          <t>Contractual SLA</t>
        </is>
      </c>
      <c r="G427" s="21" t="inlineStr">
        <is>
          <t>No</t>
        </is>
      </c>
      <c r="H427" s="21" t="inlineStr">
        <is>
          <t>Offer Drop</t>
        </is>
      </c>
      <c r="I427" s="11" t="n">
        <v>0.15</v>
      </c>
      <c r="J427" s="28" t="inlineStr">
        <is>
          <t>Not Reported</t>
        </is>
      </c>
      <c r="K427" s="28" t="inlineStr">
        <is>
          <t>Not Reported</t>
        </is>
      </c>
      <c r="L427" s="29" t="n">
        <v>0.18</v>
      </c>
      <c r="M427" s="28" t="inlineStr">
        <is>
          <t>Not Met</t>
        </is>
      </c>
      <c r="N427" s="28" t="inlineStr">
        <is>
          <t>Not Reported</t>
        </is>
      </c>
      <c r="O427" s="28" t="inlineStr">
        <is>
          <t>Not Reported</t>
        </is>
      </c>
      <c r="P427" s="29" t="n">
        <v>0.1373</v>
      </c>
      <c r="Q427" s="28" t="inlineStr">
        <is>
          <t>Met</t>
        </is>
      </c>
      <c r="R427" s="17" t="inlineStr">
        <is>
          <t>NA</t>
        </is>
      </c>
      <c r="S427" s="20" t="inlineStr">
        <is>
          <t>NA</t>
        </is>
      </c>
      <c r="T427" s="17" t="inlineStr">
        <is>
          <t>NA</t>
        </is>
      </c>
      <c r="U427" s="20" t="inlineStr">
        <is>
          <t>NA</t>
        </is>
      </c>
      <c r="V427" s="20" t="inlineStr">
        <is>
          <t>Not Reported</t>
        </is>
      </c>
      <c r="W427" s="28" t="inlineStr">
        <is>
          <t>Not Reported</t>
        </is>
      </c>
      <c r="X427" s="20" t="inlineStr">
        <is>
          <t>Not Reported</t>
        </is>
      </c>
      <c r="Y427" s="28" t="inlineStr">
        <is>
          <t>Not Reported</t>
        </is>
      </c>
      <c r="Z427" s="28" t="inlineStr">
        <is>
          <t>Not Reported</t>
        </is>
      </c>
      <c r="AA427" s="28" t="inlineStr">
        <is>
          <t>Not Reported</t>
        </is>
      </c>
      <c r="AB427" s="102" t="n">
        <v>0.86</v>
      </c>
      <c r="AC427" s="28" t="inlineStr">
        <is>
          <t>Not Met</t>
        </is>
      </c>
      <c r="AD427" s="135" t="n">
        <v>0.15</v>
      </c>
      <c r="AE427" s="28" t="inlineStr">
        <is>
          <t>Met</t>
        </is>
      </c>
      <c r="AF427" s="246" t="n">
        <v>0.17</v>
      </c>
      <c r="AG427" s="28" t="inlineStr">
        <is>
          <t>Not Met</t>
        </is>
      </c>
      <c r="AH427" s="285" t="n">
        <v>0</v>
      </c>
      <c r="AI427" s="285" t="inlineStr">
        <is>
          <t>Not Reported</t>
        </is>
      </c>
      <c r="AJ427" s="209" t="inlineStr">
        <is>
          <t>Not Reported</t>
        </is>
      </c>
      <c r="AK427" s="126" t="inlineStr">
        <is>
          <t>Not Reported</t>
        </is>
      </c>
    </row>
    <row r="428">
      <c r="A428" s="21" t="inlineStr">
        <is>
          <t>TATA Electronics</t>
        </is>
      </c>
      <c r="B428" s="5" t="inlineStr">
        <is>
          <t>South 2</t>
        </is>
      </c>
      <c r="C428" s="76" t="inlineStr">
        <is>
          <t>Krishna</t>
        </is>
      </c>
      <c r="D428" s="26" t="inlineStr">
        <is>
          <t>Mehvish Naz</t>
        </is>
      </c>
      <c r="E428" s="26" t="inlineStr">
        <is>
          <t>Category (B)</t>
        </is>
      </c>
      <c r="F428" s="21" t="inlineStr">
        <is>
          <t>Contractual SLA</t>
        </is>
      </c>
      <c r="G428" s="21" t="inlineStr">
        <is>
          <t>No</t>
        </is>
      </c>
      <c r="H428" s="21" t="inlineStr">
        <is>
          <t>FTR (Recruiter Screening to HM Shortlisting Ratio)</t>
        </is>
      </c>
      <c r="I428" s="11" t="n">
        <v>0.6</v>
      </c>
      <c r="J428" s="28" t="inlineStr">
        <is>
          <t>Not Reported</t>
        </is>
      </c>
      <c r="K428" s="28" t="inlineStr">
        <is>
          <t>Not Reported</t>
        </is>
      </c>
      <c r="L428" s="28" t="inlineStr">
        <is>
          <t>Not Reported</t>
        </is>
      </c>
      <c r="M428" s="28" t="inlineStr">
        <is>
          <t>Not Reported</t>
        </is>
      </c>
      <c r="N428" s="28" t="inlineStr">
        <is>
          <t>Not Reported</t>
        </is>
      </c>
      <c r="O428" s="28" t="inlineStr">
        <is>
          <t>Not Reported</t>
        </is>
      </c>
      <c r="P428" s="28" t="inlineStr">
        <is>
          <t>Not Reported</t>
        </is>
      </c>
      <c r="Q428" s="28" t="inlineStr">
        <is>
          <t>Not Reported</t>
        </is>
      </c>
      <c r="R428" s="17" t="inlineStr">
        <is>
          <t>NA</t>
        </is>
      </c>
      <c r="S428" s="20" t="inlineStr">
        <is>
          <t>NA</t>
        </is>
      </c>
      <c r="T428" s="17" t="inlineStr">
        <is>
          <t>NA</t>
        </is>
      </c>
      <c r="U428" s="20" t="inlineStr">
        <is>
          <t>NA</t>
        </is>
      </c>
      <c r="V428" s="20" t="inlineStr">
        <is>
          <t>Not Reported</t>
        </is>
      </c>
      <c r="W428" s="28" t="inlineStr">
        <is>
          <t>Not Reported</t>
        </is>
      </c>
      <c r="X428" s="20" t="inlineStr">
        <is>
          <t>Not Reported</t>
        </is>
      </c>
      <c r="Y428" s="28" t="inlineStr">
        <is>
          <t>Not Reported</t>
        </is>
      </c>
      <c r="Z428" s="28" t="inlineStr">
        <is>
          <t>Not Reported</t>
        </is>
      </c>
      <c r="AA428" s="28" t="inlineStr">
        <is>
          <t>Not Reported</t>
        </is>
      </c>
      <c r="AB428" s="102" t="n">
        <v>0.67</v>
      </c>
      <c r="AC428" s="28" t="inlineStr">
        <is>
          <t>Met</t>
        </is>
      </c>
      <c r="AD428" s="135" t="n">
        <v>0.6</v>
      </c>
      <c r="AE428" s="28" t="inlineStr">
        <is>
          <t>Met</t>
        </is>
      </c>
      <c r="AF428" s="246" t="n">
        <v>0.5</v>
      </c>
      <c r="AG428" s="28" t="inlineStr">
        <is>
          <t>Not Met</t>
        </is>
      </c>
      <c r="AH428" s="285" t="n">
        <v>0</v>
      </c>
      <c r="AI428" s="285" t="inlineStr">
        <is>
          <t>Not Reported</t>
        </is>
      </c>
      <c r="AJ428" s="95" t="inlineStr">
        <is>
          <t>Not Reported</t>
        </is>
      </c>
      <c r="AK428" s="126" t="inlineStr">
        <is>
          <t>Not Reported</t>
        </is>
      </c>
    </row>
    <row r="429">
      <c r="A429" s="21" t="inlineStr">
        <is>
          <t>TATA Electronics</t>
        </is>
      </c>
      <c r="B429" s="5" t="inlineStr">
        <is>
          <t>South 2</t>
        </is>
      </c>
      <c r="C429" s="76" t="inlineStr">
        <is>
          <t>Krishna</t>
        </is>
      </c>
      <c r="D429" s="26" t="inlineStr">
        <is>
          <t>Mehvish Naz</t>
        </is>
      </c>
      <c r="E429" s="26" t="inlineStr">
        <is>
          <t>Category (B)</t>
        </is>
      </c>
      <c r="F429" s="21" t="inlineStr">
        <is>
          <t>Contractual SLA</t>
        </is>
      </c>
      <c r="G429" s="21" t="inlineStr">
        <is>
          <t>No</t>
        </is>
      </c>
      <c r="H429" s="21" t="inlineStr">
        <is>
          <t>CV Adequacy : Number of CV's presented against each requisition</t>
        </is>
      </c>
      <c r="I429" s="14" t="inlineStr">
        <is>
          <t>NA</t>
        </is>
      </c>
      <c r="J429" s="28" t="inlineStr">
        <is>
          <t>Not Reported</t>
        </is>
      </c>
      <c r="K429" s="28" t="inlineStr">
        <is>
          <t>Not Reported</t>
        </is>
      </c>
      <c r="L429" s="28" t="inlineStr">
        <is>
          <t>Not Reported</t>
        </is>
      </c>
      <c r="M429" s="28" t="inlineStr">
        <is>
          <t>Not Reported</t>
        </is>
      </c>
      <c r="N429" s="28" t="inlineStr">
        <is>
          <t>Not Reported</t>
        </is>
      </c>
      <c r="O429" s="28" t="inlineStr">
        <is>
          <t>Not Reported</t>
        </is>
      </c>
      <c r="P429" s="28" t="inlineStr">
        <is>
          <t>Not Reported</t>
        </is>
      </c>
      <c r="Q429" s="28" t="inlineStr">
        <is>
          <t>Not Reported</t>
        </is>
      </c>
      <c r="R429" s="17" t="inlineStr">
        <is>
          <t>NA</t>
        </is>
      </c>
      <c r="S429" s="20" t="inlineStr">
        <is>
          <t>NA</t>
        </is>
      </c>
      <c r="T429" s="17" t="inlineStr">
        <is>
          <t>NA</t>
        </is>
      </c>
      <c r="U429" s="20" t="inlineStr">
        <is>
          <t>NA</t>
        </is>
      </c>
      <c r="V429" s="20" t="inlineStr">
        <is>
          <t>Not Reported</t>
        </is>
      </c>
      <c r="W429" s="28" t="inlineStr">
        <is>
          <t>Not Reported</t>
        </is>
      </c>
      <c r="X429" s="20" t="inlineStr">
        <is>
          <t>Not Reported</t>
        </is>
      </c>
      <c r="Y429" s="28" t="inlineStr">
        <is>
          <t>Not Reported</t>
        </is>
      </c>
      <c r="Z429" s="28" t="inlineStr">
        <is>
          <t>Not Reported</t>
        </is>
      </c>
      <c r="AA429" s="28" t="inlineStr">
        <is>
          <t>Not Reported</t>
        </is>
      </c>
      <c r="AB429" s="90" t="inlineStr">
        <is>
          <t>NA</t>
        </is>
      </c>
      <c r="AC429" s="20" t="inlineStr">
        <is>
          <t>NA</t>
        </is>
      </c>
      <c r="AD429" s="126" t="inlineStr">
        <is>
          <t>NA</t>
        </is>
      </c>
      <c r="AE429" s="126" t="inlineStr">
        <is>
          <t>NA</t>
        </is>
      </c>
      <c r="AF429" s="209" t="inlineStr">
        <is>
          <t>Not Reported</t>
        </is>
      </c>
      <c r="AG429" s="149" t="inlineStr">
        <is>
          <t>Not Reported</t>
        </is>
      </c>
      <c r="AH429" s="285" t="n">
        <v>0</v>
      </c>
      <c r="AI429" s="285" t="inlineStr">
        <is>
          <t>Not Reported</t>
        </is>
      </c>
      <c r="AJ429" s="95" t="inlineStr">
        <is>
          <t>Not Reported</t>
        </is>
      </c>
      <c r="AK429" s="126" t="inlineStr">
        <is>
          <t>Not Reported</t>
        </is>
      </c>
    </row>
    <row r="430">
      <c r="A430" s="21" t="inlineStr">
        <is>
          <t>TATA Electronics</t>
        </is>
      </c>
      <c r="B430" s="5" t="inlineStr">
        <is>
          <t>South 2</t>
        </is>
      </c>
      <c r="C430" s="76" t="inlineStr">
        <is>
          <t>Krishna</t>
        </is>
      </c>
      <c r="D430" s="26" t="inlineStr">
        <is>
          <t>Mehvish Naz</t>
        </is>
      </c>
      <c r="E430" s="26" t="inlineStr">
        <is>
          <t>Category (B)</t>
        </is>
      </c>
      <c r="F430" s="21" t="inlineStr">
        <is>
          <t>Contractual SLA</t>
        </is>
      </c>
      <c r="G430" s="21" t="inlineStr">
        <is>
          <t>No</t>
        </is>
      </c>
      <c r="H430" s="26" t="inlineStr">
        <is>
          <t>Diversity</t>
        </is>
      </c>
      <c r="I430" s="11" t="n">
        <v>0.1</v>
      </c>
      <c r="J430" s="28" t="inlineStr">
        <is>
          <t>Not Reported</t>
        </is>
      </c>
      <c r="K430" s="28" t="inlineStr">
        <is>
          <t>Not Reported</t>
        </is>
      </c>
      <c r="L430" s="28" t="inlineStr">
        <is>
          <t>Not Reported</t>
        </is>
      </c>
      <c r="M430" s="28" t="inlineStr">
        <is>
          <t>Not Reported</t>
        </is>
      </c>
      <c r="N430" s="29" t="n">
        <v>0.1667</v>
      </c>
      <c r="O430" s="28" t="inlineStr">
        <is>
          <t>Met</t>
        </is>
      </c>
      <c r="P430" s="29" t="n">
        <v>0.22</v>
      </c>
      <c r="Q430" s="28" t="inlineStr">
        <is>
          <t>Met</t>
        </is>
      </c>
      <c r="R430" s="17" t="inlineStr">
        <is>
          <t>NA</t>
        </is>
      </c>
      <c r="S430" s="20" t="inlineStr">
        <is>
          <t>NA</t>
        </is>
      </c>
      <c r="T430" s="17" t="inlineStr">
        <is>
          <t>NA</t>
        </is>
      </c>
      <c r="U430" s="20" t="inlineStr">
        <is>
          <t>NA</t>
        </is>
      </c>
      <c r="V430" s="20" t="inlineStr">
        <is>
          <t>Not Reported</t>
        </is>
      </c>
      <c r="W430" s="28" t="inlineStr">
        <is>
          <t>Not Reported</t>
        </is>
      </c>
      <c r="X430" s="20" t="inlineStr">
        <is>
          <t>Not Reported</t>
        </is>
      </c>
      <c r="Y430" s="28" t="inlineStr">
        <is>
          <t>Not Reported</t>
        </is>
      </c>
      <c r="Z430" s="28" t="inlineStr">
        <is>
          <t>Not Reported</t>
        </is>
      </c>
      <c r="AA430" s="28" t="inlineStr">
        <is>
          <t>Not Reported</t>
        </is>
      </c>
      <c r="AB430" s="102" t="n">
        <v>0.5</v>
      </c>
      <c r="AC430" s="28" t="inlineStr">
        <is>
          <t>Met</t>
        </is>
      </c>
      <c r="AD430" s="102" t="n">
        <v>0</v>
      </c>
      <c r="AE430" s="28" t="inlineStr">
        <is>
          <t>Not Met</t>
        </is>
      </c>
      <c r="AF430" s="246" t="n">
        <v>0</v>
      </c>
      <c r="AG430" s="28" t="inlineStr">
        <is>
          <t>Not Met</t>
        </is>
      </c>
      <c r="AH430" s="285" t="n">
        <v>0</v>
      </c>
      <c r="AI430" s="285" t="inlineStr">
        <is>
          <t>Not Reported</t>
        </is>
      </c>
      <c r="AJ430" s="95" t="inlineStr">
        <is>
          <t>Not Reported</t>
        </is>
      </c>
      <c r="AK430" s="97" t="inlineStr">
        <is>
          <t>Not Reported</t>
        </is>
      </c>
    </row>
    <row r="431">
      <c r="A431" s="21" t="inlineStr">
        <is>
          <t>TATA Electronics</t>
        </is>
      </c>
      <c r="B431" s="5" t="inlineStr">
        <is>
          <t>South 2</t>
        </is>
      </c>
      <c r="C431" s="76" t="inlineStr">
        <is>
          <t>Krishna</t>
        </is>
      </c>
      <c r="D431" s="26" t="inlineStr">
        <is>
          <t>Mehvish Naz</t>
        </is>
      </c>
      <c r="E431" s="26" t="inlineStr">
        <is>
          <t>Category (A)</t>
        </is>
      </c>
      <c r="F431" s="27" t="inlineStr">
        <is>
          <t>Internal KPI</t>
        </is>
      </c>
      <c r="G431" s="21" t="inlineStr">
        <is>
          <t>No</t>
        </is>
      </c>
      <c r="H431" s="21" t="inlineStr">
        <is>
          <t>Ageing</t>
        </is>
      </c>
      <c r="I431" s="20" t="n">
        <v>0.2</v>
      </c>
      <c r="J431" s="28" t="inlineStr">
        <is>
          <t>Not Reported</t>
        </is>
      </c>
      <c r="K431" s="28" t="inlineStr">
        <is>
          <t>Not Reported</t>
        </is>
      </c>
      <c r="L431" s="28" t="inlineStr">
        <is>
          <t>Not Reported</t>
        </is>
      </c>
      <c r="M431" s="28" t="inlineStr">
        <is>
          <t>Not Reported</t>
        </is>
      </c>
      <c r="N431" s="28" t="inlineStr">
        <is>
          <t>Not Reported</t>
        </is>
      </c>
      <c r="O431" s="28" t="inlineStr">
        <is>
          <t>Not Reported</t>
        </is>
      </c>
      <c r="P431" s="28" t="inlineStr">
        <is>
          <t>Not Reported</t>
        </is>
      </c>
      <c r="Q431" s="28" t="inlineStr">
        <is>
          <t>Not Reported</t>
        </is>
      </c>
      <c r="R431" s="17" t="inlineStr">
        <is>
          <t>NA</t>
        </is>
      </c>
      <c r="S431" s="20" t="inlineStr">
        <is>
          <t>NA</t>
        </is>
      </c>
      <c r="T431" s="17" t="inlineStr">
        <is>
          <t>NA</t>
        </is>
      </c>
      <c r="U431" s="20" t="inlineStr">
        <is>
          <t>NA</t>
        </is>
      </c>
      <c r="V431" s="20" t="inlineStr">
        <is>
          <t>Not Reported</t>
        </is>
      </c>
      <c r="W431" s="28" t="inlineStr">
        <is>
          <t>Not Reported</t>
        </is>
      </c>
      <c r="X431" s="20" t="inlineStr">
        <is>
          <t>Not Reported</t>
        </is>
      </c>
      <c r="Y431" s="28" t="inlineStr">
        <is>
          <t>Not Reported</t>
        </is>
      </c>
      <c r="Z431" s="28" t="inlineStr">
        <is>
          <t>Not Reported</t>
        </is>
      </c>
      <c r="AA431" s="28" t="inlineStr">
        <is>
          <t>Not Reported</t>
        </is>
      </c>
      <c r="AB431" s="102" t="n">
        <v>1</v>
      </c>
      <c r="AC431" s="28" t="inlineStr">
        <is>
          <t>Not Met</t>
        </is>
      </c>
      <c r="AD431" s="102" t="n">
        <v>1</v>
      </c>
      <c r="AE431" s="28" t="inlineStr">
        <is>
          <t>Not Met</t>
        </is>
      </c>
      <c r="AF431" s="246" t="n">
        <v>1</v>
      </c>
      <c r="AG431" s="28" t="inlineStr">
        <is>
          <t>Not Met</t>
        </is>
      </c>
      <c r="AH431" s="285" t="n">
        <v>0</v>
      </c>
      <c r="AI431" s="285" t="inlineStr">
        <is>
          <t>Not Reported</t>
        </is>
      </c>
      <c r="AJ431" s="95" t="inlineStr">
        <is>
          <t>Not Reported</t>
        </is>
      </c>
      <c r="AK431" s="127" t="inlineStr">
        <is>
          <t>Not Reported</t>
        </is>
      </c>
    </row>
    <row r="432">
      <c r="A432" s="164" t="inlineStr">
        <is>
          <t>TATA Electronics</t>
        </is>
      </c>
      <c r="B432" s="165" t="inlineStr">
        <is>
          <t>South 2</t>
        </is>
      </c>
      <c r="C432" s="278" t="inlineStr">
        <is>
          <t>Krishna</t>
        </is>
      </c>
      <c r="D432" s="166" t="inlineStr">
        <is>
          <t>Mehvish Naz</t>
        </is>
      </c>
      <c r="E432" s="166" t="inlineStr">
        <is>
          <t>Category (A)</t>
        </is>
      </c>
      <c r="F432" s="167" t="inlineStr">
        <is>
          <t>Internal KPI</t>
        </is>
      </c>
      <c r="G432" s="164" t="inlineStr">
        <is>
          <t>No</t>
        </is>
      </c>
      <c r="H432" s="167" t="inlineStr">
        <is>
          <t xml:space="preserve">Fulfilment </t>
        </is>
      </c>
      <c r="I432" s="191" t="n">
        <v>0.9</v>
      </c>
      <c r="J432" s="170" t="inlineStr">
        <is>
          <t>Not Reported</t>
        </is>
      </c>
      <c r="K432" s="170" t="inlineStr">
        <is>
          <t>Not Reported</t>
        </is>
      </c>
      <c r="L432" s="169" t="n">
        <v>0.2</v>
      </c>
      <c r="M432" s="170" t="inlineStr">
        <is>
          <t>Not Met</t>
        </is>
      </c>
      <c r="N432" s="169" t="n">
        <v>0.13</v>
      </c>
      <c r="O432" s="170" t="inlineStr">
        <is>
          <t>Not Met</t>
        </is>
      </c>
      <c r="P432" s="169" t="n">
        <v>0.5021</v>
      </c>
      <c r="Q432" s="170" t="inlineStr">
        <is>
          <t>Not Met</t>
        </is>
      </c>
      <c r="R432" s="171" t="inlineStr">
        <is>
          <t>NA</t>
        </is>
      </c>
      <c r="S432" s="191" t="inlineStr">
        <is>
          <t>NA</t>
        </is>
      </c>
      <c r="T432" s="171" t="inlineStr">
        <is>
          <t>NA</t>
        </is>
      </c>
      <c r="U432" s="191" t="inlineStr">
        <is>
          <t>NA</t>
        </is>
      </c>
      <c r="V432" s="191" t="inlineStr">
        <is>
          <t>Not Reported</t>
        </is>
      </c>
      <c r="W432" s="170" t="inlineStr">
        <is>
          <t>Not Reported</t>
        </is>
      </c>
      <c r="X432" s="191" t="inlineStr">
        <is>
          <t>Not Reported</t>
        </is>
      </c>
      <c r="Y432" s="170" t="inlineStr">
        <is>
          <t>Not Reported</t>
        </is>
      </c>
      <c r="Z432" s="170" t="inlineStr">
        <is>
          <t>Not Reported</t>
        </is>
      </c>
      <c r="AA432" s="170" t="inlineStr">
        <is>
          <t>Not Reported</t>
        </is>
      </c>
      <c r="AB432" s="194" t="n">
        <v>0.11</v>
      </c>
      <c r="AC432" s="170" t="inlineStr">
        <is>
          <t>Not Met</t>
        </is>
      </c>
      <c r="AD432" s="194" t="n">
        <v>0.11</v>
      </c>
      <c r="AE432" s="170" t="inlineStr">
        <is>
          <t>Not Met</t>
        </is>
      </c>
      <c r="AF432" s="246" t="n">
        <v>0.04</v>
      </c>
      <c r="AG432" s="28" t="inlineStr">
        <is>
          <t>Not Met</t>
        </is>
      </c>
      <c r="AH432" s="285" t="n">
        <v>0</v>
      </c>
      <c r="AI432" s="285" t="inlineStr">
        <is>
          <t>Not Reported</t>
        </is>
      </c>
      <c r="AJ432" s="95" t="inlineStr">
        <is>
          <t>Not Reported</t>
        </is>
      </c>
      <c r="AK432" s="126" t="inlineStr">
        <is>
          <t>Not Reported</t>
        </is>
      </c>
    </row>
    <row r="433">
      <c r="A433" s="21" t="inlineStr">
        <is>
          <t>TATA Fiber</t>
        </is>
      </c>
      <c r="B433" s="5" t="inlineStr">
        <is>
          <t>West 1</t>
        </is>
      </c>
      <c r="C433" s="76" t="inlineStr">
        <is>
          <t>Usha</t>
        </is>
      </c>
      <c r="D433" s="26" t="inlineStr">
        <is>
          <t>Himanshu Srivastava</t>
        </is>
      </c>
      <c r="E433" s="26" t="inlineStr">
        <is>
          <t>Category (A)</t>
        </is>
      </c>
      <c r="F433" s="21" t="inlineStr">
        <is>
          <t>Internal KPI</t>
        </is>
      </c>
      <c r="G433" s="21" t="inlineStr">
        <is>
          <t>No</t>
        </is>
      </c>
      <c r="H433" s="26" t="inlineStr">
        <is>
          <t>Time to Hire</t>
        </is>
      </c>
      <c r="I433" s="11" t="inlineStr">
        <is>
          <t>90 Days</t>
        </is>
      </c>
      <c r="J433" s="28" t="inlineStr">
        <is>
          <t>Not Reported</t>
        </is>
      </c>
      <c r="K433" s="28" t="inlineStr">
        <is>
          <t>Not Reported</t>
        </is>
      </c>
      <c r="L433" s="28" t="inlineStr">
        <is>
          <t>Not Reported</t>
        </is>
      </c>
      <c r="M433" s="28" t="inlineStr">
        <is>
          <t>Not Reported</t>
        </is>
      </c>
      <c r="N433" s="28" t="inlineStr">
        <is>
          <t>Not Reported</t>
        </is>
      </c>
      <c r="O433" s="28" t="inlineStr">
        <is>
          <t>Not Reported</t>
        </is>
      </c>
      <c r="P433" s="28" t="inlineStr">
        <is>
          <t>Not Reported</t>
        </is>
      </c>
      <c r="Q433" s="28" t="inlineStr">
        <is>
          <t>Not Reported</t>
        </is>
      </c>
      <c r="R433" s="28" t="inlineStr">
        <is>
          <t>Not Reported</t>
        </is>
      </c>
      <c r="S433" s="28" t="inlineStr">
        <is>
          <t xml:space="preserve">Not Reported </t>
        </is>
      </c>
      <c r="T433" s="28" t="inlineStr">
        <is>
          <t>Not Reported</t>
        </is>
      </c>
      <c r="U433" s="28" t="inlineStr">
        <is>
          <t xml:space="preserve">Not Reported </t>
        </is>
      </c>
      <c r="V433" s="28" t="inlineStr">
        <is>
          <t>Not Reported</t>
        </is>
      </c>
      <c r="W433" s="28" t="inlineStr">
        <is>
          <t>Not Reported</t>
        </is>
      </c>
      <c r="X433" s="28" t="inlineStr">
        <is>
          <t>Not Reported</t>
        </is>
      </c>
      <c r="Y433" s="28" t="inlineStr">
        <is>
          <t>Not Reported</t>
        </is>
      </c>
      <c r="Z433" s="28" t="inlineStr">
        <is>
          <t>Not Reported</t>
        </is>
      </c>
      <c r="AA433" s="28" t="inlineStr">
        <is>
          <t>Not Reported</t>
        </is>
      </c>
      <c r="AB433" s="97" t="inlineStr">
        <is>
          <t>Not Reported</t>
        </is>
      </c>
      <c r="AC433" s="90" t="inlineStr">
        <is>
          <t>Not Reported</t>
        </is>
      </c>
      <c r="AD433" s="97">
        <f>IF(AC433="NA","NA",IF(AC433="Not Reported","Not Reported",IF(AC433&gt;$L$346,"Not Met","Met")))</f>
        <v/>
      </c>
      <c r="AE433" s="97" t="inlineStr">
        <is>
          <t>Not Reported</t>
        </is>
      </c>
      <c r="AF433" s="209" t="inlineStr">
        <is>
          <t>Not Reported</t>
        </is>
      </c>
      <c r="AG433" s="149" t="inlineStr">
        <is>
          <t>Not Reported</t>
        </is>
      </c>
      <c r="AH433" s="285" t="n">
        <v>0</v>
      </c>
      <c r="AI433" s="285" t="inlineStr">
        <is>
          <t>Not Reported</t>
        </is>
      </c>
      <c r="AJ433" s="95" t="inlineStr">
        <is>
          <t>Not Reported</t>
        </is>
      </c>
      <c r="AK433" s="97" t="inlineStr">
        <is>
          <t>Not Reported</t>
        </is>
      </c>
    </row>
    <row r="434">
      <c r="A434" s="21" t="inlineStr">
        <is>
          <t>TATA Fiber</t>
        </is>
      </c>
      <c r="B434" s="5" t="inlineStr">
        <is>
          <t>West 1</t>
        </is>
      </c>
      <c r="C434" s="76" t="inlineStr">
        <is>
          <t>Usha</t>
        </is>
      </c>
      <c r="D434" s="26" t="inlineStr">
        <is>
          <t>Himanshu Srivastava</t>
        </is>
      </c>
      <c r="E434" s="26" t="inlineStr">
        <is>
          <t>Category (A)</t>
        </is>
      </c>
      <c r="F434" s="21" t="inlineStr">
        <is>
          <t>Internal KPI</t>
        </is>
      </c>
      <c r="G434" s="21" t="inlineStr">
        <is>
          <t>No</t>
        </is>
      </c>
      <c r="H434" s="26" t="inlineStr">
        <is>
          <t>Time to Fill</t>
        </is>
      </c>
      <c r="I434" s="11" t="inlineStr">
        <is>
          <t>30 Days</t>
        </is>
      </c>
      <c r="J434" s="28" t="inlineStr">
        <is>
          <t>Not Reported</t>
        </is>
      </c>
      <c r="K434" s="28" t="inlineStr">
        <is>
          <t>Not Reported</t>
        </is>
      </c>
      <c r="L434" s="28" t="inlineStr">
        <is>
          <t>Not Reported</t>
        </is>
      </c>
      <c r="M434" s="28" t="inlineStr">
        <is>
          <t>Not Reported</t>
        </is>
      </c>
      <c r="N434" s="28" t="inlineStr">
        <is>
          <t>Not Reported</t>
        </is>
      </c>
      <c r="O434" s="28" t="inlineStr">
        <is>
          <t>Not Reported</t>
        </is>
      </c>
      <c r="P434" s="28" t="inlineStr">
        <is>
          <t>Not Reported</t>
        </is>
      </c>
      <c r="Q434" s="28" t="inlineStr">
        <is>
          <t>Not Reported</t>
        </is>
      </c>
      <c r="R434" s="28" t="inlineStr">
        <is>
          <t>Not Reported</t>
        </is>
      </c>
      <c r="S434" s="28" t="inlineStr">
        <is>
          <t xml:space="preserve">Not Reported </t>
        </is>
      </c>
      <c r="T434" s="28" t="inlineStr">
        <is>
          <t>Not Reported</t>
        </is>
      </c>
      <c r="U434" s="28" t="inlineStr">
        <is>
          <t xml:space="preserve">Not Reported </t>
        </is>
      </c>
      <c r="V434" s="28" t="inlineStr">
        <is>
          <t>Not Reported</t>
        </is>
      </c>
      <c r="W434" s="28" t="inlineStr">
        <is>
          <t>Not Reported</t>
        </is>
      </c>
      <c r="X434" s="28" t="inlineStr">
        <is>
          <t>Not Reported</t>
        </is>
      </c>
      <c r="Y434" s="28" t="inlineStr">
        <is>
          <t>Not Reported</t>
        </is>
      </c>
      <c r="Z434" s="28" t="inlineStr">
        <is>
          <t>Not Reported</t>
        </is>
      </c>
      <c r="AA434" s="28" t="inlineStr">
        <is>
          <t>Not Reported</t>
        </is>
      </c>
      <c r="AB434" s="97" t="inlineStr">
        <is>
          <t>Not Reported</t>
        </is>
      </c>
      <c r="AC434" s="90" t="inlineStr">
        <is>
          <t>Not Reported</t>
        </is>
      </c>
      <c r="AD434" s="97">
        <f>IF(AC434="NA","NA",IF(AC434="Not Reported","Not Reported",IF(AC434&gt;$L$346,"Not Met","Met")))</f>
        <v/>
      </c>
      <c r="AE434" s="97" t="inlineStr">
        <is>
          <t>Not Reported</t>
        </is>
      </c>
      <c r="AF434" s="209" t="inlineStr">
        <is>
          <t>Not Reported</t>
        </is>
      </c>
      <c r="AG434" s="149" t="inlineStr">
        <is>
          <t>Not Reported</t>
        </is>
      </c>
      <c r="AH434" s="285" t="n">
        <v>0</v>
      </c>
      <c r="AI434" s="285" t="inlineStr">
        <is>
          <t>Not Reported</t>
        </is>
      </c>
      <c r="AJ434" s="95" t="inlineStr">
        <is>
          <t>Not Reported</t>
        </is>
      </c>
      <c r="AK434" s="97" t="inlineStr">
        <is>
          <t>Not Reported</t>
        </is>
      </c>
    </row>
    <row r="435">
      <c r="A435" s="21" t="inlineStr">
        <is>
          <t>TATA Fiber</t>
        </is>
      </c>
      <c r="B435" s="5" t="inlineStr">
        <is>
          <t>West 1</t>
        </is>
      </c>
      <c r="C435" s="76" t="inlineStr">
        <is>
          <t>Usha</t>
        </is>
      </c>
      <c r="D435" s="26" t="inlineStr">
        <is>
          <t>Himanshu Srivastava</t>
        </is>
      </c>
      <c r="E435" s="26" t="inlineStr">
        <is>
          <t>Category (A)</t>
        </is>
      </c>
      <c r="F435" s="21" t="inlineStr">
        <is>
          <t>Internal KPI</t>
        </is>
      </c>
      <c r="G435" s="21" t="inlineStr">
        <is>
          <t>No</t>
        </is>
      </c>
      <c r="H435" s="26" t="inlineStr">
        <is>
          <t>Ageing</t>
        </is>
      </c>
      <c r="I435" s="11" t="n">
        <v>0.2</v>
      </c>
      <c r="J435" s="28" t="inlineStr">
        <is>
          <t>Not Reported</t>
        </is>
      </c>
      <c r="K435" s="28" t="inlineStr">
        <is>
          <t>Not Reported</t>
        </is>
      </c>
      <c r="L435" s="28" t="inlineStr">
        <is>
          <t>Not Reported</t>
        </is>
      </c>
      <c r="M435" s="28" t="inlineStr">
        <is>
          <t>Not Reported</t>
        </is>
      </c>
      <c r="N435" s="28" t="inlineStr">
        <is>
          <t>Not Reported</t>
        </is>
      </c>
      <c r="O435" s="28" t="inlineStr">
        <is>
          <t>Not Reported</t>
        </is>
      </c>
      <c r="P435" s="28" t="inlineStr">
        <is>
          <t>Not Reported</t>
        </is>
      </c>
      <c r="Q435" s="28" t="inlineStr">
        <is>
          <t>Not Reported</t>
        </is>
      </c>
      <c r="R435" s="28" t="inlineStr">
        <is>
          <t>Not Reported</t>
        </is>
      </c>
      <c r="S435" s="28" t="inlineStr">
        <is>
          <t xml:space="preserve">Not Reported </t>
        </is>
      </c>
      <c r="T435" s="28" t="inlineStr">
        <is>
          <t>Not Reported</t>
        </is>
      </c>
      <c r="U435" s="28" t="inlineStr">
        <is>
          <t xml:space="preserve">Not Reported </t>
        </is>
      </c>
      <c r="V435" s="28" t="inlineStr">
        <is>
          <t>Not Reported</t>
        </is>
      </c>
      <c r="W435" s="28" t="inlineStr">
        <is>
          <t>Not Reported</t>
        </is>
      </c>
      <c r="X435" s="28" t="inlineStr">
        <is>
          <t>Not Reported</t>
        </is>
      </c>
      <c r="Y435" s="28" t="inlineStr">
        <is>
          <t>Not Reported</t>
        </is>
      </c>
      <c r="Z435" s="28" t="inlineStr">
        <is>
          <t>Not Reported</t>
        </is>
      </c>
      <c r="AA435" s="28" t="inlineStr">
        <is>
          <t>Not Reported</t>
        </is>
      </c>
      <c r="AB435" s="97" t="inlineStr">
        <is>
          <t>Not Reported</t>
        </is>
      </c>
      <c r="AC435" s="90" t="inlineStr">
        <is>
          <t>Not Reported</t>
        </is>
      </c>
      <c r="AD435" s="97">
        <f>IF(AC435="NA","NA",IF(AC435="Not Reported","Not Reported",IF(AC435&gt;$L$346,"Not Met","Met")))</f>
        <v/>
      </c>
      <c r="AE435" s="127" t="inlineStr">
        <is>
          <t>Not Reported</t>
        </is>
      </c>
      <c r="AF435" s="209" t="inlineStr">
        <is>
          <t>Not Reported</t>
        </is>
      </c>
      <c r="AG435" s="149" t="inlineStr">
        <is>
          <t>Not Reported</t>
        </is>
      </c>
      <c r="AH435" s="285" t="n">
        <v>0</v>
      </c>
      <c r="AI435" s="285" t="inlineStr">
        <is>
          <t>Not Reported</t>
        </is>
      </c>
      <c r="AJ435" s="95" t="inlineStr">
        <is>
          <t>Not Reported</t>
        </is>
      </c>
      <c r="AK435" s="127" t="inlineStr">
        <is>
          <t>Not Reported</t>
        </is>
      </c>
    </row>
    <row r="436">
      <c r="A436" s="21" t="inlineStr">
        <is>
          <t>TATA Fiber</t>
        </is>
      </c>
      <c r="B436" s="5" t="inlineStr">
        <is>
          <t>West 1</t>
        </is>
      </c>
      <c r="C436" s="76" t="inlineStr">
        <is>
          <t>Usha</t>
        </is>
      </c>
      <c r="D436" s="26" t="inlineStr">
        <is>
          <t>Himanshu Srivastava</t>
        </is>
      </c>
      <c r="E436" s="26" t="inlineStr">
        <is>
          <t>Category (A)</t>
        </is>
      </c>
      <c r="F436" s="21" t="inlineStr">
        <is>
          <t>Internal KPI</t>
        </is>
      </c>
      <c r="G436" s="21" t="inlineStr">
        <is>
          <t>No</t>
        </is>
      </c>
      <c r="H436" s="26" t="inlineStr">
        <is>
          <t>First Time Right Ratio</t>
        </is>
      </c>
      <c r="I436" s="11" t="n">
        <v>0.6</v>
      </c>
      <c r="J436" s="28" t="inlineStr">
        <is>
          <t>Not Reported</t>
        </is>
      </c>
      <c r="K436" s="28" t="inlineStr">
        <is>
          <t>Not Reported</t>
        </is>
      </c>
      <c r="L436" s="28" t="inlineStr">
        <is>
          <t>Not Reported</t>
        </is>
      </c>
      <c r="M436" s="28" t="inlineStr">
        <is>
          <t>Not Reported</t>
        </is>
      </c>
      <c r="N436" s="28" t="inlineStr">
        <is>
          <t>Not Reported</t>
        </is>
      </c>
      <c r="O436" s="28" t="inlineStr">
        <is>
          <t>Not Reported</t>
        </is>
      </c>
      <c r="P436" s="28" t="inlineStr">
        <is>
          <t>Not Reported</t>
        </is>
      </c>
      <c r="Q436" s="28" t="inlineStr">
        <is>
          <t>Not Reported</t>
        </is>
      </c>
      <c r="R436" s="28" t="inlineStr">
        <is>
          <t>Not Reported</t>
        </is>
      </c>
      <c r="S436" s="28" t="inlineStr">
        <is>
          <t xml:space="preserve">Not Reported </t>
        </is>
      </c>
      <c r="T436" s="28" t="inlineStr">
        <is>
          <t>Not Reported</t>
        </is>
      </c>
      <c r="U436" s="28" t="inlineStr">
        <is>
          <t xml:space="preserve">Not Reported </t>
        </is>
      </c>
      <c r="V436" s="28" t="inlineStr">
        <is>
          <t>Not Reported</t>
        </is>
      </c>
      <c r="W436" s="28" t="inlineStr">
        <is>
          <t>Not Reported</t>
        </is>
      </c>
      <c r="X436" s="28" t="inlineStr">
        <is>
          <t>Not Reported</t>
        </is>
      </c>
      <c r="Y436" s="28" t="inlineStr">
        <is>
          <t>Not Reported</t>
        </is>
      </c>
      <c r="Z436" s="28" t="inlineStr">
        <is>
          <t>Not Reported</t>
        </is>
      </c>
      <c r="AA436" s="28" t="inlineStr">
        <is>
          <t>Not Reported</t>
        </is>
      </c>
      <c r="AB436" s="97" t="inlineStr">
        <is>
          <t>Not Reported</t>
        </is>
      </c>
      <c r="AC436" s="90" t="inlineStr">
        <is>
          <t>Not Reported</t>
        </is>
      </c>
      <c r="AD436" s="97">
        <f>IF(AC436="NA","NA",IF(AC436="Not Reported","Not Reported",IF(AC436&gt;$L$346,"Not Met","Met")))</f>
        <v/>
      </c>
      <c r="AE436" s="126" t="inlineStr">
        <is>
          <t>Not Reported</t>
        </is>
      </c>
      <c r="AF436" s="95" t="inlineStr">
        <is>
          <t>Not Reported</t>
        </is>
      </c>
      <c r="AG436" s="149" t="inlineStr">
        <is>
          <t>Not Reported</t>
        </is>
      </c>
      <c r="AH436" s="285" t="n">
        <v>0</v>
      </c>
      <c r="AI436" s="285" t="inlineStr">
        <is>
          <t>Not Reported</t>
        </is>
      </c>
      <c r="AJ436" s="95" t="inlineStr">
        <is>
          <t>Not Reported</t>
        </is>
      </c>
      <c r="AK436" s="126" t="inlineStr">
        <is>
          <t>Not Reported</t>
        </is>
      </c>
    </row>
    <row r="437">
      <c r="A437" s="21" t="inlineStr">
        <is>
          <t>TATA Fiber</t>
        </is>
      </c>
      <c r="B437" s="5" t="inlineStr">
        <is>
          <t>West 1</t>
        </is>
      </c>
      <c r="C437" s="76" t="inlineStr">
        <is>
          <t>Usha</t>
        </is>
      </c>
      <c r="D437" s="26" t="inlineStr">
        <is>
          <t>Himanshu Srivastava</t>
        </is>
      </c>
      <c r="E437" s="26" t="inlineStr">
        <is>
          <t>Category (A)</t>
        </is>
      </c>
      <c r="F437" s="21" t="inlineStr">
        <is>
          <t>Internal KPI</t>
        </is>
      </c>
      <c r="G437" s="21" t="inlineStr">
        <is>
          <t>No</t>
        </is>
      </c>
      <c r="H437" s="26" t="inlineStr">
        <is>
          <t>Hit Ratio</t>
        </is>
      </c>
      <c r="I437" s="16" t="n">
        <v>0.04722222222222222</v>
      </c>
      <c r="J437" s="28" t="inlineStr">
        <is>
          <t>Not Reported</t>
        </is>
      </c>
      <c r="K437" s="28" t="inlineStr">
        <is>
          <t>Not Reported</t>
        </is>
      </c>
      <c r="L437" s="28" t="inlineStr">
        <is>
          <t>Not Reported</t>
        </is>
      </c>
      <c r="M437" s="28" t="inlineStr">
        <is>
          <t>Not Reported</t>
        </is>
      </c>
      <c r="N437" s="28" t="inlineStr">
        <is>
          <t>Not Reported</t>
        </is>
      </c>
      <c r="O437" s="28" t="inlineStr">
        <is>
          <t>Not Reported</t>
        </is>
      </c>
      <c r="P437" s="28" t="inlineStr">
        <is>
          <t>Not Reported</t>
        </is>
      </c>
      <c r="Q437" s="28" t="inlineStr">
        <is>
          <t>Not Reported</t>
        </is>
      </c>
      <c r="R437" s="28" t="inlineStr">
        <is>
          <t>Not Reported</t>
        </is>
      </c>
      <c r="S437" s="28" t="inlineStr">
        <is>
          <t xml:space="preserve">Not Reported </t>
        </is>
      </c>
      <c r="T437" s="28" t="inlineStr">
        <is>
          <t>Not Reported</t>
        </is>
      </c>
      <c r="U437" s="28" t="inlineStr">
        <is>
          <t xml:space="preserve">Not Reported </t>
        </is>
      </c>
      <c r="V437" s="28" t="inlineStr">
        <is>
          <t>Not Reported</t>
        </is>
      </c>
      <c r="W437" s="28" t="inlineStr">
        <is>
          <t>Not Reported</t>
        </is>
      </c>
      <c r="X437" s="28" t="inlineStr">
        <is>
          <t>Not Reported</t>
        </is>
      </c>
      <c r="Y437" s="28" t="inlineStr">
        <is>
          <t>Not Reported</t>
        </is>
      </c>
      <c r="Z437" s="28" t="inlineStr">
        <is>
          <t>Not Reported</t>
        </is>
      </c>
      <c r="AA437" s="28" t="inlineStr">
        <is>
          <t>Not Reported</t>
        </is>
      </c>
      <c r="AB437" s="97" t="inlineStr">
        <is>
          <t>Not Reported</t>
        </is>
      </c>
      <c r="AC437" s="90" t="inlineStr">
        <is>
          <t>Not Reported</t>
        </is>
      </c>
      <c r="AD437" s="97">
        <f>IF(AC437="NA","NA",IF(AC437="Not Reported","Not Reported",IF(AC437&gt;$L$346,"Not Met","Met")))</f>
        <v/>
      </c>
      <c r="AE437" s="126" t="inlineStr">
        <is>
          <t>Not Reported</t>
        </is>
      </c>
      <c r="AF437" s="95" t="inlineStr">
        <is>
          <t>Not Reported</t>
        </is>
      </c>
      <c r="AG437" s="149" t="inlineStr">
        <is>
          <t>Not Reported</t>
        </is>
      </c>
      <c r="AH437" s="285" t="n">
        <v>0</v>
      </c>
      <c r="AI437" s="285" t="inlineStr">
        <is>
          <t>Not Reported</t>
        </is>
      </c>
      <c r="AJ437" s="95" t="inlineStr">
        <is>
          <t>Not Reported</t>
        </is>
      </c>
      <c r="AK437" s="126" t="inlineStr">
        <is>
          <t>Not Reported</t>
        </is>
      </c>
    </row>
    <row r="438">
      <c r="A438" s="21" t="inlineStr">
        <is>
          <t>TATA Fiber</t>
        </is>
      </c>
      <c r="B438" s="5" t="inlineStr">
        <is>
          <t>West 1</t>
        </is>
      </c>
      <c r="C438" s="76" t="inlineStr">
        <is>
          <t>Usha</t>
        </is>
      </c>
      <c r="D438" s="26" t="inlineStr">
        <is>
          <t>Himanshu Srivastava</t>
        </is>
      </c>
      <c r="E438" s="26" t="inlineStr">
        <is>
          <t>Category (A)</t>
        </is>
      </c>
      <c r="F438" s="21" t="inlineStr">
        <is>
          <t>Internal KPI</t>
        </is>
      </c>
      <c r="G438" s="21" t="inlineStr">
        <is>
          <t>No</t>
        </is>
      </c>
      <c r="H438" s="26" t="inlineStr">
        <is>
          <t>Offer Drop</t>
        </is>
      </c>
      <c r="I438" s="11" t="n">
        <v>0.1</v>
      </c>
      <c r="J438" s="28" t="inlineStr">
        <is>
          <t>Not Reported</t>
        </is>
      </c>
      <c r="K438" s="28" t="inlineStr">
        <is>
          <t>Not Reported</t>
        </is>
      </c>
      <c r="L438" s="28" t="inlineStr">
        <is>
          <t>Not Reported</t>
        </is>
      </c>
      <c r="M438" s="28" t="inlineStr">
        <is>
          <t>Not Reported</t>
        </is>
      </c>
      <c r="N438" s="28" t="inlineStr">
        <is>
          <t>Not Reported</t>
        </is>
      </c>
      <c r="O438" s="28" t="inlineStr">
        <is>
          <t>Not Reported</t>
        </is>
      </c>
      <c r="P438" s="28" t="inlineStr">
        <is>
          <t>Not Reported</t>
        </is>
      </c>
      <c r="Q438" s="28" t="inlineStr">
        <is>
          <t>Not Reported</t>
        </is>
      </c>
      <c r="R438" s="28" t="inlineStr">
        <is>
          <t>Not Reported</t>
        </is>
      </c>
      <c r="S438" s="28" t="inlineStr">
        <is>
          <t xml:space="preserve">Not Reported </t>
        </is>
      </c>
      <c r="T438" s="28" t="inlineStr">
        <is>
          <t>Not Reported</t>
        </is>
      </c>
      <c r="U438" s="28" t="inlineStr">
        <is>
          <t xml:space="preserve">Not Reported </t>
        </is>
      </c>
      <c r="V438" s="28" t="inlineStr">
        <is>
          <t>Not Reported</t>
        </is>
      </c>
      <c r="W438" s="28" t="inlineStr">
        <is>
          <t>Not Reported</t>
        </is>
      </c>
      <c r="X438" s="28" t="inlineStr">
        <is>
          <t>Not Reported</t>
        </is>
      </c>
      <c r="Y438" s="28" t="inlineStr">
        <is>
          <t>Not Reported</t>
        </is>
      </c>
      <c r="Z438" s="28" t="inlineStr">
        <is>
          <t>Not Reported</t>
        </is>
      </c>
      <c r="AA438" s="28" t="inlineStr">
        <is>
          <t>Not Reported</t>
        </is>
      </c>
      <c r="AB438" s="97" t="inlineStr">
        <is>
          <t>Not Reported</t>
        </is>
      </c>
      <c r="AC438" s="90" t="inlineStr">
        <is>
          <t>Not Reported</t>
        </is>
      </c>
      <c r="AD438" s="97">
        <f>IF(AC438="NA","NA",IF(AC438="Not Reported","Not Reported",IF(AC438&gt;$L$346,"Not Met","Met")))</f>
        <v/>
      </c>
      <c r="AE438" s="126" t="inlineStr">
        <is>
          <t>Not Reported</t>
        </is>
      </c>
      <c r="AF438" s="95" t="inlineStr">
        <is>
          <t>Not Reported</t>
        </is>
      </c>
      <c r="AG438" s="149" t="inlineStr">
        <is>
          <t>Not Reported</t>
        </is>
      </c>
      <c r="AH438" s="285" t="n">
        <v>0</v>
      </c>
      <c r="AI438" s="285" t="inlineStr">
        <is>
          <t>Not Reported</t>
        </is>
      </c>
      <c r="AJ438" s="95" t="inlineStr">
        <is>
          <t>Not Reported</t>
        </is>
      </c>
      <c r="AK438" s="126" t="inlineStr">
        <is>
          <t>Not Reported</t>
        </is>
      </c>
    </row>
    <row r="439">
      <c r="A439" s="21" t="inlineStr">
        <is>
          <t>TATA Fiber</t>
        </is>
      </c>
      <c r="B439" s="5" t="inlineStr">
        <is>
          <t>West 1</t>
        </is>
      </c>
      <c r="C439" s="76" t="inlineStr">
        <is>
          <t>Usha</t>
        </is>
      </c>
      <c r="D439" s="26" t="inlineStr">
        <is>
          <t>Himanshu Srivastava</t>
        </is>
      </c>
      <c r="E439" s="26" t="inlineStr">
        <is>
          <t>Category (A)</t>
        </is>
      </c>
      <c r="F439" s="21" t="inlineStr">
        <is>
          <t>Internal KPI</t>
        </is>
      </c>
      <c r="G439" s="21" t="inlineStr">
        <is>
          <t>No</t>
        </is>
      </c>
      <c r="H439" s="26" t="inlineStr">
        <is>
          <t xml:space="preserve">Fulfilment </t>
        </is>
      </c>
      <c r="I439" s="11" t="n">
        <v>0.9</v>
      </c>
      <c r="J439" s="28" t="inlineStr">
        <is>
          <t>Not Reported</t>
        </is>
      </c>
      <c r="K439" s="28" t="inlineStr">
        <is>
          <t>Not Reported</t>
        </is>
      </c>
      <c r="L439" s="28" t="inlineStr">
        <is>
          <t>Not Reported</t>
        </is>
      </c>
      <c r="M439" s="28" t="inlineStr">
        <is>
          <t>Not Reported</t>
        </is>
      </c>
      <c r="N439" s="28" t="inlineStr">
        <is>
          <t>Not Reported</t>
        </is>
      </c>
      <c r="O439" s="28" t="inlineStr">
        <is>
          <t>Not Reported</t>
        </is>
      </c>
      <c r="P439" s="28" t="inlineStr">
        <is>
          <t>Not Reported</t>
        </is>
      </c>
      <c r="Q439" s="28" t="inlineStr">
        <is>
          <t>Not Reported</t>
        </is>
      </c>
      <c r="R439" s="28" t="inlineStr">
        <is>
          <t>Not Reported</t>
        </is>
      </c>
      <c r="S439" s="28" t="inlineStr">
        <is>
          <t xml:space="preserve">Not Reported </t>
        </is>
      </c>
      <c r="T439" s="28" t="inlineStr">
        <is>
          <t>Not Reported</t>
        </is>
      </c>
      <c r="U439" s="28" t="inlineStr">
        <is>
          <t xml:space="preserve">Not Reported </t>
        </is>
      </c>
      <c r="V439" s="28" t="inlineStr">
        <is>
          <t>Not Reported</t>
        </is>
      </c>
      <c r="W439" s="28" t="inlineStr">
        <is>
          <t>Not Reported</t>
        </is>
      </c>
      <c r="X439" s="28" t="inlineStr">
        <is>
          <t>Not Reported</t>
        </is>
      </c>
      <c r="Y439" s="28" t="inlineStr">
        <is>
          <t>Not Reported</t>
        </is>
      </c>
      <c r="Z439" s="28" t="inlineStr">
        <is>
          <t>Not Reported</t>
        </is>
      </c>
      <c r="AA439" s="28" t="inlineStr">
        <is>
          <t>Not Reported</t>
        </is>
      </c>
      <c r="AB439" s="97" t="inlineStr">
        <is>
          <t>Not Reported</t>
        </is>
      </c>
      <c r="AC439" s="90" t="inlineStr">
        <is>
          <t>Not Reported</t>
        </is>
      </c>
      <c r="AD439" s="97">
        <f>IF(AC439="NA","NA",IF(AC439="Not Reported","Not Reported",IF(AC439&gt;$L$346,"Not Met","Met")))</f>
        <v/>
      </c>
      <c r="AE439" s="126" t="inlineStr">
        <is>
          <t>Not Reported</t>
        </is>
      </c>
      <c r="AF439" s="95" t="inlineStr">
        <is>
          <t>Not Reported</t>
        </is>
      </c>
      <c r="AG439" s="149" t="inlineStr">
        <is>
          <t>Not Reported</t>
        </is>
      </c>
      <c r="AH439" s="285" t="n">
        <v>0</v>
      </c>
      <c r="AI439" s="285" t="inlineStr">
        <is>
          <t>Not Reported</t>
        </is>
      </c>
      <c r="AJ439" s="95" t="inlineStr">
        <is>
          <t>Not Reported</t>
        </is>
      </c>
      <c r="AK439" s="126" t="inlineStr">
        <is>
          <t>Not Reported</t>
        </is>
      </c>
    </row>
    <row r="440">
      <c r="A440" s="204" t="inlineStr">
        <is>
          <t>TATA Power</t>
        </is>
      </c>
      <c r="B440" s="205" t="inlineStr">
        <is>
          <t>West 1</t>
        </is>
      </c>
      <c r="C440" s="279" t="inlineStr">
        <is>
          <t>Elton</t>
        </is>
      </c>
      <c r="D440" s="206" t="inlineStr">
        <is>
          <t>Sahil</t>
        </is>
      </c>
      <c r="E440" s="206" t="inlineStr">
        <is>
          <t>Category (B)</t>
        </is>
      </c>
      <c r="F440" s="204" t="inlineStr">
        <is>
          <t>Internal KPI</t>
        </is>
      </c>
      <c r="G440" s="204" t="inlineStr">
        <is>
          <t>No</t>
        </is>
      </c>
      <c r="H440" s="210" t="inlineStr">
        <is>
          <t>Time to Hire</t>
        </is>
      </c>
      <c r="I440" s="211" t="inlineStr">
        <is>
          <t>90 Days</t>
        </is>
      </c>
      <c r="J440" s="200" t="inlineStr">
        <is>
          <t xml:space="preserve">NA </t>
        </is>
      </c>
      <c r="K440" s="200" t="inlineStr">
        <is>
          <t>NA</t>
        </is>
      </c>
      <c r="L440" s="200" t="inlineStr">
        <is>
          <t xml:space="preserve">NA </t>
        </is>
      </c>
      <c r="M440" s="200" t="inlineStr">
        <is>
          <t>NA</t>
        </is>
      </c>
      <c r="N440" s="200" t="inlineStr">
        <is>
          <t xml:space="preserve">NA </t>
        </is>
      </c>
      <c r="O440" s="200" t="inlineStr">
        <is>
          <t>NA</t>
        </is>
      </c>
      <c r="P440" s="200" t="inlineStr">
        <is>
          <t xml:space="preserve">NA </t>
        </is>
      </c>
      <c r="Q440" s="200" t="inlineStr">
        <is>
          <t>NA</t>
        </is>
      </c>
      <c r="R440" s="213" t="inlineStr">
        <is>
          <t>NA</t>
        </is>
      </c>
      <c r="S440" s="200" t="inlineStr">
        <is>
          <t>NA</t>
        </is>
      </c>
      <c r="T440" s="213" t="inlineStr">
        <is>
          <t>NA</t>
        </is>
      </c>
      <c r="U440" s="200" t="inlineStr">
        <is>
          <t>NA</t>
        </is>
      </c>
      <c r="V440" s="213" t="inlineStr">
        <is>
          <t>NA</t>
        </is>
      </c>
      <c r="W440" s="200" t="inlineStr">
        <is>
          <t>NA</t>
        </is>
      </c>
      <c r="X440" s="213" t="inlineStr">
        <is>
          <t>NA</t>
        </is>
      </c>
      <c r="Y440" s="200" t="inlineStr">
        <is>
          <t>NA</t>
        </is>
      </c>
      <c r="Z440" s="213" t="inlineStr">
        <is>
          <t>NA</t>
        </is>
      </c>
      <c r="AA440" s="200" t="inlineStr">
        <is>
          <t>NA</t>
        </is>
      </c>
      <c r="AB440" s="159" t="inlineStr">
        <is>
          <t>NA</t>
        </is>
      </c>
      <c r="AC440" s="200" t="inlineStr">
        <is>
          <t>NA</t>
        </is>
      </c>
      <c r="AD440" s="248" t="inlineStr">
        <is>
          <t>NA</t>
        </is>
      </c>
      <c r="AE440" s="163" t="inlineStr">
        <is>
          <t>NA</t>
        </is>
      </c>
      <c r="AF440" s="93" t="inlineStr">
        <is>
          <t>NA</t>
        </is>
      </c>
      <c r="AG440" s="97" t="inlineStr">
        <is>
          <t>NA</t>
        </is>
      </c>
      <c r="AH440" s="285" t="n">
        <v>0</v>
      </c>
      <c r="AI440" s="285" t="inlineStr">
        <is>
          <t>Not Reported</t>
        </is>
      </c>
      <c r="AJ440" s="93" t="inlineStr">
        <is>
          <t>NA</t>
        </is>
      </c>
      <c r="AK440" s="97" t="inlineStr">
        <is>
          <t>NA</t>
        </is>
      </c>
    </row>
    <row r="441">
      <c r="A441" s="21" t="inlineStr">
        <is>
          <t>TATA Power</t>
        </is>
      </c>
      <c r="B441" s="5" t="inlineStr">
        <is>
          <t>West 1</t>
        </is>
      </c>
      <c r="C441" s="76" t="inlineStr">
        <is>
          <t>Elton</t>
        </is>
      </c>
      <c r="D441" s="26" t="inlineStr">
        <is>
          <t>Sahil</t>
        </is>
      </c>
      <c r="E441" s="26" t="inlineStr">
        <is>
          <t>Category (B)</t>
        </is>
      </c>
      <c r="F441" s="21" t="inlineStr">
        <is>
          <t>Internal KPI</t>
        </is>
      </c>
      <c r="G441" s="21" t="inlineStr">
        <is>
          <t>No</t>
        </is>
      </c>
      <c r="H441" s="27" t="inlineStr">
        <is>
          <t>Hit Ratio</t>
        </is>
      </c>
      <c r="I441" s="11" t="n">
        <v>0.2</v>
      </c>
      <c r="J441" s="20" t="inlineStr">
        <is>
          <t xml:space="preserve">NA </t>
        </is>
      </c>
      <c r="K441" s="20" t="inlineStr">
        <is>
          <t>NA</t>
        </is>
      </c>
      <c r="L441" s="20" t="inlineStr">
        <is>
          <t xml:space="preserve">NA </t>
        </is>
      </c>
      <c r="M441" s="20" t="inlineStr">
        <is>
          <t>NA</t>
        </is>
      </c>
      <c r="N441" s="20" t="inlineStr">
        <is>
          <t xml:space="preserve">NA </t>
        </is>
      </c>
      <c r="O441" s="20" t="inlineStr">
        <is>
          <t>NA</t>
        </is>
      </c>
      <c r="P441" s="20" t="inlineStr">
        <is>
          <t xml:space="preserve">NA </t>
        </is>
      </c>
      <c r="Q441" s="20" t="inlineStr">
        <is>
          <t>NA</t>
        </is>
      </c>
      <c r="R441" s="17" t="inlineStr">
        <is>
          <t>NA</t>
        </is>
      </c>
      <c r="S441" s="20" t="inlineStr">
        <is>
          <t>NA</t>
        </is>
      </c>
      <c r="T441" s="17" t="inlineStr">
        <is>
          <t>NA</t>
        </is>
      </c>
      <c r="U441" s="20" t="inlineStr">
        <is>
          <t>NA</t>
        </is>
      </c>
      <c r="V441" s="17" t="inlineStr">
        <is>
          <t>NA</t>
        </is>
      </c>
      <c r="W441" s="20" t="inlineStr">
        <is>
          <t>NA</t>
        </is>
      </c>
      <c r="X441" s="17" t="inlineStr">
        <is>
          <t>NA</t>
        </is>
      </c>
      <c r="Y441" s="20" t="inlineStr">
        <is>
          <t>NA</t>
        </is>
      </c>
      <c r="Z441" s="17" t="inlineStr">
        <is>
          <t>NA</t>
        </is>
      </c>
      <c r="AA441" s="20" t="inlineStr">
        <is>
          <t>NA</t>
        </is>
      </c>
      <c r="AB441" s="93" t="inlineStr">
        <is>
          <t>NA</t>
        </is>
      </c>
      <c r="AC441" s="20" t="inlineStr">
        <is>
          <t>NA</t>
        </is>
      </c>
      <c r="AD441" s="138" t="inlineStr">
        <is>
          <t>NA</t>
        </is>
      </c>
      <c r="AE441" s="126" t="inlineStr">
        <is>
          <t>NA</t>
        </is>
      </c>
      <c r="AF441" s="93" t="inlineStr">
        <is>
          <t>NA</t>
        </is>
      </c>
      <c r="AG441" s="97" t="inlineStr">
        <is>
          <t>NA</t>
        </is>
      </c>
      <c r="AH441" s="285" t="n">
        <v>0</v>
      </c>
      <c r="AI441" s="285" t="inlineStr">
        <is>
          <t>Not Reported</t>
        </is>
      </c>
      <c r="AJ441" s="93" t="inlineStr">
        <is>
          <t>NA</t>
        </is>
      </c>
      <c r="AK441" s="126" t="inlineStr">
        <is>
          <t>NA</t>
        </is>
      </c>
    </row>
    <row r="442">
      <c r="A442" s="21" t="inlineStr">
        <is>
          <t>TATA Power</t>
        </is>
      </c>
      <c r="B442" s="5" t="inlineStr">
        <is>
          <t>West 1</t>
        </is>
      </c>
      <c r="C442" s="76" t="inlineStr">
        <is>
          <t>Elton</t>
        </is>
      </c>
      <c r="D442" s="26" t="inlineStr">
        <is>
          <t>Sahil</t>
        </is>
      </c>
      <c r="E442" s="26" t="inlineStr">
        <is>
          <t>Category (B)</t>
        </is>
      </c>
      <c r="F442" s="21" t="inlineStr">
        <is>
          <t>Internal KPI</t>
        </is>
      </c>
      <c r="G442" s="21" t="inlineStr">
        <is>
          <t>No</t>
        </is>
      </c>
      <c r="H442" s="21" t="inlineStr">
        <is>
          <t>Offer Drop</t>
        </is>
      </c>
      <c r="I442" s="11" t="n">
        <v>0.2</v>
      </c>
      <c r="J442" s="20" t="inlineStr">
        <is>
          <t xml:space="preserve">NA </t>
        </is>
      </c>
      <c r="K442" s="20" t="inlineStr">
        <is>
          <t>NA</t>
        </is>
      </c>
      <c r="L442" s="20" t="inlineStr">
        <is>
          <t xml:space="preserve">NA </t>
        </is>
      </c>
      <c r="M442" s="20" t="inlineStr">
        <is>
          <t>NA</t>
        </is>
      </c>
      <c r="N442" s="20" t="inlineStr">
        <is>
          <t xml:space="preserve">NA </t>
        </is>
      </c>
      <c r="O442" s="20" t="inlineStr">
        <is>
          <t>NA</t>
        </is>
      </c>
      <c r="P442" s="20" t="inlineStr">
        <is>
          <t xml:space="preserve">NA </t>
        </is>
      </c>
      <c r="Q442" s="20" t="inlineStr">
        <is>
          <t>NA</t>
        </is>
      </c>
      <c r="R442" s="17" t="inlineStr">
        <is>
          <t>NA</t>
        </is>
      </c>
      <c r="S442" s="20" t="inlineStr">
        <is>
          <t>NA</t>
        </is>
      </c>
      <c r="T442" s="17" t="inlineStr">
        <is>
          <t>NA</t>
        </is>
      </c>
      <c r="U442" s="20" t="inlineStr">
        <is>
          <t>NA</t>
        </is>
      </c>
      <c r="V442" s="17" t="inlineStr">
        <is>
          <t>NA</t>
        </is>
      </c>
      <c r="W442" s="20" t="inlineStr">
        <is>
          <t>NA</t>
        </is>
      </c>
      <c r="X442" s="17" t="inlineStr">
        <is>
          <t>NA</t>
        </is>
      </c>
      <c r="Y442" s="20" t="inlineStr">
        <is>
          <t>NA</t>
        </is>
      </c>
      <c r="Z442" s="17" t="inlineStr">
        <is>
          <t>NA</t>
        </is>
      </c>
      <c r="AA442" s="20" t="inlineStr">
        <is>
          <t>NA</t>
        </is>
      </c>
      <c r="AB442" s="93" t="inlineStr">
        <is>
          <t>NA</t>
        </is>
      </c>
      <c r="AC442" s="20" t="inlineStr">
        <is>
          <t>NA</t>
        </is>
      </c>
      <c r="AD442" s="138" t="inlineStr">
        <is>
          <t>NA</t>
        </is>
      </c>
      <c r="AE442" s="126" t="inlineStr">
        <is>
          <t>NA</t>
        </is>
      </c>
      <c r="AF442" s="93" t="inlineStr">
        <is>
          <t>NA</t>
        </is>
      </c>
      <c r="AG442" s="97" t="inlineStr">
        <is>
          <t>NA</t>
        </is>
      </c>
      <c r="AH442" s="285" t="n">
        <v>0</v>
      </c>
      <c r="AI442" s="285" t="inlineStr">
        <is>
          <t>Not Reported</t>
        </is>
      </c>
      <c r="AJ442" s="93" t="inlineStr">
        <is>
          <t>NA</t>
        </is>
      </c>
      <c r="AK442" s="126" t="inlineStr">
        <is>
          <t>NA</t>
        </is>
      </c>
    </row>
    <row r="443">
      <c r="A443" s="21" t="inlineStr">
        <is>
          <t>TATA Power</t>
        </is>
      </c>
      <c r="B443" s="5" t="inlineStr">
        <is>
          <t>West 1</t>
        </is>
      </c>
      <c r="C443" s="76" t="inlineStr">
        <is>
          <t>Elton</t>
        </is>
      </c>
      <c r="D443" s="26" t="inlineStr">
        <is>
          <t>Sahil</t>
        </is>
      </c>
      <c r="E443" s="26" t="inlineStr">
        <is>
          <t>Category (B)</t>
        </is>
      </c>
      <c r="F443" s="26" t="inlineStr">
        <is>
          <t>Contractual SLA</t>
        </is>
      </c>
      <c r="G443" s="21" t="inlineStr">
        <is>
          <t>No</t>
        </is>
      </c>
      <c r="H443" s="27" t="inlineStr">
        <is>
          <t>Turn Around Time (TAT) for Recruitment</t>
        </is>
      </c>
      <c r="I443" s="14" t="inlineStr">
        <is>
          <t>45 Days</t>
        </is>
      </c>
      <c r="J443" s="20" t="inlineStr">
        <is>
          <t xml:space="preserve">NA </t>
        </is>
      </c>
      <c r="K443" s="20" t="inlineStr">
        <is>
          <t>NA</t>
        </is>
      </c>
      <c r="L443" s="20" t="inlineStr">
        <is>
          <t xml:space="preserve">NA </t>
        </is>
      </c>
      <c r="M443" s="20" t="inlineStr">
        <is>
          <t>NA</t>
        </is>
      </c>
      <c r="N443" s="20" t="inlineStr">
        <is>
          <t xml:space="preserve">NA </t>
        </is>
      </c>
      <c r="O443" s="20" t="inlineStr">
        <is>
          <t>NA</t>
        </is>
      </c>
      <c r="P443" s="20" t="inlineStr">
        <is>
          <t xml:space="preserve">NA </t>
        </is>
      </c>
      <c r="Q443" s="20" t="inlineStr">
        <is>
          <t>NA</t>
        </is>
      </c>
      <c r="R443" s="17" t="inlineStr">
        <is>
          <t>NA</t>
        </is>
      </c>
      <c r="S443" s="20" t="inlineStr">
        <is>
          <t>NA</t>
        </is>
      </c>
      <c r="T443" s="17" t="inlineStr">
        <is>
          <t>NA</t>
        </is>
      </c>
      <c r="U443" s="20" t="inlineStr">
        <is>
          <t>NA</t>
        </is>
      </c>
      <c r="V443" s="17" t="inlineStr">
        <is>
          <t>NA</t>
        </is>
      </c>
      <c r="W443" s="20" t="inlineStr">
        <is>
          <t>NA</t>
        </is>
      </c>
      <c r="X443" s="17" t="inlineStr">
        <is>
          <t>NA</t>
        </is>
      </c>
      <c r="Y443" s="20" t="inlineStr">
        <is>
          <t>NA</t>
        </is>
      </c>
      <c r="Z443" s="17" t="inlineStr">
        <is>
          <t>NA</t>
        </is>
      </c>
      <c r="AA443" s="20" t="inlineStr">
        <is>
          <t>NA</t>
        </is>
      </c>
      <c r="AB443" s="93" t="inlineStr">
        <is>
          <t>NA</t>
        </is>
      </c>
      <c r="AC443" s="20" t="inlineStr">
        <is>
          <t>NA</t>
        </is>
      </c>
      <c r="AD443" s="138" t="inlineStr">
        <is>
          <t>NA</t>
        </is>
      </c>
      <c r="AE443" s="126" t="inlineStr">
        <is>
          <t>NA</t>
        </is>
      </c>
      <c r="AF443" s="93" t="inlineStr">
        <is>
          <t>NA</t>
        </is>
      </c>
      <c r="AG443" s="97" t="inlineStr">
        <is>
          <t>NA</t>
        </is>
      </c>
      <c r="AH443" s="285" t="n">
        <v>0</v>
      </c>
      <c r="AI443" s="285" t="inlineStr">
        <is>
          <t>Not Reported</t>
        </is>
      </c>
      <c r="AJ443" s="162" t="inlineStr">
        <is>
          <t>NA</t>
        </is>
      </c>
      <c r="AK443" s="126" t="inlineStr">
        <is>
          <t>NA</t>
        </is>
      </c>
    </row>
    <row r="444">
      <c r="A444" s="21" t="inlineStr">
        <is>
          <t>TATA Power</t>
        </is>
      </c>
      <c r="B444" s="5" t="inlineStr">
        <is>
          <t>West 1</t>
        </is>
      </c>
      <c r="C444" s="76" t="inlineStr">
        <is>
          <t>Elton</t>
        </is>
      </c>
      <c r="D444" s="26" t="inlineStr">
        <is>
          <t>Sahil</t>
        </is>
      </c>
      <c r="E444" s="26" t="inlineStr">
        <is>
          <t>Category (B)</t>
        </is>
      </c>
      <c r="F444" s="26" t="inlineStr">
        <is>
          <t>Internal KPI</t>
        </is>
      </c>
      <c r="G444" s="21" t="inlineStr">
        <is>
          <t>No</t>
        </is>
      </c>
      <c r="H444" s="27" t="inlineStr">
        <is>
          <t>First Time Right Ratio</t>
        </is>
      </c>
      <c r="I444" s="11" t="n">
        <v>0.6</v>
      </c>
      <c r="J444" s="20" t="inlineStr">
        <is>
          <t xml:space="preserve">NA </t>
        </is>
      </c>
      <c r="K444" s="20" t="inlineStr">
        <is>
          <t>NA</t>
        </is>
      </c>
      <c r="L444" s="20" t="inlineStr">
        <is>
          <t xml:space="preserve">NA </t>
        </is>
      </c>
      <c r="M444" s="20" t="inlineStr">
        <is>
          <t>NA</t>
        </is>
      </c>
      <c r="N444" s="20" t="inlineStr">
        <is>
          <t xml:space="preserve">NA </t>
        </is>
      </c>
      <c r="O444" s="20" t="inlineStr">
        <is>
          <t>NA</t>
        </is>
      </c>
      <c r="P444" s="20" t="inlineStr">
        <is>
          <t xml:space="preserve">NA </t>
        </is>
      </c>
      <c r="Q444" s="20" t="inlineStr">
        <is>
          <t>NA</t>
        </is>
      </c>
      <c r="R444" s="17" t="inlineStr">
        <is>
          <t>NA</t>
        </is>
      </c>
      <c r="S444" s="20" t="inlineStr">
        <is>
          <t>NA</t>
        </is>
      </c>
      <c r="T444" s="17" t="inlineStr">
        <is>
          <t>NA</t>
        </is>
      </c>
      <c r="U444" s="20" t="inlineStr">
        <is>
          <t>NA</t>
        </is>
      </c>
      <c r="V444" s="17" t="inlineStr">
        <is>
          <t>NA</t>
        </is>
      </c>
      <c r="W444" s="20" t="inlineStr">
        <is>
          <t>NA</t>
        </is>
      </c>
      <c r="X444" s="17" t="inlineStr">
        <is>
          <t>NA</t>
        </is>
      </c>
      <c r="Y444" s="20" t="inlineStr">
        <is>
          <t>NA</t>
        </is>
      </c>
      <c r="Z444" s="17" t="inlineStr">
        <is>
          <t>NA</t>
        </is>
      </c>
      <c r="AA444" s="20" t="inlineStr">
        <is>
          <t>NA</t>
        </is>
      </c>
      <c r="AB444" s="93" t="inlineStr">
        <is>
          <t>NA</t>
        </is>
      </c>
      <c r="AC444" s="20" t="inlineStr">
        <is>
          <t>NA</t>
        </is>
      </c>
      <c r="AD444" s="97" t="inlineStr">
        <is>
          <t>NA</t>
        </is>
      </c>
      <c r="AE444" s="126" t="inlineStr">
        <is>
          <t>NA</t>
        </is>
      </c>
      <c r="AF444" s="93" t="inlineStr">
        <is>
          <t>NA</t>
        </is>
      </c>
      <c r="AG444" s="97" t="inlineStr">
        <is>
          <t>NA</t>
        </is>
      </c>
      <c r="AH444" s="285" t="n">
        <v>0</v>
      </c>
      <c r="AI444" s="285" t="inlineStr">
        <is>
          <t>Not Reported</t>
        </is>
      </c>
      <c r="AJ444" s="93" t="inlineStr">
        <is>
          <t>NA</t>
        </is>
      </c>
      <c r="AK444" s="126" t="inlineStr">
        <is>
          <t>NA</t>
        </is>
      </c>
    </row>
    <row r="445">
      <c r="A445" s="21" t="inlineStr">
        <is>
          <t>TATA Power</t>
        </is>
      </c>
      <c r="B445" s="5" t="inlineStr">
        <is>
          <t>West 1</t>
        </is>
      </c>
      <c r="C445" s="76" t="inlineStr">
        <is>
          <t>Elton</t>
        </is>
      </c>
      <c r="D445" s="26" t="inlineStr">
        <is>
          <t>Sahil</t>
        </is>
      </c>
      <c r="E445" s="26" t="inlineStr">
        <is>
          <t>Category (B)</t>
        </is>
      </c>
      <c r="F445" s="26" t="inlineStr">
        <is>
          <t>Internal KPI</t>
        </is>
      </c>
      <c r="G445" s="21" t="inlineStr">
        <is>
          <t>No</t>
        </is>
      </c>
      <c r="H445" s="21" t="inlineStr">
        <is>
          <t>Ageing</t>
        </is>
      </c>
      <c r="I445" s="11" t="inlineStr">
        <is>
          <t>&lt;=15%</t>
        </is>
      </c>
      <c r="J445" s="20" t="inlineStr">
        <is>
          <t xml:space="preserve">NA </t>
        </is>
      </c>
      <c r="K445" s="20" t="inlineStr">
        <is>
          <t>NA</t>
        </is>
      </c>
      <c r="L445" s="20" t="inlineStr">
        <is>
          <t xml:space="preserve">NA </t>
        </is>
      </c>
      <c r="M445" s="20" t="inlineStr">
        <is>
          <t>NA</t>
        </is>
      </c>
      <c r="N445" s="20" t="inlineStr">
        <is>
          <t xml:space="preserve">NA </t>
        </is>
      </c>
      <c r="O445" s="20" t="inlineStr">
        <is>
          <t>NA</t>
        </is>
      </c>
      <c r="P445" s="20" t="inlineStr">
        <is>
          <t xml:space="preserve">NA </t>
        </is>
      </c>
      <c r="Q445" s="20" t="inlineStr">
        <is>
          <t>NA</t>
        </is>
      </c>
      <c r="R445" s="17" t="inlineStr">
        <is>
          <t>NA</t>
        </is>
      </c>
      <c r="S445" s="20" t="inlineStr">
        <is>
          <t>NA</t>
        </is>
      </c>
      <c r="T445" s="17" t="inlineStr">
        <is>
          <t>NA</t>
        </is>
      </c>
      <c r="U445" s="20" t="inlineStr">
        <is>
          <t>NA</t>
        </is>
      </c>
      <c r="V445" s="17" t="inlineStr">
        <is>
          <t>NA</t>
        </is>
      </c>
      <c r="W445" s="20" t="inlineStr">
        <is>
          <t>NA</t>
        </is>
      </c>
      <c r="X445" s="17" t="inlineStr">
        <is>
          <t>NA</t>
        </is>
      </c>
      <c r="Y445" s="20" t="inlineStr">
        <is>
          <t>NA</t>
        </is>
      </c>
      <c r="Z445" s="17" t="inlineStr">
        <is>
          <t>NA</t>
        </is>
      </c>
      <c r="AA445" s="20" t="inlineStr">
        <is>
          <t>NA</t>
        </is>
      </c>
      <c r="AB445" s="93" t="inlineStr">
        <is>
          <t>NA</t>
        </is>
      </c>
      <c r="AC445" s="20" t="inlineStr">
        <is>
          <t>NA</t>
        </is>
      </c>
      <c r="AD445" s="97" t="inlineStr">
        <is>
          <t>NA</t>
        </is>
      </c>
      <c r="AE445" s="127" t="inlineStr">
        <is>
          <t>NA</t>
        </is>
      </c>
      <c r="AF445" s="93" t="inlineStr">
        <is>
          <t>NA</t>
        </is>
      </c>
      <c r="AG445" s="97" t="inlineStr">
        <is>
          <t>NA</t>
        </is>
      </c>
      <c r="AH445" s="285" t="n">
        <v>0</v>
      </c>
      <c r="AI445" s="285" t="inlineStr">
        <is>
          <t>Not Reported</t>
        </is>
      </c>
      <c r="AJ445" s="93" t="inlineStr">
        <is>
          <t>NA</t>
        </is>
      </c>
      <c r="AK445" s="127" t="inlineStr">
        <is>
          <t>NA</t>
        </is>
      </c>
    </row>
    <row r="446">
      <c r="A446" s="21" t="inlineStr">
        <is>
          <t>TATA Power</t>
        </is>
      </c>
      <c r="B446" s="5" t="inlineStr">
        <is>
          <t>West 1</t>
        </is>
      </c>
      <c r="C446" s="76" t="inlineStr">
        <is>
          <t>Elton</t>
        </is>
      </c>
      <c r="D446" s="26" t="inlineStr">
        <is>
          <t>Sahil</t>
        </is>
      </c>
      <c r="E446" s="26" t="inlineStr">
        <is>
          <t>Category (B)</t>
        </is>
      </c>
      <c r="F446" s="26" t="inlineStr">
        <is>
          <t>Internal KPI</t>
        </is>
      </c>
      <c r="G446" s="21" t="inlineStr">
        <is>
          <t>No</t>
        </is>
      </c>
      <c r="H446" s="27" t="inlineStr">
        <is>
          <t xml:space="preserve">Fulfilment </t>
        </is>
      </c>
      <c r="I446" s="11" t="inlineStr">
        <is>
          <t>90% (Within 45days TTO)</t>
        </is>
      </c>
      <c r="J446" s="20" t="inlineStr">
        <is>
          <t xml:space="preserve">NA </t>
        </is>
      </c>
      <c r="K446" s="20" t="inlineStr">
        <is>
          <t>NA</t>
        </is>
      </c>
      <c r="L446" s="20" t="inlineStr">
        <is>
          <t xml:space="preserve">NA </t>
        </is>
      </c>
      <c r="M446" s="20" t="inlineStr">
        <is>
          <t>NA</t>
        </is>
      </c>
      <c r="N446" s="20" t="inlineStr">
        <is>
          <t xml:space="preserve">NA </t>
        </is>
      </c>
      <c r="O446" s="20" t="inlineStr">
        <is>
          <t>NA</t>
        </is>
      </c>
      <c r="P446" s="20" t="inlineStr">
        <is>
          <t xml:space="preserve">NA </t>
        </is>
      </c>
      <c r="Q446" s="20" t="inlineStr">
        <is>
          <t>NA</t>
        </is>
      </c>
      <c r="R446" s="17" t="inlineStr">
        <is>
          <t>NA</t>
        </is>
      </c>
      <c r="S446" s="20" t="inlineStr">
        <is>
          <t>NA</t>
        </is>
      </c>
      <c r="T446" s="17" t="inlineStr">
        <is>
          <t>NA</t>
        </is>
      </c>
      <c r="U446" s="20" t="inlineStr">
        <is>
          <t>NA</t>
        </is>
      </c>
      <c r="V446" s="17" t="inlineStr">
        <is>
          <t>NA</t>
        </is>
      </c>
      <c r="W446" s="20" t="inlineStr">
        <is>
          <t>NA</t>
        </is>
      </c>
      <c r="X446" s="17" t="inlineStr">
        <is>
          <t>NA</t>
        </is>
      </c>
      <c r="Y446" s="20" t="inlineStr">
        <is>
          <t>NA</t>
        </is>
      </c>
      <c r="Z446" s="17" t="inlineStr">
        <is>
          <t>NA</t>
        </is>
      </c>
      <c r="AA446" s="20" t="inlineStr">
        <is>
          <t>NA</t>
        </is>
      </c>
      <c r="AB446" s="93" t="inlineStr">
        <is>
          <t>NA</t>
        </is>
      </c>
      <c r="AC446" s="20" t="inlineStr">
        <is>
          <t>NA</t>
        </is>
      </c>
      <c r="AD446" s="97" t="inlineStr">
        <is>
          <t>NA</t>
        </is>
      </c>
      <c r="AE446" s="126" t="inlineStr">
        <is>
          <t>NA</t>
        </is>
      </c>
      <c r="AF446" s="93" t="inlineStr">
        <is>
          <t>NA</t>
        </is>
      </c>
      <c r="AG446" s="97" t="inlineStr">
        <is>
          <t>NA</t>
        </is>
      </c>
      <c r="AH446" s="285" t="n">
        <v>0</v>
      </c>
      <c r="AI446" s="285" t="inlineStr">
        <is>
          <t>Not Reported</t>
        </is>
      </c>
      <c r="AJ446" s="93" t="inlineStr">
        <is>
          <t>NA</t>
        </is>
      </c>
      <c r="AK446" s="126" t="inlineStr">
        <is>
          <t>NA</t>
        </is>
      </c>
    </row>
    <row r="447">
      <c r="A447" s="21" t="inlineStr">
        <is>
          <t>TATA Tele</t>
        </is>
      </c>
      <c r="B447" s="5" t="inlineStr">
        <is>
          <t>West 1</t>
        </is>
      </c>
      <c r="C447" s="76" t="inlineStr">
        <is>
          <t>Elton</t>
        </is>
      </c>
      <c r="D447" s="26" t="inlineStr">
        <is>
          <t>Sahil</t>
        </is>
      </c>
      <c r="E447" s="26" t="inlineStr">
        <is>
          <t>Category (A)</t>
        </is>
      </c>
      <c r="F447" s="21" t="inlineStr">
        <is>
          <t>Internal KPI</t>
        </is>
      </c>
      <c r="G447" s="21" t="inlineStr">
        <is>
          <t>No</t>
        </is>
      </c>
      <c r="H447" s="27" t="inlineStr">
        <is>
          <t xml:space="preserve">Fulfilment </t>
        </is>
      </c>
      <c r="I447" s="11" t="n">
        <v>0.95</v>
      </c>
      <c r="J447" s="20" t="inlineStr">
        <is>
          <t xml:space="preserve">NA </t>
        </is>
      </c>
      <c r="K447" s="20" t="inlineStr">
        <is>
          <t>NA</t>
        </is>
      </c>
      <c r="L447" s="20" t="inlineStr">
        <is>
          <t xml:space="preserve">NA </t>
        </is>
      </c>
      <c r="M447" s="20" t="inlineStr">
        <is>
          <t>NA</t>
        </is>
      </c>
      <c r="N447" s="20" t="inlineStr">
        <is>
          <t xml:space="preserve">NA </t>
        </is>
      </c>
      <c r="O447" s="20" t="inlineStr">
        <is>
          <t>NA</t>
        </is>
      </c>
      <c r="P447" s="20" t="inlineStr">
        <is>
          <t xml:space="preserve">NA </t>
        </is>
      </c>
      <c r="Q447" s="20" t="inlineStr">
        <is>
          <t>NA</t>
        </is>
      </c>
      <c r="R447" s="17" t="inlineStr">
        <is>
          <t>NA</t>
        </is>
      </c>
      <c r="S447" s="20" t="inlineStr">
        <is>
          <t>NA</t>
        </is>
      </c>
      <c r="T447" s="17" t="inlineStr">
        <is>
          <t>NA</t>
        </is>
      </c>
      <c r="U447" s="20" t="inlineStr">
        <is>
          <t>NA</t>
        </is>
      </c>
      <c r="V447" s="17" t="inlineStr">
        <is>
          <t>NA</t>
        </is>
      </c>
      <c r="W447" s="20" t="inlineStr">
        <is>
          <t>NA</t>
        </is>
      </c>
      <c r="X447" s="17" t="inlineStr">
        <is>
          <t>NA</t>
        </is>
      </c>
      <c r="Y447" s="20" t="inlineStr">
        <is>
          <t>NA</t>
        </is>
      </c>
      <c r="Z447" s="17" t="inlineStr">
        <is>
          <t>NA</t>
        </is>
      </c>
      <c r="AA447" s="20" t="inlineStr">
        <is>
          <t>NA</t>
        </is>
      </c>
      <c r="AB447" s="94" t="inlineStr">
        <is>
          <t>NA</t>
        </is>
      </c>
      <c r="AC447" s="20" t="inlineStr">
        <is>
          <t>NA</t>
        </is>
      </c>
      <c r="AD447" s="97" t="inlineStr">
        <is>
          <t>NA</t>
        </is>
      </c>
      <c r="AE447" s="126" t="inlineStr">
        <is>
          <t>NA</t>
        </is>
      </c>
      <c r="AF447" s="93" t="inlineStr">
        <is>
          <t>NA</t>
        </is>
      </c>
      <c r="AG447" s="97" t="inlineStr">
        <is>
          <t>NA</t>
        </is>
      </c>
      <c r="AH447" s="285" t="n">
        <v>0</v>
      </c>
      <c r="AI447" s="285" t="inlineStr">
        <is>
          <t>Not Reported</t>
        </is>
      </c>
      <c r="AJ447" s="93" t="inlineStr">
        <is>
          <t>NA</t>
        </is>
      </c>
      <c r="AK447" s="126" t="inlineStr">
        <is>
          <t>NA</t>
        </is>
      </c>
    </row>
    <row r="448">
      <c r="A448" s="21" t="inlineStr">
        <is>
          <t>TATA Tele</t>
        </is>
      </c>
      <c r="B448" s="5" t="inlineStr">
        <is>
          <t>West 1</t>
        </is>
      </c>
      <c r="C448" s="76" t="inlineStr">
        <is>
          <t>Elton</t>
        </is>
      </c>
      <c r="D448" s="26" t="inlineStr">
        <is>
          <t>Sahil</t>
        </is>
      </c>
      <c r="E448" s="26" t="inlineStr">
        <is>
          <t>Category (A)</t>
        </is>
      </c>
      <c r="F448" s="21" t="inlineStr">
        <is>
          <t>Internal KPI</t>
        </is>
      </c>
      <c r="G448" s="21" t="inlineStr">
        <is>
          <t>No</t>
        </is>
      </c>
      <c r="H448" s="27" t="inlineStr">
        <is>
          <t>Time to Fill</t>
        </is>
      </c>
      <c r="I448" s="14" t="inlineStr">
        <is>
          <t>30 Days</t>
        </is>
      </c>
      <c r="J448" s="20" t="inlineStr">
        <is>
          <t xml:space="preserve">NA </t>
        </is>
      </c>
      <c r="K448" s="20" t="inlineStr">
        <is>
          <t>NA</t>
        </is>
      </c>
      <c r="L448" s="20" t="inlineStr">
        <is>
          <t xml:space="preserve">NA </t>
        </is>
      </c>
      <c r="M448" s="20" t="inlineStr">
        <is>
          <t>NA</t>
        </is>
      </c>
      <c r="N448" s="20" t="inlineStr">
        <is>
          <t xml:space="preserve">NA </t>
        </is>
      </c>
      <c r="O448" s="20" t="inlineStr">
        <is>
          <t>NA</t>
        </is>
      </c>
      <c r="P448" s="20" t="inlineStr">
        <is>
          <t xml:space="preserve">NA </t>
        </is>
      </c>
      <c r="Q448" s="20" t="inlineStr">
        <is>
          <t>NA</t>
        </is>
      </c>
      <c r="R448" s="17" t="inlineStr">
        <is>
          <t>NA</t>
        </is>
      </c>
      <c r="S448" s="20" t="inlineStr">
        <is>
          <t>NA</t>
        </is>
      </c>
      <c r="T448" s="17" t="inlineStr">
        <is>
          <t>NA</t>
        </is>
      </c>
      <c r="U448" s="20" t="inlineStr">
        <is>
          <t>NA</t>
        </is>
      </c>
      <c r="V448" s="17" t="inlineStr">
        <is>
          <t>NA</t>
        </is>
      </c>
      <c r="W448" s="20" t="inlineStr">
        <is>
          <t>NA</t>
        </is>
      </c>
      <c r="X448" s="17" t="inlineStr">
        <is>
          <t>NA</t>
        </is>
      </c>
      <c r="Y448" s="20" t="inlineStr">
        <is>
          <t>NA</t>
        </is>
      </c>
      <c r="Z448" s="17" t="inlineStr">
        <is>
          <t>NA</t>
        </is>
      </c>
      <c r="AA448" s="20" t="inlineStr">
        <is>
          <t>NA</t>
        </is>
      </c>
      <c r="AB448" s="94" t="inlineStr">
        <is>
          <t>NA</t>
        </is>
      </c>
      <c r="AC448" s="20" t="inlineStr">
        <is>
          <t>NA</t>
        </is>
      </c>
      <c r="AD448" s="97" t="inlineStr">
        <is>
          <t>NA</t>
        </is>
      </c>
      <c r="AE448" s="97" t="inlineStr">
        <is>
          <t>NA</t>
        </is>
      </c>
      <c r="AF448" s="93" t="inlineStr">
        <is>
          <t>NA</t>
        </is>
      </c>
      <c r="AG448" s="97" t="inlineStr">
        <is>
          <t>NA</t>
        </is>
      </c>
      <c r="AH448" s="285" t="n">
        <v>0</v>
      </c>
      <c r="AI448" s="285" t="inlineStr">
        <is>
          <t>Not Reported</t>
        </is>
      </c>
      <c r="AJ448" s="93" t="inlineStr">
        <is>
          <t>NA</t>
        </is>
      </c>
      <c r="AK448" s="97" t="inlineStr">
        <is>
          <t>NA</t>
        </is>
      </c>
    </row>
    <row r="449">
      <c r="A449" s="21" t="inlineStr">
        <is>
          <t>TATA Tele</t>
        </is>
      </c>
      <c r="B449" s="5" t="inlineStr">
        <is>
          <t>West 1</t>
        </is>
      </c>
      <c r="C449" s="76" t="inlineStr">
        <is>
          <t>Elton</t>
        </is>
      </c>
      <c r="D449" s="26" t="inlineStr">
        <is>
          <t>Sahil</t>
        </is>
      </c>
      <c r="E449" s="26" t="inlineStr">
        <is>
          <t>Category (A)</t>
        </is>
      </c>
      <c r="F449" s="21" t="inlineStr">
        <is>
          <t>Internal KPI</t>
        </is>
      </c>
      <c r="G449" s="21" t="inlineStr">
        <is>
          <t>No</t>
        </is>
      </c>
      <c r="H449" s="27" t="inlineStr">
        <is>
          <t>First Time Right Ratio</t>
        </is>
      </c>
      <c r="I449" s="11" t="n">
        <v>0.75</v>
      </c>
      <c r="J449" s="20" t="inlineStr">
        <is>
          <t xml:space="preserve">NA </t>
        </is>
      </c>
      <c r="K449" s="20" t="inlineStr">
        <is>
          <t>NA</t>
        </is>
      </c>
      <c r="L449" s="20" t="inlineStr">
        <is>
          <t xml:space="preserve">NA </t>
        </is>
      </c>
      <c r="M449" s="20" t="inlineStr">
        <is>
          <t>NA</t>
        </is>
      </c>
      <c r="N449" s="20" t="inlineStr">
        <is>
          <t xml:space="preserve">NA </t>
        </is>
      </c>
      <c r="O449" s="20" t="inlineStr">
        <is>
          <t>NA</t>
        </is>
      </c>
      <c r="P449" s="20" t="inlineStr">
        <is>
          <t xml:space="preserve">NA </t>
        </is>
      </c>
      <c r="Q449" s="20" t="inlineStr">
        <is>
          <t>NA</t>
        </is>
      </c>
      <c r="R449" s="17" t="inlineStr">
        <is>
          <t>NA</t>
        </is>
      </c>
      <c r="S449" s="20" t="inlineStr">
        <is>
          <t>NA</t>
        </is>
      </c>
      <c r="T449" s="17" t="inlineStr">
        <is>
          <t>NA</t>
        </is>
      </c>
      <c r="U449" s="20" t="inlineStr">
        <is>
          <t>NA</t>
        </is>
      </c>
      <c r="V449" s="17" t="inlineStr">
        <is>
          <t>NA</t>
        </is>
      </c>
      <c r="W449" s="20" t="inlineStr">
        <is>
          <t>NA</t>
        </is>
      </c>
      <c r="X449" s="17" t="inlineStr">
        <is>
          <t>NA</t>
        </is>
      </c>
      <c r="Y449" s="20" t="inlineStr">
        <is>
          <t>NA</t>
        </is>
      </c>
      <c r="Z449" s="17" t="inlineStr">
        <is>
          <t>NA</t>
        </is>
      </c>
      <c r="AA449" s="20" t="inlineStr">
        <is>
          <t>NA</t>
        </is>
      </c>
      <c r="AB449" s="94" t="inlineStr">
        <is>
          <t>NA</t>
        </is>
      </c>
      <c r="AC449" s="20" t="inlineStr">
        <is>
          <t>NA</t>
        </is>
      </c>
      <c r="AD449" s="97" t="inlineStr">
        <is>
          <t>NA</t>
        </is>
      </c>
      <c r="AE449" s="126" t="inlineStr">
        <is>
          <t>NA</t>
        </is>
      </c>
      <c r="AF449" s="93" t="inlineStr">
        <is>
          <t>NA</t>
        </is>
      </c>
      <c r="AG449" s="97" t="inlineStr">
        <is>
          <t>NA</t>
        </is>
      </c>
      <c r="AH449" s="285" t="n">
        <v>0</v>
      </c>
      <c r="AI449" s="285" t="inlineStr">
        <is>
          <t>Not Reported</t>
        </is>
      </c>
      <c r="AJ449" s="93" t="inlineStr">
        <is>
          <t>NA</t>
        </is>
      </c>
      <c r="AK449" s="126" t="inlineStr">
        <is>
          <t>NA</t>
        </is>
      </c>
    </row>
    <row r="450">
      <c r="A450" s="21" t="inlineStr">
        <is>
          <t>TATA Tele</t>
        </is>
      </c>
      <c r="B450" s="5" t="inlineStr">
        <is>
          <t>West 1</t>
        </is>
      </c>
      <c r="C450" s="76" t="inlineStr">
        <is>
          <t>Elton</t>
        </is>
      </c>
      <c r="D450" s="26" t="inlineStr">
        <is>
          <t>Sahil</t>
        </is>
      </c>
      <c r="E450" s="26" t="inlineStr">
        <is>
          <t>Category (A)</t>
        </is>
      </c>
      <c r="F450" s="21" t="inlineStr">
        <is>
          <t>Internal KPI</t>
        </is>
      </c>
      <c r="G450" s="21" t="inlineStr">
        <is>
          <t>No</t>
        </is>
      </c>
      <c r="H450" s="27" t="inlineStr">
        <is>
          <t>Time to Hire</t>
        </is>
      </c>
      <c r="I450" s="20" t="inlineStr">
        <is>
          <t xml:space="preserve">90 Days </t>
        </is>
      </c>
      <c r="J450" s="20" t="inlineStr">
        <is>
          <t xml:space="preserve">NA </t>
        </is>
      </c>
      <c r="K450" s="20" t="inlineStr">
        <is>
          <t>NA</t>
        </is>
      </c>
      <c r="L450" s="20" t="inlineStr">
        <is>
          <t xml:space="preserve">NA </t>
        </is>
      </c>
      <c r="M450" s="20" t="inlineStr">
        <is>
          <t>NA</t>
        </is>
      </c>
      <c r="N450" s="20" t="inlineStr">
        <is>
          <t xml:space="preserve">NA </t>
        </is>
      </c>
      <c r="O450" s="20" t="inlineStr">
        <is>
          <t>NA</t>
        </is>
      </c>
      <c r="P450" s="20" t="inlineStr">
        <is>
          <t xml:space="preserve">NA </t>
        </is>
      </c>
      <c r="Q450" s="20" t="inlineStr">
        <is>
          <t>NA</t>
        </is>
      </c>
      <c r="R450" s="17" t="inlineStr">
        <is>
          <t>NA</t>
        </is>
      </c>
      <c r="S450" s="20" t="inlineStr">
        <is>
          <t>NA</t>
        </is>
      </c>
      <c r="T450" s="17" t="inlineStr">
        <is>
          <t>NA</t>
        </is>
      </c>
      <c r="U450" s="20" t="inlineStr">
        <is>
          <t>NA</t>
        </is>
      </c>
      <c r="V450" s="17" t="inlineStr">
        <is>
          <t>NA</t>
        </is>
      </c>
      <c r="W450" s="20" t="inlineStr">
        <is>
          <t>NA</t>
        </is>
      </c>
      <c r="X450" s="17" t="inlineStr">
        <is>
          <t>NA</t>
        </is>
      </c>
      <c r="Y450" s="20" t="inlineStr">
        <is>
          <t>NA</t>
        </is>
      </c>
      <c r="Z450" s="17" t="inlineStr">
        <is>
          <t>NA</t>
        </is>
      </c>
      <c r="AA450" s="20" t="inlineStr">
        <is>
          <t>NA</t>
        </is>
      </c>
      <c r="AB450" s="94" t="inlineStr">
        <is>
          <t>NA</t>
        </is>
      </c>
      <c r="AC450" s="20" t="inlineStr">
        <is>
          <t>NA</t>
        </is>
      </c>
      <c r="AD450" s="97" t="inlineStr">
        <is>
          <t>NA</t>
        </is>
      </c>
      <c r="AE450" s="97" t="inlineStr">
        <is>
          <t>NA</t>
        </is>
      </c>
      <c r="AF450" s="93" t="inlineStr">
        <is>
          <t>NA</t>
        </is>
      </c>
      <c r="AG450" s="97" t="inlineStr">
        <is>
          <t>NA</t>
        </is>
      </c>
      <c r="AH450" s="285" t="n">
        <v>0</v>
      </c>
      <c r="AI450" s="285" t="inlineStr">
        <is>
          <t>Not Reported</t>
        </is>
      </c>
      <c r="AJ450" s="93" t="inlineStr">
        <is>
          <t>NA</t>
        </is>
      </c>
      <c r="AK450" s="97" t="inlineStr">
        <is>
          <t>NA</t>
        </is>
      </c>
    </row>
    <row r="451">
      <c r="A451" s="21" t="inlineStr">
        <is>
          <t>TATA Tele</t>
        </is>
      </c>
      <c r="B451" s="5" t="inlineStr">
        <is>
          <t>West 1</t>
        </is>
      </c>
      <c r="C451" s="76" t="inlineStr">
        <is>
          <t>Elton</t>
        </is>
      </c>
      <c r="D451" s="26" t="inlineStr">
        <is>
          <t>Sahil</t>
        </is>
      </c>
      <c r="E451" s="26" t="inlineStr">
        <is>
          <t>Category (A)</t>
        </is>
      </c>
      <c r="F451" s="21" t="inlineStr">
        <is>
          <t>Internal KPI</t>
        </is>
      </c>
      <c r="G451" s="21" t="inlineStr">
        <is>
          <t>No</t>
        </is>
      </c>
      <c r="H451" s="21" t="inlineStr">
        <is>
          <t>Ageing</t>
        </is>
      </c>
      <c r="I451" s="20" t="n">
        <v>0.2</v>
      </c>
      <c r="J451" s="20" t="inlineStr">
        <is>
          <t xml:space="preserve">NA </t>
        </is>
      </c>
      <c r="K451" s="20" t="inlineStr">
        <is>
          <t>NA</t>
        </is>
      </c>
      <c r="L451" s="20" t="inlineStr">
        <is>
          <t xml:space="preserve">NA </t>
        </is>
      </c>
      <c r="M451" s="20" t="inlineStr">
        <is>
          <t>NA</t>
        </is>
      </c>
      <c r="N451" s="20" t="inlineStr">
        <is>
          <t xml:space="preserve">NA </t>
        </is>
      </c>
      <c r="O451" s="20" t="inlineStr">
        <is>
          <t>NA</t>
        </is>
      </c>
      <c r="P451" s="20" t="inlineStr">
        <is>
          <t xml:space="preserve">NA </t>
        </is>
      </c>
      <c r="Q451" s="20" t="inlineStr">
        <is>
          <t>NA</t>
        </is>
      </c>
      <c r="R451" s="17" t="inlineStr">
        <is>
          <t>NA</t>
        </is>
      </c>
      <c r="S451" s="20" t="inlineStr">
        <is>
          <t>NA</t>
        </is>
      </c>
      <c r="T451" s="17" t="inlineStr">
        <is>
          <t>NA</t>
        </is>
      </c>
      <c r="U451" s="20" t="inlineStr">
        <is>
          <t>NA</t>
        </is>
      </c>
      <c r="V451" s="17" t="inlineStr">
        <is>
          <t>NA</t>
        </is>
      </c>
      <c r="W451" s="20" t="inlineStr">
        <is>
          <t>NA</t>
        </is>
      </c>
      <c r="X451" s="17" t="inlineStr">
        <is>
          <t>NA</t>
        </is>
      </c>
      <c r="Y451" s="20" t="inlineStr">
        <is>
          <t>NA</t>
        </is>
      </c>
      <c r="Z451" s="17" t="inlineStr">
        <is>
          <t>NA</t>
        </is>
      </c>
      <c r="AA451" s="20" t="inlineStr">
        <is>
          <t>NA</t>
        </is>
      </c>
      <c r="AB451" s="94" t="inlineStr">
        <is>
          <t>NA</t>
        </is>
      </c>
      <c r="AC451" s="20" t="inlineStr">
        <is>
          <t>NA</t>
        </is>
      </c>
      <c r="AD451" s="97" t="inlineStr">
        <is>
          <t>NA</t>
        </is>
      </c>
      <c r="AE451" s="127" t="inlineStr">
        <is>
          <t>NA</t>
        </is>
      </c>
      <c r="AF451" s="93" t="inlineStr">
        <is>
          <t>NA</t>
        </is>
      </c>
      <c r="AG451" s="97" t="inlineStr">
        <is>
          <t>NA</t>
        </is>
      </c>
      <c r="AH451" s="285" t="n">
        <v>0</v>
      </c>
      <c r="AI451" s="285" t="inlineStr">
        <is>
          <t>Not Reported</t>
        </is>
      </c>
      <c r="AJ451" s="93" t="inlineStr">
        <is>
          <t>NA</t>
        </is>
      </c>
      <c r="AK451" s="127" t="inlineStr">
        <is>
          <t>NA</t>
        </is>
      </c>
    </row>
    <row r="452">
      <c r="A452" s="21" t="inlineStr">
        <is>
          <t>TATA Tele</t>
        </is>
      </c>
      <c r="B452" s="5" t="inlineStr">
        <is>
          <t>West 1</t>
        </is>
      </c>
      <c r="C452" s="76" t="inlineStr">
        <is>
          <t>Elton</t>
        </is>
      </c>
      <c r="D452" s="26" t="inlineStr">
        <is>
          <t>Sahil</t>
        </is>
      </c>
      <c r="E452" s="26" t="inlineStr">
        <is>
          <t>Category (A)</t>
        </is>
      </c>
      <c r="F452" s="21" t="inlineStr">
        <is>
          <t>Internal KPI</t>
        </is>
      </c>
      <c r="G452" s="21" t="inlineStr">
        <is>
          <t>No</t>
        </is>
      </c>
      <c r="H452" s="27" t="inlineStr">
        <is>
          <t>Hit Ratio</t>
        </is>
      </c>
      <c r="I452" s="20" t="n">
        <v>0.2</v>
      </c>
      <c r="J452" s="20" t="inlineStr">
        <is>
          <t xml:space="preserve">NA </t>
        </is>
      </c>
      <c r="K452" s="20" t="inlineStr">
        <is>
          <t>NA</t>
        </is>
      </c>
      <c r="L452" s="20" t="inlineStr">
        <is>
          <t xml:space="preserve">NA </t>
        </is>
      </c>
      <c r="M452" s="20" t="inlineStr">
        <is>
          <t>NA</t>
        </is>
      </c>
      <c r="N452" s="20" t="inlineStr">
        <is>
          <t xml:space="preserve">NA </t>
        </is>
      </c>
      <c r="O452" s="20" t="inlineStr">
        <is>
          <t>NA</t>
        </is>
      </c>
      <c r="P452" s="20" t="inlineStr">
        <is>
          <t xml:space="preserve">NA </t>
        </is>
      </c>
      <c r="Q452" s="20" t="inlineStr">
        <is>
          <t>NA</t>
        </is>
      </c>
      <c r="R452" s="17" t="inlineStr">
        <is>
          <t>NA</t>
        </is>
      </c>
      <c r="S452" s="20" t="inlineStr">
        <is>
          <t>NA</t>
        </is>
      </c>
      <c r="T452" s="17" t="inlineStr">
        <is>
          <t>NA</t>
        </is>
      </c>
      <c r="U452" s="20" t="inlineStr">
        <is>
          <t>NA</t>
        </is>
      </c>
      <c r="V452" s="17" t="inlineStr">
        <is>
          <t>NA</t>
        </is>
      </c>
      <c r="W452" s="20" t="inlineStr">
        <is>
          <t>NA</t>
        </is>
      </c>
      <c r="X452" s="17" t="inlineStr">
        <is>
          <t>NA</t>
        </is>
      </c>
      <c r="Y452" s="20" t="inlineStr">
        <is>
          <t>NA</t>
        </is>
      </c>
      <c r="Z452" s="17" t="inlineStr">
        <is>
          <t>NA</t>
        </is>
      </c>
      <c r="AA452" s="20" t="inlineStr">
        <is>
          <t>NA</t>
        </is>
      </c>
      <c r="AB452" s="94" t="inlineStr">
        <is>
          <t>NA</t>
        </is>
      </c>
      <c r="AC452" s="20" t="inlineStr">
        <is>
          <t>NA</t>
        </is>
      </c>
      <c r="AD452" s="97" t="inlineStr">
        <is>
          <t>NA</t>
        </is>
      </c>
      <c r="AE452" s="126" t="inlineStr">
        <is>
          <t>NA</t>
        </is>
      </c>
      <c r="AF452" s="93" t="inlineStr">
        <is>
          <t>NA</t>
        </is>
      </c>
      <c r="AG452" s="97" t="inlineStr">
        <is>
          <t>NA</t>
        </is>
      </c>
      <c r="AH452" s="285" t="n">
        <v>0</v>
      </c>
      <c r="AI452" s="285" t="inlineStr">
        <is>
          <t>Not Reported</t>
        </is>
      </c>
      <c r="AJ452" s="93" t="inlineStr">
        <is>
          <t>NA</t>
        </is>
      </c>
      <c r="AK452" s="126" t="inlineStr">
        <is>
          <t>NA</t>
        </is>
      </c>
    </row>
    <row r="453">
      <c r="A453" s="21" t="inlineStr">
        <is>
          <t>TATA Tele</t>
        </is>
      </c>
      <c r="B453" s="5" t="inlineStr">
        <is>
          <t>West 1</t>
        </is>
      </c>
      <c r="C453" s="76" t="inlineStr">
        <is>
          <t>Elton</t>
        </is>
      </c>
      <c r="D453" s="26" t="inlineStr">
        <is>
          <t>Sahil</t>
        </is>
      </c>
      <c r="E453" s="26" t="inlineStr">
        <is>
          <t>Category (A)</t>
        </is>
      </c>
      <c r="F453" s="21" t="inlineStr">
        <is>
          <t>Internal KPI</t>
        </is>
      </c>
      <c r="G453" s="21" t="inlineStr">
        <is>
          <t>No</t>
        </is>
      </c>
      <c r="H453" s="21" t="inlineStr">
        <is>
          <t>Offer Drop</t>
        </is>
      </c>
      <c r="I453" s="20" t="n">
        <v>0.05</v>
      </c>
      <c r="J453" s="20" t="inlineStr">
        <is>
          <t xml:space="preserve">NA </t>
        </is>
      </c>
      <c r="K453" s="20" t="inlineStr">
        <is>
          <t>NA</t>
        </is>
      </c>
      <c r="L453" s="20" t="inlineStr">
        <is>
          <t xml:space="preserve">NA </t>
        </is>
      </c>
      <c r="M453" s="20" t="inlineStr">
        <is>
          <t>NA</t>
        </is>
      </c>
      <c r="N453" s="20" t="inlineStr">
        <is>
          <t xml:space="preserve">NA </t>
        </is>
      </c>
      <c r="O453" s="20" t="inlineStr">
        <is>
          <t>NA</t>
        </is>
      </c>
      <c r="P453" s="20" t="inlineStr">
        <is>
          <t xml:space="preserve">NA </t>
        </is>
      </c>
      <c r="Q453" s="20" t="inlineStr">
        <is>
          <t>NA</t>
        </is>
      </c>
      <c r="R453" s="17" t="inlineStr">
        <is>
          <t>NA</t>
        </is>
      </c>
      <c r="S453" s="20" t="inlineStr">
        <is>
          <t>NA</t>
        </is>
      </c>
      <c r="T453" s="17" t="inlineStr">
        <is>
          <t>NA</t>
        </is>
      </c>
      <c r="U453" s="20" t="inlineStr">
        <is>
          <t>NA</t>
        </is>
      </c>
      <c r="V453" s="17" t="inlineStr">
        <is>
          <t>NA</t>
        </is>
      </c>
      <c r="W453" s="20" t="inlineStr">
        <is>
          <t>NA</t>
        </is>
      </c>
      <c r="X453" s="17" t="inlineStr">
        <is>
          <t>NA</t>
        </is>
      </c>
      <c r="Y453" s="20" t="inlineStr">
        <is>
          <t>NA</t>
        </is>
      </c>
      <c r="Z453" s="17" t="inlineStr">
        <is>
          <t>NA</t>
        </is>
      </c>
      <c r="AA453" s="20" t="inlineStr">
        <is>
          <t>NA</t>
        </is>
      </c>
      <c r="AB453" s="94" t="inlineStr">
        <is>
          <t>NA</t>
        </is>
      </c>
      <c r="AC453" s="20" t="inlineStr">
        <is>
          <t>NA</t>
        </is>
      </c>
      <c r="AD453" s="97" t="inlineStr">
        <is>
          <t>NA</t>
        </is>
      </c>
      <c r="AE453" s="126" t="inlineStr">
        <is>
          <t>NA</t>
        </is>
      </c>
      <c r="AF453" s="93" t="inlineStr">
        <is>
          <t>NA</t>
        </is>
      </c>
      <c r="AG453" s="97" t="inlineStr">
        <is>
          <t>NA</t>
        </is>
      </c>
      <c r="AH453" s="285" t="n">
        <v>0</v>
      </c>
      <c r="AI453" s="285" t="inlineStr">
        <is>
          <t>Not Reported</t>
        </is>
      </c>
      <c r="AJ453" s="93" t="inlineStr">
        <is>
          <t>NA</t>
        </is>
      </c>
      <c r="AK453" s="126" t="inlineStr">
        <is>
          <t>NA</t>
        </is>
      </c>
    </row>
    <row r="454">
      <c r="A454" s="21" t="inlineStr">
        <is>
          <t>TITAN</t>
        </is>
      </c>
      <c r="B454" s="5" t="inlineStr">
        <is>
          <t xml:space="preserve">South 1 </t>
        </is>
      </c>
      <c r="C454" s="5" t="inlineStr">
        <is>
          <t>TBH</t>
        </is>
      </c>
      <c r="D454" s="26" t="inlineStr">
        <is>
          <t>Debashreeta</t>
        </is>
      </c>
      <c r="E454" s="26" t="inlineStr">
        <is>
          <t>Category (A)</t>
        </is>
      </c>
      <c r="F454" s="21" t="inlineStr">
        <is>
          <t>Internal KPI</t>
        </is>
      </c>
      <c r="G454" s="21" t="inlineStr">
        <is>
          <t>No</t>
        </is>
      </c>
      <c r="H454" s="27" t="inlineStr">
        <is>
          <t>Time to Fill</t>
        </is>
      </c>
      <c r="I454" s="17" t="inlineStr">
        <is>
          <t>30 days</t>
        </is>
      </c>
      <c r="J454" s="14" t="inlineStr">
        <is>
          <t xml:space="preserve">NA </t>
        </is>
      </c>
      <c r="K454" s="14" t="inlineStr">
        <is>
          <t xml:space="preserve">NA </t>
        </is>
      </c>
      <c r="L454" s="20" t="inlineStr">
        <is>
          <t xml:space="preserve">NA </t>
        </is>
      </c>
      <c r="M454" s="20" t="inlineStr">
        <is>
          <t>NA</t>
        </is>
      </c>
      <c r="N454" s="20" t="inlineStr">
        <is>
          <t xml:space="preserve">NA </t>
        </is>
      </c>
      <c r="O454" s="20" t="inlineStr">
        <is>
          <t>NA</t>
        </is>
      </c>
      <c r="P454" s="20" t="inlineStr">
        <is>
          <t xml:space="preserve">NA </t>
        </is>
      </c>
      <c r="Q454" s="20" t="inlineStr">
        <is>
          <t>NA</t>
        </is>
      </c>
      <c r="R454" s="17" t="inlineStr">
        <is>
          <t>NA</t>
        </is>
      </c>
      <c r="S454" s="20" t="inlineStr">
        <is>
          <t>NA</t>
        </is>
      </c>
      <c r="T454" s="17" t="inlineStr">
        <is>
          <t>NA</t>
        </is>
      </c>
      <c r="U454" s="20" t="inlineStr">
        <is>
          <t>NA</t>
        </is>
      </c>
      <c r="V454" s="17" t="inlineStr">
        <is>
          <t>NA</t>
        </is>
      </c>
      <c r="W454" s="20" t="inlineStr">
        <is>
          <t>NA</t>
        </is>
      </c>
      <c r="X454" s="17" t="inlineStr">
        <is>
          <t>NA</t>
        </is>
      </c>
      <c r="Y454" s="20" t="inlineStr">
        <is>
          <t>NA</t>
        </is>
      </c>
      <c r="Z454" s="17" t="inlineStr">
        <is>
          <t>NA</t>
        </is>
      </c>
      <c r="AA454" s="20" t="inlineStr">
        <is>
          <t>NA</t>
        </is>
      </c>
      <c r="AB454" s="93" t="inlineStr">
        <is>
          <t>NA</t>
        </is>
      </c>
      <c r="AC454" s="20" t="inlineStr">
        <is>
          <t>NA</t>
        </is>
      </c>
      <c r="AD454" s="97" t="inlineStr">
        <is>
          <t>NA</t>
        </is>
      </c>
      <c r="AE454" s="97" t="inlineStr">
        <is>
          <t>NA</t>
        </is>
      </c>
      <c r="AF454" s="93" t="inlineStr">
        <is>
          <t>NA</t>
        </is>
      </c>
      <c r="AG454" s="97" t="inlineStr">
        <is>
          <t>NA</t>
        </is>
      </c>
      <c r="AH454" s="285" t="n">
        <v>0</v>
      </c>
      <c r="AI454" s="285" t="inlineStr">
        <is>
          <t>Not Reported</t>
        </is>
      </c>
      <c r="AJ454" s="93" t="inlineStr">
        <is>
          <t>NA</t>
        </is>
      </c>
      <c r="AK454" s="97" t="inlineStr">
        <is>
          <t>NA</t>
        </is>
      </c>
    </row>
    <row r="455">
      <c r="A455" s="21" t="inlineStr">
        <is>
          <t>TITAN</t>
        </is>
      </c>
      <c r="B455" s="5" t="inlineStr">
        <is>
          <t xml:space="preserve">South 1 </t>
        </is>
      </c>
      <c r="C455" s="5" t="inlineStr">
        <is>
          <t>TBH</t>
        </is>
      </c>
      <c r="D455" s="26" t="inlineStr">
        <is>
          <t>Debashreeta</t>
        </is>
      </c>
      <c r="E455" s="26" t="inlineStr">
        <is>
          <t>Category (A)</t>
        </is>
      </c>
      <c r="F455" s="21" t="inlineStr">
        <is>
          <t>Internal KPI</t>
        </is>
      </c>
      <c r="G455" s="21" t="inlineStr">
        <is>
          <t>No</t>
        </is>
      </c>
      <c r="H455" s="21" t="inlineStr">
        <is>
          <t>Ageing</t>
        </is>
      </c>
      <c r="I455" s="17" t="inlineStr">
        <is>
          <t>Target not shared</t>
        </is>
      </c>
      <c r="J455" s="20" t="inlineStr">
        <is>
          <t>NA</t>
        </is>
      </c>
      <c r="K455" s="20" t="inlineStr">
        <is>
          <t>NA</t>
        </is>
      </c>
      <c r="L455" s="20" t="inlineStr">
        <is>
          <t xml:space="preserve">NA </t>
        </is>
      </c>
      <c r="M455" s="20" t="inlineStr">
        <is>
          <t>NA</t>
        </is>
      </c>
      <c r="N455" s="20" t="inlineStr">
        <is>
          <t xml:space="preserve">NA </t>
        </is>
      </c>
      <c r="O455" s="20" t="inlineStr">
        <is>
          <t>NA</t>
        </is>
      </c>
      <c r="P455" s="20" t="inlineStr">
        <is>
          <t xml:space="preserve">NA </t>
        </is>
      </c>
      <c r="Q455" s="20" t="inlineStr">
        <is>
          <t>NA</t>
        </is>
      </c>
      <c r="R455" s="17" t="inlineStr">
        <is>
          <t>NA</t>
        </is>
      </c>
      <c r="S455" s="20" t="inlineStr">
        <is>
          <t>NA</t>
        </is>
      </c>
      <c r="T455" s="17" t="inlineStr">
        <is>
          <t>NA</t>
        </is>
      </c>
      <c r="U455" s="20" t="inlineStr">
        <is>
          <t>NA</t>
        </is>
      </c>
      <c r="V455" s="17" t="inlineStr">
        <is>
          <t>NA</t>
        </is>
      </c>
      <c r="W455" s="20" t="inlineStr">
        <is>
          <t>NA</t>
        </is>
      </c>
      <c r="X455" s="17" t="inlineStr">
        <is>
          <t>NA</t>
        </is>
      </c>
      <c r="Y455" s="20" t="inlineStr">
        <is>
          <t>NA</t>
        </is>
      </c>
      <c r="Z455" s="17" t="inlineStr">
        <is>
          <t>NA</t>
        </is>
      </c>
      <c r="AA455" s="20" t="inlineStr">
        <is>
          <t>NA</t>
        </is>
      </c>
      <c r="AB455" s="93" t="inlineStr">
        <is>
          <t>NA</t>
        </is>
      </c>
      <c r="AC455" s="20" t="inlineStr">
        <is>
          <t>NA</t>
        </is>
      </c>
      <c r="AD455" s="97" t="inlineStr">
        <is>
          <t>NA</t>
        </is>
      </c>
      <c r="AE455" s="97" t="inlineStr">
        <is>
          <t>NA</t>
        </is>
      </c>
      <c r="AF455" s="93" t="inlineStr">
        <is>
          <t>NA</t>
        </is>
      </c>
      <c r="AG455" s="97" t="inlineStr">
        <is>
          <t>NA</t>
        </is>
      </c>
      <c r="AH455" s="285" t="n">
        <v>0</v>
      </c>
      <c r="AI455" s="285" t="inlineStr">
        <is>
          <t>Not Reported</t>
        </is>
      </c>
      <c r="AJ455" s="93" t="inlineStr">
        <is>
          <t>NA</t>
        </is>
      </c>
      <c r="AK455" s="97" t="inlineStr">
        <is>
          <t>NA</t>
        </is>
      </c>
    </row>
    <row r="456">
      <c r="A456" s="21" t="inlineStr">
        <is>
          <t>TITAN</t>
        </is>
      </c>
      <c r="B456" s="5" t="inlineStr">
        <is>
          <t xml:space="preserve">South 1 </t>
        </is>
      </c>
      <c r="C456" s="5" t="inlineStr">
        <is>
          <t>TBH</t>
        </is>
      </c>
      <c r="D456" s="26" t="inlineStr">
        <is>
          <t>Debashreeta</t>
        </is>
      </c>
      <c r="E456" s="26" t="inlineStr">
        <is>
          <t>Category (A)</t>
        </is>
      </c>
      <c r="F456" s="21" t="inlineStr">
        <is>
          <t>Internal KPI</t>
        </is>
      </c>
      <c r="G456" s="21" t="inlineStr">
        <is>
          <t>No</t>
        </is>
      </c>
      <c r="H456" s="27" t="inlineStr">
        <is>
          <t>First Time Right Ratio</t>
        </is>
      </c>
      <c r="I456" s="17" t="inlineStr">
        <is>
          <t>Target not shared</t>
        </is>
      </c>
      <c r="J456" s="20" t="inlineStr">
        <is>
          <t>NA</t>
        </is>
      </c>
      <c r="K456" s="20" t="inlineStr">
        <is>
          <t>NA</t>
        </is>
      </c>
      <c r="L456" s="20" t="inlineStr">
        <is>
          <t xml:space="preserve">NA </t>
        </is>
      </c>
      <c r="M456" s="20" t="inlineStr">
        <is>
          <t>NA</t>
        </is>
      </c>
      <c r="N456" s="20" t="inlineStr">
        <is>
          <t xml:space="preserve">NA </t>
        </is>
      </c>
      <c r="O456" s="20" t="inlineStr">
        <is>
          <t>NA</t>
        </is>
      </c>
      <c r="P456" s="20" t="inlineStr">
        <is>
          <t xml:space="preserve">NA </t>
        </is>
      </c>
      <c r="Q456" s="20" t="inlineStr">
        <is>
          <t>NA</t>
        </is>
      </c>
      <c r="R456" s="17" t="inlineStr">
        <is>
          <t>NA</t>
        </is>
      </c>
      <c r="S456" s="20" t="inlineStr">
        <is>
          <t>NA</t>
        </is>
      </c>
      <c r="T456" s="17" t="inlineStr">
        <is>
          <t>NA</t>
        </is>
      </c>
      <c r="U456" s="20" t="inlineStr">
        <is>
          <t>NA</t>
        </is>
      </c>
      <c r="V456" s="17" t="inlineStr">
        <is>
          <t>NA</t>
        </is>
      </c>
      <c r="W456" s="20" t="inlineStr">
        <is>
          <t>NA</t>
        </is>
      </c>
      <c r="X456" s="17" t="inlineStr">
        <is>
          <t>NA</t>
        </is>
      </c>
      <c r="Y456" s="20" t="inlineStr">
        <is>
          <t>NA</t>
        </is>
      </c>
      <c r="Z456" s="17" t="inlineStr">
        <is>
          <t>NA</t>
        </is>
      </c>
      <c r="AA456" s="20" t="inlineStr">
        <is>
          <t>NA</t>
        </is>
      </c>
      <c r="AB456" s="93" t="inlineStr">
        <is>
          <t>NA</t>
        </is>
      </c>
      <c r="AC456" s="20" t="inlineStr">
        <is>
          <t>NA</t>
        </is>
      </c>
      <c r="AD456" s="97" t="inlineStr">
        <is>
          <t>NA</t>
        </is>
      </c>
      <c r="AE456" s="97" t="inlineStr">
        <is>
          <t>NA</t>
        </is>
      </c>
      <c r="AF456" s="93" t="inlineStr">
        <is>
          <t>NA</t>
        </is>
      </c>
      <c r="AG456" s="97" t="inlineStr">
        <is>
          <t>NA</t>
        </is>
      </c>
      <c r="AH456" s="285" t="n">
        <v>0</v>
      </c>
      <c r="AI456" s="285" t="inlineStr">
        <is>
          <t>Not Reported</t>
        </is>
      </c>
      <c r="AJ456" s="93" t="inlineStr">
        <is>
          <t>NA</t>
        </is>
      </c>
      <c r="AK456" s="97" t="inlineStr">
        <is>
          <t>NA</t>
        </is>
      </c>
    </row>
    <row r="457">
      <c r="A457" s="21" t="inlineStr">
        <is>
          <t>TITAN</t>
        </is>
      </c>
      <c r="B457" s="5" t="inlineStr">
        <is>
          <t xml:space="preserve">South 1 </t>
        </is>
      </c>
      <c r="C457" s="5" t="inlineStr">
        <is>
          <t>TBH</t>
        </is>
      </c>
      <c r="D457" s="26" t="inlineStr">
        <is>
          <t>Debashreeta</t>
        </is>
      </c>
      <c r="E457" s="26" t="inlineStr">
        <is>
          <t>Category (A)</t>
        </is>
      </c>
      <c r="F457" s="21" t="inlineStr">
        <is>
          <t>Internal KPI</t>
        </is>
      </c>
      <c r="G457" s="21" t="inlineStr">
        <is>
          <t>No</t>
        </is>
      </c>
      <c r="H457" s="27" t="inlineStr">
        <is>
          <t xml:space="preserve">Fulfilment </t>
        </is>
      </c>
      <c r="I457" s="17" t="inlineStr">
        <is>
          <t>Target not shared</t>
        </is>
      </c>
      <c r="J457" s="20" t="inlineStr">
        <is>
          <t>NA</t>
        </is>
      </c>
      <c r="K457" s="20" t="inlineStr">
        <is>
          <t>NA</t>
        </is>
      </c>
      <c r="L457" s="20" t="inlineStr">
        <is>
          <t xml:space="preserve">NA </t>
        </is>
      </c>
      <c r="M457" s="20" t="inlineStr">
        <is>
          <t>NA</t>
        </is>
      </c>
      <c r="N457" s="20" t="inlineStr">
        <is>
          <t xml:space="preserve">NA </t>
        </is>
      </c>
      <c r="O457" s="20" t="inlineStr">
        <is>
          <t>NA</t>
        </is>
      </c>
      <c r="P457" s="20" t="inlineStr">
        <is>
          <t xml:space="preserve">NA </t>
        </is>
      </c>
      <c r="Q457" s="20" t="inlineStr">
        <is>
          <t>NA</t>
        </is>
      </c>
      <c r="R457" s="17" t="inlineStr">
        <is>
          <t>NA</t>
        </is>
      </c>
      <c r="S457" s="20" t="inlineStr">
        <is>
          <t>NA</t>
        </is>
      </c>
      <c r="T457" s="17" t="inlineStr">
        <is>
          <t>NA</t>
        </is>
      </c>
      <c r="U457" s="20" t="inlineStr">
        <is>
          <t>NA</t>
        </is>
      </c>
      <c r="V457" s="17" t="inlineStr">
        <is>
          <t>NA</t>
        </is>
      </c>
      <c r="W457" s="20" t="inlineStr">
        <is>
          <t>NA</t>
        </is>
      </c>
      <c r="X457" s="17" t="inlineStr">
        <is>
          <t>NA</t>
        </is>
      </c>
      <c r="Y457" s="20" t="inlineStr">
        <is>
          <t>NA</t>
        </is>
      </c>
      <c r="Z457" s="17" t="inlineStr">
        <is>
          <t>NA</t>
        </is>
      </c>
      <c r="AA457" s="20" t="inlineStr">
        <is>
          <t>NA</t>
        </is>
      </c>
      <c r="AB457" s="93" t="inlineStr">
        <is>
          <t>NA</t>
        </is>
      </c>
      <c r="AC457" s="20" t="inlineStr">
        <is>
          <t>NA</t>
        </is>
      </c>
      <c r="AD457" s="97" t="inlineStr">
        <is>
          <t>NA</t>
        </is>
      </c>
      <c r="AE457" s="97" t="inlineStr">
        <is>
          <t>NA</t>
        </is>
      </c>
      <c r="AF457" s="93" t="inlineStr">
        <is>
          <t>NA</t>
        </is>
      </c>
      <c r="AG457" s="97" t="inlineStr">
        <is>
          <t>NA</t>
        </is>
      </c>
      <c r="AH457" s="285" t="n">
        <v>0</v>
      </c>
      <c r="AI457" s="285" t="inlineStr">
        <is>
          <t>Not Reported</t>
        </is>
      </c>
      <c r="AJ457" s="93" t="inlineStr">
        <is>
          <t>NA</t>
        </is>
      </c>
      <c r="AK457" s="97" t="inlineStr">
        <is>
          <t>NA</t>
        </is>
      </c>
    </row>
    <row r="458">
      <c r="A458" s="21" t="inlineStr">
        <is>
          <t>TITAN</t>
        </is>
      </c>
      <c r="B458" s="5" t="inlineStr">
        <is>
          <t xml:space="preserve">South 1 </t>
        </is>
      </c>
      <c r="C458" s="5" t="inlineStr">
        <is>
          <t>TBH</t>
        </is>
      </c>
      <c r="D458" s="26" t="inlineStr">
        <is>
          <t>Debashreeta</t>
        </is>
      </c>
      <c r="E458" s="26" t="inlineStr">
        <is>
          <t>Category (A)</t>
        </is>
      </c>
      <c r="F458" s="21" t="inlineStr">
        <is>
          <t>Internal KPI</t>
        </is>
      </c>
      <c r="G458" s="21" t="inlineStr">
        <is>
          <t>No</t>
        </is>
      </c>
      <c r="H458" s="27" t="inlineStr">
        <is>
          <t>Time to Hire</t>
        </is>
      </c>
      <c r="I458" s="17" t="inlineStr">
        <is>
          <t>90 days</t>
        </is>
      </c>
      <c r="J458" s="20" t="inlineStr">
        <is>
          <t>NA</t>
        </is>
      </c>
      <c r="K458" s="20" t="inlineStr">
        <is>
          <t>NA</t>
        </is>
      </c>
      <c r="L458" s="20" t="inlineStr">
        <is>
          <t xml:space="preserve">NA </t>
        </is>
      </c>
      <c r="M458" s="20" t="inlineStr">
        <is>
          <t>NA</t>
        </is>
      </c>
      <c r="N458" s="20" t="inlineStr">
        <is>
          <t xml:space="preserve">NA </t>
        </is>
      </c>
      <c r="O458" s="20" t="inlineStr">
        <is>
          <t>NA</t>
        </is>
      </c>
      <c r="P458" s="20" t="inlineStr">
        <is>
          <t xml:space="preserve">NA </t>
        </is>
      </c>
      <c r="Q458" s="20" t="inlineStr">
        <is>
          <t>NA</t>
        </is>
      </c>
      <c r="R458" s="17" t="inlineStr">
        <is>
          <t>NA</t>
        </is>
      </c>
      <c r="S458" s="20" t="inlineStr">
        <is>
          <t>NA</t>
        </is>
      </c>
      <c r="T458" s="17" t="inlineStr">
        <is>
          <t>NA</t>
        </is>
      </c>
      <c r="U458" s="20" t="inlineStr">
        <is>
          <t>NA</t>
        </is>
      </c>
      <c r="V458" s="17" t="inlineStr">
        <is>
          <t>NA</t>
        </is>
      </c>
      <c r="W458" s="20" t="inlineStr">
        <is>
          <t>NA</t>
        </is>
      </c>
      <c r="X458" s="17" t="inlineStr">
        <is>
          <t>NA</t>
        </is>
      </c>
      <c r="Y458" s="20" t="inlineStr">
        <is>
          <t>NA</t>
        </is>
      </c>
      <c r="Z458" s="17" t="inlineStr">
        <is>
          <t>NA</t>
        </is>
      </c>
      <c r="AA458" s="20" t="inlineStr">
        <is>
          <t>NA</t>
        </is>
      </c>
      <c r="AB458" s="93" t="inlineStr">
        <is>
          <t>NA</t>
        </is>
      </c>
      <c r="AC458" s="20" t="inlineStr">
        <is>
          <t>NA</t>
        </is>
      </c>
      <c r="AD458" s="97" t="inlineStr">
        <is>
          <t>NA</t>
        </is>
      </c>
      <c r="AE458" s="97" t="inlineStr">
        <is>
          <t>NA</t>
        </is>
      </c>
      <c r="AF458" s="93" t="inlineStr">
        <is>
          <t>NA</t>
        </is>
      </c>
      <c r="AG458" s="97" t="inlineStr">
        <is>
          <t>NA</t>
        </is>
      </c>
      <c r="AH458" s="285" t="n">
        <v>0</v>
      </c>
      <c r="AI458" s="285" t="inlineStr">
        <is>
          <t>Not Reported</t>
        </is>
      </c>
      <c r="AJ458" s="93" t="inlineStr">
        <is>
          <t>NA</t>
        </is>
      </c>
      <c r="AK458" s="97" t="inlineStr">
        <is>
          <t>NA</t>
        </is>
      </c>
    </row>
    <row r="459">
      <c r="A459" s="21" t="inlineStr">
        <is>
          <t>TITAN</t>
        </is>
      </c>
      <c r="B459" s="5" t="inlineStr">
        <is>
          <t xml:space="preserve">South 1 </t>
        </is>
      </c>
      <c r="C459" s="5" t="inlineStr">
        <is>
          <t>TBH</t>
        </is>
      </c>
      <c r="D459" s="26" t="inlineStr">
        <is>
          <t>Debashreeta</t>
        </is>
      </c>
      <c r="E459" s="26" t="inlineStr">
        <is>
          <t>Category (A)</t>
        </is>
      </c>
      <c r="F459" s="21" t="inlineStr">
        <is>
          <t>Internal KPI</t>
        </is>
      </c>
      <c r="G459" s="21" t="inlineStr">
        <is>
          <t>No</t>
        </is>
      </c>
      <c r="H459" s="27" t="inlineStr">
        <is>
          <t>Hit Ratio</t>
        </is>
      </c>
      <c r="I459" s="17" t="inlineStr">
        <is>
          <t>Target not shared</t>
        </is>
      </c>
      <c r="J459" s="20" t="inlineStr">
        <is>
          <t>NA</t>
        </is>
      </c>
      <c r="K459" s="20" t="inlineStr">
        <is>
          <t>NA</t>
        </is>
      </c>
      <c r="L459" s="20" t="inlineStr">
        <is>
          <t xml:space="preserve">NA </t>
        </is>
      </c>
      <c r="M459" s="20" t="inlineStr">
        <is>
          <t>NA</t>
        </is>
      </c>
      <c r="N459" s="20" t="inlineStr">
        <is>
          <t xml:space="preserve">NA </t>
        </is>
      </c>
      <c r="O459" s="20" t="inlineStr">
        <is>
          <t>NA</t>
        </is>
      </c>
      <c r="P459" s="20" t="inlineStr">
        <is>
          <t xml:space="preserve">NA </t>
        </is>
      </c>
      <c r="Q459" s="20" t="inlineStr">
        <is>
          <t>NA</t>
        </is>
      </c>
      <c r="R459" s="17" t="inlineStr">
        <is>
          <t>NA</t>
        </is>
      </c>
      <c r="S459" s="20" t="inlineStr">
        <is>
          <t>NA</t>
        </is>
      </c>
      <c r="T459" s="17" t="inlineStr">
        <is>
          <t>NA</t>
        </is>
      </c>
      <c r="U459" s="20" t="inlineStr">
        <is>
          <t>NA</t>
        </is>
      </c>
      <c r="V459" s="17" t="inlineStr">
        <is>
          <t>NA</t>
        </is>
      </c>
      <c r="W459" s="20" t="inlineStr">
        <is>
          <t>NA</t>
        </is>
      </c>
      <c r="X459" s="17" t="inlineStr">
        <is>
          <t>NA</t>
        </is>
      </c>
      <c r="Y459" s="20" t="inlineStr">
        <is>
          <t>NA</t>
        </is>
      </c>
      <c r="Z459" s="17" t="inlineStr">
        <is>
          <t>NA</t>
        </is>
      </c>
      <c r="AA459" s="20" t="inlineStr">
        <is>
          <t>NA</t>
        </is>
      </c>
      <c r="AB459" s="93" t="inlineStr">
        <is>
          <t>NA</t>
        </is>
      </c>
      <c r="AC459" s="20" t="inlineStr">
        <is>
          <t>NA</t>
        </is>
      </c>
      <c r="AD459" s="97" t="inlineStr">
        <is>
          <t>NA</t>
        </is>
      </c>
      <c r="AE459" s="97" t="inlineStr">
        <is>
          <t>NA</t>
        </is>
      </c>
      <c r="AF459" s="93" t="inlineStr">
        <is>
          <t>NA</t>
        </is>
      </c>
      <c r="AG459" s="97" t="inlineStr">
        <is>
          <t>NA</t>
        </is>
      </c>
      <c r="AH459" s="285" t="n">
        <v>0</v>
      </c>
      <c r="AI459" s="285" t="inlineStr">
        <is>
          <t>Not Reported</t>
        </is>
      </c>
      <c r="AJ459" s="93" t="inlineStr">
        <is>
          <t>NA</t>
        </is>
      </c>
      <c r="AK459" s="97" t="inlineStr">
        <is>
          <t>NA</t>
        </is>
      </c>
    </row>
    <row r="460">
      <c r="A460" s="21" t="inlineStr">
        <is>
          <t>TITAN</t>
        </is>
      </c>
      <c r="B460" s="5" t="inlineStr">
        <is>
          <t xml:space="preserve">South 1 </t>
        </is>
      </c>
      <c r="C460" s="5" t="inlineStr">
        <is>
          <t>TBH</t>
        </is>
      </c>
      <c r="D460" s="26" t="inlineStr">
        <is>
          <t>Debashreeta</t>
        </is>
      </c>
      <c r="E460" s="26" t="inlineStr">
        <is>
          <t>Category (A)</t>
        </is>
      </c>
      <c r="F460" s="21" t="inlineStr">
        <is>
          <t>Internal KPI</t>
        </is>
      </c>
      <c r="G460" s="21" t="inlineStr">
        <is>
          <t>No</t>
        </is>
      </c>
      <c r="H460" s="21" t="inlineStr">
        <is>
          <t>Offer Drop</t>
        </is>
      </c>
      <c r="I460" s="18" t="n">
        <v>0.3</v>
      </c>
      <c r="J460" s="20" t="inlineStr">
        <is>
          <t>NA</t>
        </is>
      </c>
      <c r="K460" s="20" t="inlineStr">
        <is>
          <t>NA</t>
        </is>
      </c>
      <c r="L460" s="20" t="inlineStr">
        <is>
          <t xml:space="preserve">NA </t>
        </is>
      </c>
      <c r="M460" s="20" t="inlineStr">
        <is>
          <t>NA</t>
        </is>
      </c>
      <c r="N460" s="20" t="inlineStr">
        <is>
          <t xml:space="preserve">NA </t>
        </is>
      </c>
      <c r="O460" s="20" t="inlineStr">
        <is>
          <t>NA</t>
        </is>
      </c>
      <c r="P460" s="20" t="inlineStr">
        <is>
          <t xml:space="preserve">NA </t>
        </is>
      </c>
      <c r="Q460" s="20" t="inlineStr">
        <is>
          <t>NA</t>
        </is>
      </c>
      <c r="R460" s="17" t="inlineStr">
        <is>
          <t>NA</t>
        </is>
      </c>
      <c r="S460" s="20" t="inlineStr">
        <is>
          <t>NA</t>
        </is>
      </c>
      <c r="T460" s="17" t="inlineStr">
        <is>
          <t>NA</t>
        </is>
      </c>
      <c r="U460" s="20" t="inlineStr">
        <is>
          <t>NA</t>
        </is>
      </c>
      <c r="V460" s="17" t="inlineStr">
        <is>
          <t>NA</t>
        </is>
      </c>
      <c r="W460" s="20" t="inlineStr">
        <is>
          <t>NA</t>
        </is>
      </c>
      <c r="X460" s="17" t="inlineStr">
        <is>
          <t>NA</t>
        </is>
      </c>
      <c r="Y460" s="20" t="inlineStr">
        <is>
          <t>NA</t>
        </is>
      </c>
      <c r="Z460" s="17" t="inlineStr">
        <is>
          <t>NA</t>
        </is>
      </c>
      <c r="AA460" s="20" t="inlineStr">
        <is>
          <t>NA</t>
        </is>
      </c>
      <c r="AB460" s="93" t="inlineStr">
        <is>
          <t>NA</t>
        </is>
      </c>
      <c r="AC460" s="20" t="inlineStr">
        <is>
          <t>NA</t>
        </is>
      </c>
      <c r="AD460" s="97" t="inlineStr">
        <is>
          <t>NA</t>
        </is>
      </c>
      <c r="AE460" s="97" t="inlineStr">
        <is>
          <t>NA</t>
        </is>
      </c>
      <c r="AF460" s="93" t="inlineStr">
        <is>
          <t>NA</t>
        </is>
      </c>
      <c r="AG460" s="97" t="inlineStr">
        <is>
          <t>NA</t>
        </is>
      </c>
      <c r="AH460" s="285" t="n">
        <v>0</v>
      </c>
      <c r="AI460" s="285" t="inlineStr">
        <is>
          <t>Not Reported</t>
        </is>
      </c>
      <c r="AJ460" s="93" t="inlineStr">
        <is>
          <t>NA</t>
        </is>
      </c>
      <c r="AK460" s="97" t="inlineStr">
        <is>
          <t>NA</t>
        </is>
      </c>
    </row>
    <row r="461">
      <c r="A461" s="21" t="inlineStr">
        <is>
          <t>Ultratech</t>
        </is>
      </c>
      <c r="B461" s="5" t="inlineStr">
        <is>
          <t>West 2</t>
        </is>
      </c>
      <c r="C461" s="76" t="inlineStr">
        <is>
          <t>Shweta</t>
        </is>
      </c>
      <c r="D461" s="26" t="inlineStr">
        <is>
          <t>Himanshu Srivastava</t>
        </is>
      </c>
      <c r="E461" s="26" t="inlineStr">
        <is>
          <t>Category (B)</t>
        </is>
      </c>
      <c r="F461" s="21" t="inlineStr">
        <is>
          <t>Contractual SLA</t>
        </is>
      </c>
      <c r="G461" s="21" t="inlineStr">
        <is>
          <t>Yes</t>
        </is>
      </c>
      <c r="H461" s="27" t="inlineStr">
        <is>
          <t>Time to Hire</t>
        </is>
      </c>
      <c r="I461" s="14" t="inlineStr">
        <is>
          <t>45 Days for TM</t>
        </is>
      </c>
      <c r="J461" s="28" t="inlineStr">
        <is>
          <t>NA</t>
        </is>
      </c>
      <c r="K461" s="20" t="inlineStr">
        <is>
          <t>NA</t>
        </is>
      </c>
      <c r="L461" s="28" t="inlineStr">
        <is>
          <t>NA</t>
        </is>
      </c>
      <c r="M461" s="20" t="inlineStr">
        <is>
          <t>NA</t>
        </is>
      </c>
      <c r="N461" s="28" t="inlineStr">
        <is>
          <t>NA</t>
        </is>
      </c>
      <c r="O461" s="20" t="inlineStr">
        <is>
          <t>NA</t>
        </is>
      </c>
      <c r="P461" s="28" t="inlineStr">
        <is>
          <t>NA</t>
        </is>
      </c>
      <c r="Q461" s="20" t="inlineStr">
        <is>
          <t>NA</t>
        </is>
      </c>
      <c r="R461" s="17" t="inlineStr">
        <is>
          <t>NA</t>
        </is>
      </c>
      <c r="S461" s="20" t="inlineStr">
        <is>
          <t>NA</t>
        </is>
      </c>
      <c r="T461" s="17" t="inlineStr">
        <is>
          <t>NA</t>
        </is>
      </c>
      <c r="U461" s="20" t="inlineStr">
        <is>
          <t>NA</t>
        </is>
      </c>
      <c r="V461" s="17" t="inlineStr">
        <is>
          <t>NA</t>
        </is>
      </c>
      <c r="W461" s="20" t="inlineStr">
        <is>
          <t>NA</t>
        </is>
      </c>
      <c r="X461" s="17" t="inlineStr">
        <is>
          <t>NA</t>
        </is>
      </c>
      <c r="Y461" s="20" t="inlineStr">
        <is>
          <t>NA</t>
        </is>
      </c>
      <c r="Z461" s="17" t="inlineStr">
        <is>
          <t>NA</t>
        </is>
      </c>
      <c r="AA461" s="20" t="inlineStr">
        <is>
          <t>NA</t>
        </is>
      </c>
      <c r="AB461" s="93" t="inlineStr">
        <is>
          <t>NA</t>
        </is>
      </c>
      <c r="AC461" s="20" t="inlineStr">
        <is>
          <t>NA</t>
        </is>
      </c>
      <c r="AD461" s="97" t="inlineStr">
        <is>
          <t>NA</t>
        </is>
      </c>
      <c r="AE461" s="97" t="inlineStr">
        <is>
          <t>NA</t>
        </is>
      </c>
      <c r="AF461" s="93" t="inlineStr">
        <is>
          <t>NA</t>
        </is>
      </c>
      <c r="AG461" s="97" t="inlineStr">
        <is>
          <t>NA</t>
        </is>
      </c>
      <c r="AH461" s="285" t="n">
        <v>0</v>
      </c>
      <c r="AI461" s="285" t="inlineStr">
        <is>
          <t>Not Reported</t>
        </is>
      </c>
      <c r="AJ461" s="93" t="inlineStr">
        <is>
          <t>NA</t>
        </is>
      </c>
      <c r="AK461" s="97" t="inlineStr">
        <is>
          <t>NA</t>
        </is>
      </c>
    </row>
    <row r="462">
      <c r="A462" s="21" t="inlineStr">
        <is>
          <t>Ultratech</t>
        </is>
      </c>
      <c r="B462" s="5" t="inlineStr">
        <is>
          <t>West 2</t>
        </is>
      </c>
      <c r="C462" s="76" t="inlineStr">
        <is>
          <t>Shweta</t>
        </is>
      </c>
      <c r="D462" s="26" t="inlineStr">
        <is>
          <t>Himanshu Srivastava</t>
        </is>
      </c>
      <c r="E462" s="26" t="inlineStr">
        <is>
          <t>Category (B)</t>
        </is>
      </c>
      <c r="F462" s="21" t="inlineStr">
        <is>
          <t>Contractual SLA</t>
        </is>
      </c>
      <c r="G462" s="21" t="inlineStr">
        <is>
          <t>Yes</t>
        </is>
      </c>
      <c r="H462" s="27" t="inlineStr">
        <is>
          <t>Time to Hire</t>
        </is>
      </c>
      <c r="I462" s="14" t="inlineStr">
        <is>
          <t>60 Days for Process Heads</t>
        </is>
      </c>
      <c r="J462" s="28" t="inlineStr">
        <is>
          <t>NA</t>
        </is>
      </c>
      <c r="K462" s="20" t="inlineStr">
        <is>
          <t>NA</t>
        </is>
      </c>
      <c r="L462" s="28" t="inlineStr">
        <is>
          <t>NA</t>
        </is>
      </c>
      <c r="M462" s="20" t="inlineStr">
        <is>
          <t>NA</t>
        </is>
      </c>
      <c r="N462" s="28" t="inlineStr">
        <is>
          <t>NA</t>
        </is>
      </c>
      <c r="O462" s="20" t="inlineStr">
        <is>
          <t>NA</t>
        </is>
      </c>
      <c r="P462" s="28" t="inlineStr">
        <is>
          <t>NA</t>
        </is>
      </c>
      <c r="Q462" s="20" t="inlineStr">
        <is>
          <t>NA</t>
        </is>
      </c>
      <c r="R462" s="17" t="inlineStr">
        <is>
          <t>NA</t>
        </is>
      </c>
      <c r="S462" s="20" t="inlineStr">
        <is>
          <t>NA</t>
        </is>
      </c>
      <c r="T462" s="17" t="inlineStr">
        <is>
          <t>NA</t>
        </is>
      </c>
      <c r="U462" s="20" t="inlineStr">
        <is>
          <t>NA</t>
        </is>
      </c>
      <c r="V462" s="17" t="inlineStr">
        <is>
          <t>NA</t>
        </is>
      </c>
      <c r="W462" s="20" t="inlineStr">
        <is>
          <t>NA</t>
        </is>
      </c>
      <c r="X462" s="17" t="inlineStr">
        <is>
          <t>NA</t>
        </is>
      </c>
      <c r="Y462" s="20" t="inlineStr">
        <is>
          <t>NA</t>
        </is>
      </c>
      <c r="Z462" s="17" t="inlineStr">
        <is>
          <t>NA</t>
        </is>
      </c>
      <c r="AA462" s="20" t="inlineStr">
        <is>
          <t>NA</t>
        </is>
      </c>
      <c r="AB462" s="93" t="inlineStr">
        <is>
          <t>NA</t>
        </is>
      </c>
      <c r="AC462" s="20" t="inlineStr">
        <is>
          <t>NA</t>
        </is>
      </c>
      <c r="AD462" s="97" t="inlineStr">
        <is>
          <t>NA</t>
        </is>
      </c>
      <c r="AE462" s="97" t="inlineStr">
        <is>
          <t>NA</t>
        </is>
      </c>
      <c r="AF462" s="93" t="inlineStr">
        <is>
          <t>NA</t>
        </is>
      </c>
      <c r="AG462" s="97" t="inlineStr">
        <is>
          <t>NA</t>
        </is>
      </c>
      <c r="AH462" s="285" t="n">
        <v>0</v>
      </c>
      <c r="AI462" s="285" t="inlineStr">
        <is>
          <t>Not Reported</t>
        </is>
      </c>
      <c r="AJ462" s="93" t="inlineStr">
        <is>
          <t>NA</t>
        </is>
      </c>
      <c r="AK462" s="97" t="inlineStr">
        <is>
          <t>NA</t>
        </is>
      </c>
    </row>
    <row r="463">
      <c r="A463" s="21" t="inlineStr">
        <is>
          <t>Ultratech</t>
        </is>
      </c>
      <c r="B463" s="5" t="inlineStr">
        <is>
          <t>West 2</t>
        </is>
      </c>
      <c r="C463" s="76" t="inlineStr">
        <is>
          <t>Shweta</t>
        </is>
      </c>
      <c r="D463" s="26" t="inlineStr">
        <is>
          <t>Himanshu Srivastava</t>
        </is>
      </c>
      <c r="E463" s="26" t="inlineStr">
        <is>
          <t>Category (B)</t>
        </is>
      </c>
      <c r="F463" s="21" t="inlineStr">
        <is>
          <t>Contractual SLA</t>
        </is>
      </c>
      <c r="G463" s="21" t="inlineStr">
        <is>
          <t>Yes</t>
        </is>
      </c>
      <c r="H463" s="27" t="inlineStr">
        <is>
          <t>Time to Hire</t>
        </is>
      </c>
      <c r="I463" s="14" t="inlineStr">
        <is>
          <t>90 Days for leadership</t>
        </is>
      </c>
      <c r="J463" s="28" t="inlineStr">
        <is>
          <t>NA</t>
        </is>
      </c>
      <c r="K463" s="20" t="inlineStr">
        <is>
          <t>NA</t>
        </is>
      </c>
      <c r="L463" s="28" t="inlineStr">
        <is>
          <t>NA</t>
        </is>
      </c>
      <c r="M463" s="20" t="inlineStr">
        <is>
          <t>NA</t>
        </is>
      </c>
      <c r="N463" s="28" t="inlineStr">
        <is>
          <t>NA</t>
        </is>
      </c>
      <c r="O463" s="20" t="inlineStr">
        <is>
          <t>NA</t>
        </is>
      </c>
      <c r="P463" s="28" t="inlineStr">
        <is>
          <t>NA</t>
        </is>
      </c>
      <c r="Q463" s="20" t="inlineStr">
        <is>
          <t>NA</t>
        </is>
      </c>
      <c r="R463" s="17" t="inlineStr">
        <is>
          <t>NA</t>
        </is>
      </c>
      <c r="S463" s="20" t="inlineStr">
        <is>
          <t>NA</t>
        </is>
      </c>
      <c r="T463" s="17" t="inlineStr">
        <is>
          <t>NA</t>
        </is>
      </c>
      <c r="U463" s="20" t="inlineStr">
        <is>
          <t>NA</t>
        </is>
      </c>
      <c r="V463" s="17" t="inlineStr">
        <is>
          <t>NA</t>
        </is>
      </c>
      <c r="W463" s="20" t="inlineStr">
        <is>
          <t>NA</t>
        </is>
      </c>
      <c r="X463" s="17" t="inlineStr">
        <is>
          <t>NA</t>
        </is>
      </c>
      <c r="Y463" s="20" t="inlineStr">
        <is>
          <t>NA</t>
        </is>
      </c>
      <c r="Z463" s="17" t="inlineStr">
        <is>
          <t>NA</t>
        </is>
      </c>
      <c r="AA463" s="20" t="inlineStr">
        <is>
          <t>NA</t>
        </is>
      </c>
      <c r="AB463" s="93" t="inlineStr">
        <is>
          <t>NA</t>
        </is>
      </c>
      <c r="AC463" s="20" t="inlineStr">
        <is>
          <t>NA</t>
        </is>
      </c>
      <c r="AD463" s="97" t="inlineStr">
        <is>
          <t>NA</t>
        </is>
      </c>
      <c r="AE463" s="97" t="inlineStr">
        <is>
          <t>NA</t>
        </is>
      </c>
      <c r="AF463" s="93" t="inlineStr">
        <is>
          <t>NA</t>
        </is>
      </c>
      <c r="AG463" s="97" t="inlineStr">
        <is>
          <t>NA</t>
        </is>
      </c>
      <c r="AH463" s="285" t="n">
        <v>0</v>
      </c>
      <c r="AI463" s="285" t="inlineStr">
        <is>
          <t>Not Reported</t>
        </is>
      </c>
      <c r="AJ463" s="93" t="inlineStr">
        <is>
          <t>NA</t>
        </is>
      </c>
      <c r="AK463" s="97" t="inlineStr">
        <is>
          <t>NA</t>
        </is>
      </c>
    </row>
    <row r="464">
      <c r="A464" s="21" t="inlineStr">
        <is>
          <t>Ultratech</t>
        </is>
      </c>
      <c r="B464" s="5" t="inlineStr">
        <is>
          <t>West 2</t>
        </is>
      </c>
      <c r="C464" s="76" t="inlineStr">
        <is>
          <t>Shweta</t>
        </is>
      </c>
      <c r="D464" s="26" t="inlineStr">
        <is>
          <t>Himanshu Srivastava</t>
        </is>
      </c>
      <c r="E464" s="26" t="inlineStr">
        <is>
          <t>Category (B)</t>
        </is>
      </c>
      <c r="F464" s="21" t="inlineStr">
        <is>
          <t>Contractual SLA</t>
        </is>
      </c>
      <c r="G464" s="21" t="inlineStr">
        <is>
          <t>Yes</t>
        </is>
      </c>
      <c r="H464" s="21" t="inlineStr">
        <is>
          <t>Offer Drop</t>
        </is>
      </c>
      <c r="I464" s="14" t="inlineStr">
        <is>
          <t>&lt;=10%</t>
        </is>
      </c>
      <c r="J464" s="28" t="inlineStr">
        <is>
          <t>NA</t>
        </is>
      </c>
      <c r="K464" s="20" t="inlineStr">
        <is>
          <t>NA</t>
        </is>
      </c>
      <c r="L464" s="28" t="inlineStr">
        <is>
          <t>NA</t>
        </is>
      </c>
      <c r="M464" s="20" t="inlineStr">
        <is>
          <t>NA</t>
        </is>
      </c>
      <c r="N464" s="28" t="inlineStr">
        <is>
          <t>NA</t>
        </is>
      </c>
      <c r="O464" s="20" t="inlineStr">
        <is>
          <t>NA</t>
        </is>
      </c>
      <c r="P464" s="28" t="inlineStr">
        <is>
          <t>NA</t>
        </is>
      </c>
      <c r="Q464" s="20" t="inlineStr">
        <is>
          <t>NA</t>
        </is>
      </c>
      <c r="R464" s="17" t="inlineStr">
        <is>
          <t>NA</t>
        </is>
      </c>
      <c r="S464" s="20" t="inlineStr">
        <is>
          <t>NA</t>
        </is>
      </c>
      <c r="T464" s="17" t="inlineStr">
        <is>
          <t>NA</t>
        </is>
      </c>
      <c r="U464" s="20" t="inlineStr">
        <is>
          <t>NA</t>
        </is>
      </c>
      <c r="V464" s="17" t="inlineStr">
        <is>
          <t>NA</t>
        </is>
      </c>
      <c r="W464" s="20" t="inlineStr">
        <is>
          <t>NA</t>
        </is>
      </c>
      <c r="X464" s="17" t="inlineStr">
        <is>
          <t>NA</t>
        </is>
      </c>
      <c r="Y464" s="20" t="inlineStr">
        <is>
          <t>NA</t>
        </is>
      </c>
      <c r="Z464" s="17" t="inlineStr">
        <is>
          <t>NA</t>
        </is>
      </c>
      <c r="AA464" s="20" t="inlineStr">
        <is>
          <t>NA</t>
        </is>
      </c>
      <c r="AB464" s="93" t="inlineStr">
        <is>
          <t>NA</t>
        </is>
      </c>
      <c r="AC464" s="20" t="inlineStr">
        <is>
          <t>NA</t>
        </is>
      </c>
      <c r="AD464" s="97" t="inlineStr">
        <is>
          <t>NA</t>
        </is>
      </c>
      <c r="AE464" s="126" t="inlineStr">
        <is>
          <t>NA</t>
        </is>
      </c>
      <c r="AF464" s="93" t="inlineStr">
        <is>
          <t>NA</t>
        </is>
      </c>
      <c r="AG464" s="97" t="inlineStr">
        <is>
          <t>NA</t>
        </is>
      </c>
      <c r="AH464" s="285" t="n">
        <v>0</v>
      </c>
      <c r="AI464" s="285" t="inlineStr">
        <is>
          <t>Not Reported</t>
        </is>
      </c>
      <c r="AJ464" s="93" t="inlineStr">
        <is>
          <t>NA</t>
        </is>
      </c>
      <c r="AK464" s="126" t="inlineStr">
        <is>
          <t>NA</t>
        </is>
      </c>
    </row>
    <row r="465">
      <c r="A465" s="21" t="inlineStr">
        <is>
          <t>Ultratech</t>
        </is>
      </c>
      <c r="B465" s="5" t="inlineStr">
        <is>
          <t>West 2</t>
        </is>
      </c>
      <c r="C465" s="76" t="inlineStr">
        <is>
          <t>Shweta</t>
        </is>
      </c>
      <c r="D465" s="26" t="inlineStr">
        <is>
          <t>Himanshu Srivastava</t>
        </is>
      </c>
      <c r="E465" s="26" t="inlineStr">
        <is>
          <t>Category (B)</t>
        </is>
      </c>
      <c r="F465" s="21" t="inlineStr">
        <is>
          <t>Internal KPI</t>
        </is>
      </c>
      <c r="G465" s="21" t="inlineStr">
        <is>
          <t>No</t>
        </is>
      </c>
      <c r="H465" s="21" t="inlineStr">
        <is>
          <t>Early Attrition</t>
        </is>
      </c>
      <c r="I465" s="14" t="inlineStr">
        <is>
          <t>&lt;=5%</t>
        </is>
      </c>
      <c r="J465" s="28" t="inlineStr">
        <is>
          <t>NA</t>
        </is>
      </c>
      <c r="K465" s="20" t="inlineStr">
        <is>
          <t>NA</t>
        </is>
      </c>
      <c r="L465" s="28" t="inlineStr">
        <is>
          <t>NA</t>
        </is>
      </c>
      <c r="M465" s="20" t="inlineStr">
        <is>
          <t>NA</t>
        </is>
      </c>
      <c r="N465" s="28" t="inlineStr">
        <is>
          <t>NA</t>
        </is>
      </c>
      <c r="O465" s="20" t="inlineStr">
        <is>
          <t>NA</t>
        </is>
      </c>
      <c r="P465" s="28" t="inlineStr">
        <is>
          <t>NA</t>
        </is>
      </c>
      <c r="Q465" s="20" t="inlineStr">
        <is>
          <t>NA</t>
        </is>
      </c>
      <c r="R465" s="17" t="inlineStr">
        <is>
          <t>NA</t>
        </is>
      </c>
      <c r="S465" s="20" t="inlineStr">
        <is>
          <t>NA</t>
        </is>
      </c>
      <c r="T465" s="17" t="inlineStr">
        <is>
          <t>NA</t>
        </is>
      </c>
      <c r="U465" s="20" t="inlineStr">
        <is>
          <t>NA</t>
        </is>
      </c>
      <c r="V465" s="17" t="inlineStr">
        <is>
          <t>NA</t>
        </is>
      </c>
      <c r="W465" s="20" t="inlineStr">
        <is>
          <t>NA</t>
        </is>
      </c>
      <c r="X465" s="17" t="inlineStr">
        <is>
          <t>NA</t>
        </is>
      </c>
      <c r="Y465" s="20" t="inlineStr">
        <is>
          <t>NA</t>
        </is>
      </c>
      <c r="Z465" s="17" t="inlineStr">
        <is>
          <t>NA</t>
        </is>
      </c>
      <c r="AA465" s="20" t="inlineStr">
        <is>
          <t>NA</t>
        </is>
      </c>
      <c r="AB465" s="93" t="inlineStr">
        <is>
          <t>NA</t>
        </is>
      </c>
      <c r="AC465" s="20" t="inlineStr">
        <is>
          <t>NA</t>
        </is>
      </c>
      <c r="AD465" s="97" t="inlineStr">
        <is>
          <t>NA</t>
        </is>
      </c>
      <c r="AE465" s="97" t="inlineStr">
        <is>
          <t>NA</t>
        </is>
      </c>
      <c r="AF465" s="93" t="inlineStr">
        <is>
          <t>NA</t>
        </is>
      </c>
      <c r="AG465" s="97" t="inlineStr">
        <is>
          <t>NA</t>
        </is>
      </c>
      <c r="AH465" s="285" t="n">
        <v>0</v>
      </c>
      <c r="AI465" s="285" t="inlineStr">
        <is>
          <t>Not Reported</t>
        </is>
      </c>
      <c r="AJ465" s="93" t="inlineStr">
        <is>
          <t>NA</t>
        </is>
      </c>
      <c r="AK465" s="97" t="inlineStr">
        <is>
          <t>NA</t>
        </is>
      </c>
    </row>
    <row r="466">
      <c r="A466" s="21" t="inlineStr">
        <is>
          <t>Ultratech</t>
        </is>
      </c>
      <c r="B466" s="5" t="inlineStr">
        <is>
          <t>West 2</t>
        </is>
      </c>
      <c r="C466" s="76" t="inlineStr">
        <is>
          <t>Shweta</t>
        </is>
      </c>
      <c r="D466" s="26" t="inlineStr">
        <is>
          <t>Himanshu Srivastava</t>
        </is>
      </c>
      <c r="E466" s="26" t="inlineStr">
        <is>
          <t>Category (B)</t>
        </is>
      </c>
      <c r="F466" s="21" t="inlineStr">
        <is>
          <t>Internal KPI</t>
        </is>
      </c>
      <c r="G466" s="21" t="inlineStr">
        <is>
          <t>No</t>
        </is>
      </c>
      <c r="H466" s="21" t="inlineStr">
        <is>
          <t>Resource Cost</t>
        </is>
      </c>
      <c r="I466" s="11" t="n">
        <v>0.99</v>
      </c>
      <c r="J466" s="28" t="inlineStr">
        <is>
          <t>NA</t>
        </is>
      </c>
      <c r="K466" s="20" t="inlineStr">
        <is>
          <t>NA</t>
        </is>
      </c>
      <c r="L466" s="28" t="inlineStr">
        <is>
          <t>NA</t>
        </is>
      </c>
      <c r="M466" s="20" t="inlineStr">
        <is>
          <t>NA</t>
        </is>
      </c>
      <c r="N466" s="28" t="inlineStr">
        <is>
          <t>NA</t>
        </is>
      </c>
      <c r="O466" s="20" t="inlineStr">
        <is>
          <t>NA</t>
        </is>
      </c>
      <c r="P466" s="28" t="inlineStr">
        <is>
          <t>NA</t>
        </is>
      </c>
      <c r="Q466" s="20" t="inlineStr">
        <is>
          <t>NA</t>
        </is>
      </c>
      <c r="R466" s="17" t="inlineStr">
        <is>
          <t>NA</t>
        </is>
      </c>
      <c r="S466" s="20" t="inlineStr">
        <is>
          <t>NA</t>
        </is>
      </c>
      <c r="T466" s="17" t="inlineStr">
        <is>
          <t>NA</t>
        </is>
      </c>
      <c r="U466" s="20" t="inlineStr">
        <is>
          <t>NA</t>
        </is>
      </c>
      <c r="V466" s="17" t="inlineStr">
        <is>
          <t>NA</t>
        </is>
      </c>
      <c r="W466" s="20" t="inlineStr">
        <is>
          <t>NA</t>
        </is>
      </c>
      <c r="X466" s="17" t="inlineStr">
        <is>
          <t>NA</t>
        </is>
      </c>
      <c r="Y466" s="20" t="inlineStr">
        <is>
          <t>NA</t>
        </is>
      </c>
      <c r="Z466" s="17" t="inlineStr">
        <is>
          <t>NA</t>
        </is>
      </c>
      <c r="AA466" s="20" t="inlineStr">
        <is>
          <t>NA</t>
        </is>
      </c>
      <c r="AB466" s="93" t="inlineStr">
        <is>
          <t>NA</t>
        </is>
      </c>
      <c r="AC466" s="20" t="inlineStr">
        <is>
          <t>NA</t>
        </is>
      </c>
      <c r="AD466" s="97" t="inlineStr">
        <is>
          <t>NA</t>
        </is>
      </c>
      <c r="AE466" s="97" t="inlineStr">
        <is>
          <t>NA</t>
        </is>
      </c>
      <c r="AF466" s="93" t="inlineStr">
        <is>
          <t>NA</t>
        </is>
      </c>
      <c r="AG466" s="97" t="inlineStr">
        <is>
          <t>NA</t>
        </is>
      </c>
      <c r="AH466" s="285" t="n">
        <v>0</v>
      </c>
      <c r="AI466" s="285" t="inlineStr">
        <is>
          <t>Not Reported</t>
        </is>
      </c>
      <c r="AJ466" s="93" t="inlineStr">
        <is>
          <t>NA</t>
        </is>
      </c>
      <c r="AK466" s="97" t="inlineStr">
        <is>
          <t>NA</t>
        </is>
      </c>
    </row>
    <row r="467">
      <c r="A467" s="21" t="inlineStr">
        <is>
          <t>Ultratech</t>
        </is>
      </c>
      <c r="B467" s="5" t="inlineStr">
        <is>
          <t>West 2</t>
        </is>
      </c>
      <c r="C467" s="76" t="inlineStr">
        <is>
          <t>Shweta</t>
        </is>
      </c>
      <c r="D467" s="26" t="inlineStr">
        <is>
          <t>Himanshu Srivastava</t>
        </is>
      </c>
      <c r="E467" s="26" t="inlineStr">
        <is>
          <t>Category (B)</t>
        </is>
      </c>
      <c r="F467" s="21" t="inlineStr">
        <is>
          <t>Contractual SLA</t>
        </is>
      </c>
      <c r="G467" s="21" t="inlineStr">
        <is>
          <t>Yes</t>
        </is>
      </c>
      <c r="H467" s="26" t="inlineStr">
        <is>
          <t>Diversity</t>
        </is>
      </c>
      <c r="I467" s="11" t="n">
        <v>0.2</v>
      </c>
      <c r="J467" s="28" t="inlineStr">
        <is>
          <t>NA</t>
        </is>
      </c>
      <c r="K467" s="20" t="inlineStr">
        <is>
          <t>NA</t>
        </is>
      </c>
      <c r="L467" s="28" t="inlineStr">
        <is>
          <t>NA</t>
        </is>
      </c>
      <c r="M467" s="20" t="inlineStr">
        <is>
          <t>NA</t>
        </is>
      </c>
      <c r="N467" s="28" t="inlineStr">
        <is>
          <t>NA</t>
        </is>
      </c>
      <c r="O467" s="20" t="inlineStr">
        <is>
          <t>NA</t>
        </is>
      </c>
      <c r="P467" s="28" t="inlineStr">
        <is>
          <t>NA</t>
        </is>
      </c>
      <c r="Q467" s="20" t="inlineStr">
        <is>
          <t>NA</t>
        </is>
      </c>
      <c r="R467" s="17" t="inlineStr">
        <is>
          <t>NA</t>
        </is>
      </c>
      <c r="S467" s="20" t="inlineStr">
        <is>
          <t>NA</t>
        </is>
      </c>
      <c r="T467" s="17" t="inlineStr">
        <is>
          <t>NA</t>
        </is>
      </c>
      <c r="U467" s="20" t="inlineStr">
        <is>
          <t>NA</t>
        </is>
      </c>
      <c r="V467" s="17" t="inlineStr">
        <is>
          <t>NA</t>
        </is>
      </c>
      <c r="W467" s="20" t="inlineStr">
        <is>
          <t>NA</t>
        </is>
      </c>
      <c r="X467" s="17" t="inlineStr">
        <is>
          <t>NA</t>
        </is>
      </c>
      <c r="Y467" s="20" t="inlineStr">
        <is>
          <t>NA</t>
        </is>
      </c>
      <c r="Z467" s="17" t="inlineStr">
        <is>
          <t>NA</t>
        </is>
      </c>
      <c r="AA467" s="20" t="inlineStr">
        <is>
          <t>NA</t>
        </is>
      </c>
      <c r="AB467" s="93" t="inlineStr">
        <is>
          <t>NA</t>
        </is>
      </c>
      <c r="AC467" s="20" t="inlineStr">
        <is>
          <t>NA</t>
        </is>
      </c>
      <c r="AD467" s="97" t="inlineStr">
        <is>
          <t>NA</t>
        </is>
      </c>
      <c r="AE467" s="97" t="inlineStr">
        <is>
          <t>NA</t>
        </is>
      </c>
      <c r="AF467" s="93" t="inlineStr">
        <is>
          <t>NA</t>
        </is>
      </c>
      <c r="AG467" s="97" t="inlineStr">
        <is>
          <t>NA</t>
        </is>
      </c>
      <c r="AH467" s="285" t="n">
        <v>0</v>
      </c>
      <c r="AI467" s="285" t="inlineStr">
        <is>
          <t>Not Reported</t>
        </is>
      </c>
      <c r="AJ467" s="93" t="inlineStr">
        <is>
          <t>NA</t>
        </is>
      </c>
      <c r="AK467" s="97" t="inlineStr">
        <is>
          <t>NA</t>
        </is>
      </c>
    </row>
    <row r="468">
      <c r="A468" s="21" t="inlineStr">
        <is>
          <t>Ultratech</t>
        </is>
      </c>
      <c r="B468" s="5" t="inlineStr">
        <is>
          <t>West 2</t>
        </is>
      </c>
      <c r="C468" s="76" t="inlineStr">
        <is>
          <t>Shweta</t>
        </is>
      </c>
      <c r="D468" s="26" t="inlineStr">
        <is>
          <t>Himanshu Srivastava</t>
        </is>
      </c>
      <c r="E468" s="26" t="inlineStr">
        <is>
          <t>Category (B)</t>
        </is>
      </c>
      <c r="F468" s="21" t="inlineStr">
        <is>
          <t>Internal KPI</t>
        </is>
      </c>
      <c r="G468" s="21" t="inlineStr">
        <is>
          <t>No</t>
        </is>
      </c>
      <c r="H468" s="44" t="inlineStr">
        <is>
          <t>Hiring Manager SAT</t>
        </is>
      </c>
      <c r="I468" s="14" t="inlineStr">
        <is>
          <t>&gt;=80%</t>
        </is>
      </c>
      <c r="J468" s="28" t="inlineStr">
        <is>
          <t>NA</t>
        </is>
      </c>
      <c r="K468" s="20" t="inlineStr">
        <is>
          <t>NA</t>
        </is>
      </c>
      <c r="L468" s="28" t="inlineStr">
        <is>
          <t>NA</t>
        </is>
      </c>
      <c r="M468" s="20" t="inlineStr">
        <is>
          <t>NA</t>
        </is>
      </c>
      <c r="N468" s="28" t="inlineStr">
        <is>
          <t>NA</t>
        </is>
      </c>
      <c r="O468" s="20" t="inlineStr">
        <is>
          <t>NA</t>
        </is>
      </c>
      <c r="P468" s="28" t="inlineStr">
        <is>
          <t>NA</t>
        </is>
      </c>
      <c r="Q468" s="20" t="inlineStr">
        <is>
          <t>NA</t>
        </is>
      </c>
      <c r="R468" s="17" t="inlineStr">
        <is>
          <t>NA</t>
        </is>
      </c>
      <c r="S468" s="20" t="inlineStr">
        <is>
          <t>NA</t>
        </is>
      </c>
      <c r="T468" s="17" t="inlineStr">
        <is>
          <t>NA</t>
        </is>
      </c>
      <c r="U468" s="20" t="inlineStr">
        <is>
          <t>NA</t>
        </is>
      </c>
      <c r="V468" s="17" t="inlineStr">
        <is>
          <t>NA</t>
        </is>
      </c>
      <c r="W468" s="20" t="inlineStr">
        <is>
          <t>NA</t>
        </is>
      </c>
      <c r="X468" s="17" t="inlineStr">
        <is>
          <t>NA</t>
        </is>
      </c>
      <c r="Y468" s="20" t="inlineStr">
        <is>
          <t>NA</t>
        </is>
      </c>
      <c r="Z468" s="17" t="inlineStr">
        <is>
          <t>NA</t>
        </is>
      </c>
      <c r="AA468" s="20" t="inlineStr">
        <is>
          <t>NA</t>
        </is>
      </c>
      <c r="AB468" s="93" t="inlineStr">
        <is>
          <t>NA</t>
        </is>
      </c>
      <c r="AC468" s="20" t="inlineStr">
        <is>
          <t>NA</t>
        </is>
      </c>
      <c r="AD468" s="97" t="inlineStr">
        <is>
          <t>NA</t>
        </is>
      </c>
      <c r="AE468" s="97" t="inlineStr">
        <is>
          <t>NA</t>
        </is>
      </c>
      <c r="AF468" s="93" t="inlineStr">
        <is>
          <t>NA</t>
        </is>
      </c>
      <c r="AG468" s="97" t="inlineStr">
        <is>
          <t>NA</t>
        </is>
      </c>
      <c r="AH468" s="285" t="n">
        <v>0</v>
      </c>
      <c r="AI468" s="285" t="inlineStr">
        <is>
          <t>Not Reported</t>
        </is>
      </c>
      <c r="AJ468" s="93" t="inlineStr">
        <is>
          <t>NA</t>
        </is>
      </c>
      <c r="AK468" s="97" t="inlineStr">
        <is>
          <t>NA</t>
        </is>
      </c>
    </row>
    <row r="469">
      <c r="A469" s="21" t="inlineStr">
        <is>
          <t>Ultratech</t>
        </is>
      </c>
      <c r="B469" s="5" t="inlineStr">
        <is>
          <t>West 2</t>
        </is>
      </c>
      <c r="C469" s="76" t="inlineStr">
        <is>
          <t>Shweta</t>
        </is>
      </c>
      <c r="D469" s="26" t="inlineStr">
        <is>
          <t>Himanshu Srivastava</t>
        </is>
      </c>
      <c r="E469" s="26" t="inlineStr">
        <is>
          <t>Category (B)</t>
        </is>
      </c>
      <c r="F469" s="21" t="inlineStr">
        <is>
          <t>Internal KPI</t>
        </is>
      </c>
      <c r="G469" s="21" t="inlineStr">
        <is>
          <t>No</t>
        </is>
      </c>
      <c r="H469" s="26" t="inlineStr">
        <is>
          <t>CSAT</t>
        </is>
      </c>
      <c r="I469" s="14" t="inlineStr">
        <is>
          <t>&gt;=80%</t>
        </is>
      </c>
      <c r="J469" s="28" t="inlineStr">
        <is>
          <t>NA</t>
        </is>
      </c>
      <c r="K469" s="20" t="inlineStr">
        <is>
          <t>NA</t>
        </is>
      </c>
      <c r="L469" s="28" t="inlineStr">
        <is>
          <t>NA</t>
        </is>
      </c>
      <c r="M469" s="20" t="inlineStr">
        <is>
          <t>NA</t>
        </is>
      </c>
      <c r="N469" s="28" t="inlineStr">
        <is>
          <t>NA</t>
        </is>
      </c>
      <c r="O469" s="20" t="inlineStr">
        <is>
          <t>NA</t>
        </is>
      </c>
      <c r="P469" s="28" t="inlineStr">
        <is>
          <t>NA</t>
        </is>
      </c>
      <c r="Q469" s="20" t="inlineStr">
        <is>
          <t>NA</t>
        </is>
      </c>
      <c r="R469" s="17" t="inlineStr">
        <is>
          <t>NA</t>
        </is>
      </c>
      <c r="S469" s="20" t="inlineStr">
        <is>
          <t>NA</t>
        </is>
      </c>
      <c r="T469" s="17" t="inlineStr">
        <is>
          <t>NA</t>
        </is>
      </c>
      <c r="U469" s="20" t="inlineStr">
        <is>
          <t>NA</t>
        </is>
      </c>
      <c r="V469" s="17" t="inlineStr">
        <is>
          <t>NA</t>
        </is>
      </c>
      <c r="W469" s="20" t="inlineStr">
        <is>
          <t>NA</t>
        </is>
      </c>
      <c r="X469" s="17" t="inlineStr">
        <is>
          <t>NA</t>
        </is>
      </c>
      <c r="Y469" s="20" t="inlineStr">
        <is>
          <t>NA</t>
        </is>
      </c>
      <c r="Z469" s="17" t="inlineStr">
        <is>
          <t>NA</t>
        </is>
      </c>
      <c r="AA469" s="20" t="inlineStr">
        <is>
          <t>NA</t>
        </is>
      </c>
      <c r="AB469" s="93" t="inlineStr">
        <is>
          <t>NA</t>
        </is>
      </c>
      <c r="AC469" s="20" t="inlineStr">
        <is>
          <t>NA</t>
        </is>
      </c>
      <c r="AD469" s="97" t="inlineStr">
        <is>
          <t>NA</t>
        </is>
      </c>
      <c r="AE469" s="97" t="inlineStr">
        <is>
          <t>NA</t>
        </is>
      </c>
      <c r="AF469" s="93" t="inlineStr">
        <is>
          <t>NA</t>
        </is>
      </c>
      <c r="AG469" s="97" t="inlineStr">
        <is>
          <t>NA</t>
        </is>
      </c>
      <c r="AH469" s="285" t="n">
        <v>0</v>
      </c>
      <c r="AI469" s="285" t="inlineStr">
        <is>
          <t>Not Reported</t>
        </is>
      </c>
      <c r="AJ469" s="93" t="inlineStr">
        <is>
          <t>NA</t>
        </is>
      </c>
      <c r="AK469" s="97" t="inlineStr">
        <is>
          <t>NA</t>
        </is>
      </c>
    </row>
    <row r="470">
      <c r="A470" s="21" t="inlineStr">
        <is>
          <t>Ultratech</t>
        </is>
      </c>
      <c r="B470" s="5" t="inlineStr">
        <is>
          <t>West 2</t>
        </is>
      </c>
      <c r="C470" s="76" t="inlineStr">
        <is>
          <t>Shweta</t>
        </is>
      </c>
      <c r="D470" s="26" t="inlineStr">
        <is>
          <t>Himanshu Srivastava</t>
        </is>
      </c>
      <c r="E470" s="26" t="inlineStr">
        <is>
          <t>Category (B)</t>
        </is>
      </c>
      <c r="F470" s="21" t="inlineStr">
        <is>
          <t>Internal KPI</t>
        </is>
      </c>
      <c r="G470" s="21" t="inlineStr">
        <is>
          <t>No</t>
        </is>
      </c>
      <c r="H470" s="27" t="inlineStr">
        <is>
          <t>Time to Fill</t>
        </is>
      </c>
      <c r="I470" s="20" t="inlineStr">
        <is>
          <t>Not Shared</t>
        </is>
      </c>
      <c r="J470" s="28" t="inlineStr">
        <is>
          <t>NA</t>
        </is>
      </c>
      <c r="K470" s="20" t="inlineStr">
        <is>
          <t>NA</t>
        </is>
      </c>
      <c r="L470" s="28" t="inlineStr">
        <is>
          <t>NA</t>
        </is>
      </c>
      <c r="M470" s="20" t="inlineStr">
        <is>
          <t>NA</t>
        </is>
      </c>
      <c r="N470" s="28" t="inlineStr">
        <is>
          <t>NA</t>
        </is>
      </c>
      <c r="O470" s="20" t="inlineStr">
        <is>
          <t>NA</t>
        </is>
      </c>
      <c r="P470" s="28" t="inlineStr">
        <is>
          <t>NA</t>
        </is>
      </c>
      <c r="Q470" s="20" t="inlineStr">
        <is>
          <t>NA</t>
        </is>
      </c>
      <c r="R470" s="17" t="inlineStr">
        <is>
          <t>NA</t>
        </is>
      </c>
      <c r="S470" s="20" t="inlineStr">
        <is>
          <t>NA</t>
        </is>
      </c>
      <c r="T470" s="17" t="inlineStr">
        <is>
          <t>NA</t>
        </is>
      </c>
      <c r="U470" s="20" t="inlineStr">
        <is>
          <t>NA</t>
        </is>
      </c>
      <c r="V470" s="17" t="inlineStr">
        <is>
          <t>NA</t>
        </is>
      </c>
      <c r="W470" s="20" t="inlineStr">
        <is>
          <t>NA</t>
        </is>
      </c>
      <c r="X470" s="17" t="inlineStr">
        <is>
          <t>NA</t>
        </is>
      </c>
      <c r="Y470" s="20" t="inlineStr">
        <is>
          <t>NA</t>
        </is>
      </c>
      <c r="Z470" s="17" t="inlineStr">
        <is>
          <t>NA</t>
        </is>
      </c>
      <c r="AA470" s="20" t="inlineStr">
        <is>
          <t>NA</t>
        </is>
      </c>
      <c r="AB470" s="93" t="inlineStr">
        <is>
          <t>NA</t>
        </is>
      </c>
      <c r="AC470" s="20" t="inlineStr">
        <is>
          <t>NA</t>
        </is>
      </c>
      <c r="AD470" s="97" t="inlineStr">
        <is>
          <t>NA</t>
        </is>
      </c>
      <c r="AE470" s="97" t="inlineStr">
        <is>
          <t>NA</t>
        </is>
      </c>
      <c r="AF470" s="93" t="inlineStr">
        <is>
          <t>NA</t>
        </is>
      </c>
      <c r="AG470" s="97" t="inlineStr">
        <is>
          <t>NA</t>
        </is>
      </c>
      <c r="AH470" s="285" t="n">
        <v>0</v>
      </c>
      <c r="AI470" s="285" t="inlineStr">
        <is>
          <t>Not Reported</t>
        </is>
      </c>
      <c r="AJ470" s="93" t="inlineStr">
        <is>
          <t>NA</t>
        </is>
      </c>
      <c r="AK470" s="97" t="inlineStr">
        <is>
          <t>NA</t>
        </is>
      </c>
    </row>
    <row r="471">
      <c r="A471" s="21" t="inlineStr">
        <is>
          <t>Ultratech</t>
        </is>
      </c>
      <c r="B471" s="5" t="inlineStr">
        <is>
          <t>West 2</t>
        </is>
      </c>
      <c r="C471" s="76" t="inlineStr">
        <is>
          <t>Shweta</t>
        </is>
      </c>
      <c r="D471" s="26" t="inlineStr">
        <is>
          <t>Himanshu Srivastava</t>
        </is>
      </c>
      <c r="E471" s="26" t="inlineStr">
        <is>
          <t>Category (B)</t>
        </is>
      </c>
      <c r="F471" s="21" t="inlineStr">
        <is>
          <t>Internal KPI</t>
        </is>
      </c>
      <c r="G471" s="21" t="inlineStr">
        <is>
          <t>No</t>
        </is>
      </c>
      <c r="H471" s="21" t="inlineStr">
        <is>
          <t>Ageing</t>
        </is>
      </c>
      <c r="I471" s="20" t="inlineStr">
        <is>
          <t>Not Shared</t>
        </is>
      </c>
      <c r="J471" s="28" t="inlineStr">
        <is>
          <t>NA</t>
        </is>
      </c>
      <c r="K471" s="20" t="inlineStr">
        <is>
          <t>NA</t>
        </is>
      </c>
      <c r="L471" s="28" t="inlineStr">
        <is>
          <t>NA</t>
        </is>
      </c>
      <c r="M471" s="20" t="inlineStr">
        <is>
          <t>NA</t>
        </is>
      </c>
      <c r="N471" s="28" t="inlineStr">
        <is>
          <t>NA</t>
        </is>
      </c>
      <c r="O471" s="20" t="inlineStr">
        <is>
          <t>NA</t>
        </is>
      </c>
      <c r="P471" s="28" t="inlineStr">
        <is>
          <t>NA</t>
        </is>
      </c>
      <c r="Q471" s="20" t="inlineStr">
        <is>
          <t>NA</t>
        </is>
      </c>
      <c r="R471" s="17" t="inlineStr">
        <is>
          <t>NA</t>
        </is>
      </c>
      <c r="S471" s="20" t="inlineStr">
        <is>
          <t>NA</t>
        </is>
      </c>
      <c r="T471" s="17" t="inlineStr">
        <is>
          <t>NA</t>
        </is>
      </c>
      <c r="U471" s="20" t="inlineStr">
        <is>
          <t>NA</t>
        </is>
      </c>
      <c r="V471" s="17" t="inlineStr">
        <is>
          <t>NA</t>
        </is>
      </c>
      <c r="W471" s="20" t="inlineStr">
        <is>
          <t>NA</t>
        </is>
      </c>
      <c r="X471" s="17" t="inlineStr">
        <is>
          <t>NA</t>
        </is>
      </c>
      <c r="Y471" s="20" t="inlineStr">
        <is>
          <t>NA</t>
        </is>
      </c>
      <c r="Z471" s="17" t="inlineStr">
        <is>
          <t>NA</t>
        </is>
      </c>
      <c r="AA471" s="20" t="inlineStr">
        <is>
          <t>NA</t>
        </is>
      </c>
      <c r="AB471" s="93" t="inlineStr">
        <is>
          <t>NA</t>
        </is>
      </c>
      <c r="AC471" s="20" t="inlineStr">
        <is>
          <t>NA</t>
        </is>
      </c>
      <c r="AD471" s="156" t="inlineStr">
        <is>
          <t>NA</t>
        </is>
      </c>
      <c r="AE471" s="127" t="inlineStr">
        <is>
          <t>NA</t>
        </is>
      </c>
      <c r="AF471" s="162" t="inlineStr">
        <is>
          <t>NA</t>
        </is>
      </c>
      <c r="AG471" s="97" t="inlineStr">
        <is>
          <t>NA</t>
        </is>
      </c>
      <c r="AH471" s="285" t="n">
        <v>0</v>
      </c>
      <c r="AI471" s="285" t="inlineStr">
        <is>
          <t>Not Reported</t>
        </is>
      </c>
      <c r="AJ471" s="162" t="inlineStr">
        <is>
          <t>NA</t>
        </is>
      </c>
      <c r="AK471" s="127" t="inlineStr">
        <is>
          <t>NA</t>
        </is>
      </c>
    </row>
    <row r="472">
      <c r="A472" s="21" t="inlineStr">
        <is>
          <t>Ultratech</t>
        </is>
      </c>
      <c r="B472" s="5" t="inlineStr">
        <is>
          <t>West 2</t>
        </is>
      </c>
      <c r="C472" s="76" t="inlineStr">
        <is>
          <t>Shweta</t>
        </is>
      </c>
      <c r="D472" s="26" t="inlineStr">
        <is>
          <t>Himanshu Srivastava</t>
        </is>
      </c>
      <c r="E472" s="26" t="inlineStr">
        <is>
          <t>Category (B)</t>
        </is>
      </c>
      <c r="F472" s="21" t="inlineStr">
        <is>
          <t>Internal KPI</t>
        </is>
      </c>
      <c r="G472" s="21" t="inlineStr">
        <is>
          <t>No</t>
        </is>
      </c>
      <c r="H472" s="27" t="inlineStr">
        <is>
          <t>First Time Right Ratio</t>
        </is>
      </c>
      <c r="I472" s="20" t="inlineStr">
        <is>
          <t>Not Shared</t>
        </is>
      </c>
      <c r="J472" s="28" t="inlineStr">
        <is>
          <t>NA</t>
        </is>
      </c>
      <c r="K472" s="20" t="inlineStr">
        <is>
          <t>NA</t>
        </is>
      </c>
      <c r="L472" s="28" t="inlineStr">
        <is>
          <t>NA</t>
        </is>
      </c>
      <c r="M472" s="20" t="inlineStr">
        <is>
          <t>NA</t>
        </is>
      </c>
      <c r="N472" s="28" t="inlineStr">
        <is>
          <t>NA</t>
        </is>
      </c>
      <c r="O472" s="20" t="inlineStr">
        <is>
          <t>NA</t>
        </is>
      </c>
      <c r="P472" s="28" t="inlineStr">
        <is>
          <t>NA</t>
        </is>
      </c>
      <c r="Q472" s="20" t="inlineStr">
        <is>
          <t>NA</t>
        </is>
      </c>
      <c r="R472" s="17" t="inlineStr">
        <is>
          <t>NA</t>
        </is>
      </c>
      <c r="S472" s="20" t="inlineStr">
        <is>
          <t>NA</t>
        </is>
      </c>
      <c r="T472" s="17" t="inlineStr">
        <is>
          <t>NA</t>
        </is>
      </c>
      <c r="U472" s="20" t="inlineStr">
        <is>
          <t>NA</t>
        </is>
      </c>
      <c r="V472" s="17" t="inlineStr">
        <is>
          <t>NA</t>
        </is>
      </c>
      <c r="W472" s="20" t="inlineStr">
        <is>
          <t>NA</t>
        </is>
      </c>
      <c r="X472" s="17" t="inlineStr">
        <is>
          <t>NA</t>
        </is>
      </c>
      <c r="Y472" s="20" t="inlineStr">
        <is>
          <t>NA</t>
        </is>
      </c>
      <c r="Z472" s="17" t="inlineStr">
        <is>
          <t>NA</t>
        </is>
      </c>
      <c r="AA472" s="20" t="inlineStr">
        <is>
          <t>NA</t>
        </is>
      </c>
      <c r="AB472" s="93" t="inlineStr">
        <is>
          <t>NA</t>
        </is>
      </c>
      <c r="AC472" s="20" t="inlineStr">
        <is>
          <t>NA</t>
        </is>
      </c>
      <c r="AD472" s="97" t="inlineStr">
        <is>
          <t>NA</t>
        </is>
      </c>
      <c r="AE472" s="126" t="inlineStr">
        <is>
          <t>NA</t>
        </is>
      </c>
      <c r="AF472" s="93" t="inlineStr">
        <is>
          <t>NA</t>
        </is>
      </c>
      <c r="AG472" s="97" t="inlineStr">
        <is>
          <t>NA</t>
        </is>
      </c>
      <c r="AH472" s="285" t="n">
        <v>0</v>
      </c>
      <c r="AI472" s="285" t="inlineStr">
        <is>
          <t>Not Reported</t>
        </is>
      </c>
      <c r="AJ472" s="93" t="inlineStr">
        <is>
          <t>NA</t>
        </is>
      </c>
      <c r="AK472" s="126" t="inlineStr">
        <is>
          <t>NA</t>
        </is>
      </c>
    </row>
    <row r="473">
      <c r="A473" s="21" t="inlineStr">
        <is>
          <t>Ultratech</t>
        </is>
      </c>
      <c r="B473" s="5" t="inlineStr">
        <is>
          <t>West 2</t>
        </is>
      </c>
      <c r="C473" s="76" t="inlineStr">
        <is>
          <t>Shweta</t>
        </is>
      </c>
      <c r="D473" s="26" t="inlineStr">
        <is>
          <t>Himanshu Srivastava</t>
        </is>
      </c>
      <c r="E473" s="26" t="inlineStr">
        <is>
          <t>Category (B)</t>
        </is>
      </c>
      <c r="F473" s="21" t="inlineStr">
        <is>
          <t>Internal KPI</t>
        </is>
      </c>
      <c r="G473" s="21" t="inlineStr">
        <is>
          <t>No</t>
        </is>
      </c>
      <c r="H473" s="27" t="inlineStr">
        <is>
          <t>Hit Ratio</t>
        </is>
      </c>
      <c r="I473" s="20" t="inlineStr">
        <is>
          <t>Not Shared</t>
        </is>
      </c>
      <c r="J473" s="28" t="inlineStr">
        <is>
          <t>NA</t>
        </is>
      </c>
      <c r="K473" s="20" t="inlineStr">
        <is>
          <t>NA</t>
        </is>
      </c>
      <c r="L473" s="28" t="inlineStr">
        <is>
          <t>NA</t>
        </is>
      </c>
      <c r="M473" s="20" t="inlineStr">
        <is>
          <t>NA</t>
        </is>
      </c>
      <c r="N473" s="28" t="inlineStr">
        <is>
          <t>NA</t>
        </is>
      </c>
      <c r="O473" s="20" t="inlineStr">
        <is>
          <t>NA</t>
        </is>
      </c>
      <c r="P473" s="28" t="inlineStr">
        <is>
          <t>NA</t>
        </is>
      </c>
      <c r="Q473" s="20" t="inlineStr">
        <is>
          <t>NA</t>
        </is>
      </c>
      <c r="R473" s="17" t="inlineStr">
        <is>
          <t>NA</t>
        </is>
      </c>
      <c r="S473" s="20" t="inlineStr">
        <is>
          <t>NA</t>
        </is>
      </c>
      <c r="T473" s="17" t="inlineStr">
        <is>
          <t>NA</t>
        </is>
      </c>
      <c r="U473" s="20" t="inlineStr">
        <is>
          <t>NA</t>
        </is>
      </c>
      <c r="V473" s="17" t="inlineStr">
        <is>
          <t>NA</t>
        </is>
      </c>
      <c r="W473" s="20" t="inlineStr">
        <is>
          <t>NA</t>
        </is>
      </c>
      <c r="X473" s="17" t="inlineStr">
        <is>
          <t>NA</t>
        </is>
      </c>
      <c r="Y473" s="20" t="inlineStr">
        <is>
          <t>NA</t>
        </is>
      </c>
      <c r="Z473" s="17" t="inlineStr">
        <is>
          <t>NA</t>
        </is>
      </c>
      <c r="AA473" s="20" t="inlineStr">
        <is>
          <t>NA</t>
        </is>
      </c>
      <c r="AB473" s="93" t="inlineStr">
        <is>
          <t>NA</t>
        </is>
      </c>
      <c r="AC473" s="20" t="inlineStr">
        <is>
          <t>NA</t>
        </is>
      </c>
      <c r="AD473" s="97" t="inlineStr">
        <is>
          <t>NA</t>
        </is>
      </c>
      <c r="AE473" s="126" t="inlineStr">
        <is>
          <t>NA</t>
        </is>
      </c>
      <c r="AF473" s="93" t="inlineStr">
        <is>
          <t>NA</t>
        </is>
      </c>
      <c r="AG473" s="97" t="inlineStr">
        <is>
          <t>NA</t>
        </is>
      </c>
      <c r="AH473" s="285" t="n">
        <v>0</v>
      </c>
      <c r="AI473" s="285" t="inlineStr">
        <is>
          <t>Not Reported</t>
        </is>
      </c>
      <c r="AJ473" s="93" t="inlineStr">
        <is>
          <t>NA</t>
        </is>
      </c>
      <c r="AK473" s="126" t="inlineStr">
        <is>
          <t>NA</t>
        </is>
      </c>
    </row>
    <row r="474">
      <c r="A474" s="164" t="inlineStr">
        <is>
          <t>Ultratech</t>
        </is>
      </c>
      <c r="B474" s="165" t="inlineStr">
        <is>
          <t>West 2</t>
        </is>
      </c>
      <c r="C474" s="278" t="inlineStr">
        <is>
          <t>Shweta</t>
        </is>
      </c>
      <c r="D474" s="166" t="inlineStr">
        <is>
          <t>Himanshu Srivastava</t>
        </is>
      </c>
      <c r="E474" s="166" t="inlineStr">
        <is>
          <t>Category (B)</t>
        </is>
      </c>
      <c r="F474" s="164" t="inlineStr">
        <is>
          <t>Internal KPI</t>
        </is>
      </c>
      <c r="G474" s="164" t="inlineStr">
        <is>
          <t>No</t>
        </is>
      </c>
      <c r="H474" s="167" t="inlineStr">
        <is>
          <t xml:space="preserve">Fulfilment </t>
        </is>
      </c>
      <c r="I474" s="191" t="inlineStr">
        <is>
          <t>Not Shared</t>
        </is>
      </c>
      <c r="J474" s="170" t="inlineStr">
        <is>
          <t>NA</t>
        </is>
      </c>
      <c r="K474" s="191" t="inlineStr">
        <is>
          <t>NA</t>
        </is>
      </c>
      <c r="L474" s="170" t="inlineStr">
        <is>
          <t>NA</t>
        </is>
      </c>
      <c r="M474" s="191" t="inlineStr">
        <is>
          <t>NA</t>
        </is>
      </c>
      <c r="N474" s="170" t="inlineStr">
        <is>
          <t>NA</t>
        </is>
      </c>
      <c r="O474" s="191" t="inlineStr">
        <is>
          <t>NA</t>
        </is>
      </c>
      <c r="P474" s="170" t="inlineStr">
        <is>
          <t>NA</t>
        </is>
      </c>
      <c r="Q474" s="191" t="inlineStr">
        <is>
          <t>NA</t>
        </is>
      </c>
      <c r="R474" s="171" t="inlineStr">
        <is>
          <t>NA</t>
        </is>
      </c>
      <c r="S474" s="191" t="inlineStr">
        <is>
          <t>NA</t>
        </is>
      </c>
      <c r="T474" s="171" t="inlineStr">
        <is>
          <t>NA</t>
        </is>
      </c>
      <c r="U474" s="191" t="inlineStr">
        <is>
          <t>NA</t>
        </is>
      </c>
      <c r="V474" s="171" t="inlineStr">
        <is>
          <t>NA</t>
        </is>
      </c>
      <c r="W474" s="191" t="inlineStr">
        <is>
          <t>NA</t>
        </is>
      </c>
      <c r="X474" s="171" t="inlineStr">
        <is>
          <t>NA</t>
        </is>
      </c>
      <c r="Y474" s="191" t="inlineStr">
        <is>
          <t>NA</t>
        </is>
      </c>
      <c r="Z474" s="171" t="inlineStr">
        <is>
          <t>NA</t>
        </is>
      </c>
      <c r="AA474" s="191" t="inlineStr">
        <is>
          <t>NA</t>
        </is>
      </c>
      <c r="AB474" s="162" t="inlineStr">
        <is>
          <t>NA</t>
        </is>
      </c>
      <c r="AC474" s="191" t="inlineStr">
        <is>
          <t>NA</t>
        </is>
      </c>
      <c r="AD474" s="156" t="inlineStr">
        <is>
          <t>NA</t>
        </is>
      </c>
      <c r="AE474" s="177" t="inlineStr">
        <is>
          <t>NA</t>
        </is>
      </c>
      <c r="AF474" s="93" t="inlineStr">
        <is>
          <t>NA</t>
        </is>
      </c>
      <c r="AG474" s="97" t="inlineStr">
        <is>
          <t>NA</t>
        </is>
      </c>
      <c r="AH474" s="285" t="n">
        <v>0</v>
      </c>
      <c r="AI474" s="285" t="inlineStr">
        <is>
          <t>Not Reported</t>
        </is>
      </c>
      <c r="AJ474" s="93" t="inlineStr">
        <is>
          <t>NA</t>
        </is>
      </c>
      <c r="AK474" s="126" t="inlineStr">
        <is>
          <t>NA</t>
        </is>
      </c>
    </row>
    <row r="475">
      <c r="A475" s="21" t="inlineStr">
        <is>
          <t>Vertiv Energy</t>
        </is>
      </c>
      <c r="B475" s="5" t="inlineStr">
        <is>
          <t>West 2</t>
        </is>
      </c>
      <c r="C475" s="76" t="inlineStr">
        <is>
          <t>Shweta</t>
        </is>
      </c>
      <c r="D475" s="26" t="inlineStr">
        <is>
          <t>Debashreeta</t>
        </is>
      </c>
      <c r="E475" s="26" t="inlineStr">
        <is>
          <t>Category (B)</t>
        </is>
      </c>
      <c r="F475" s="26" t="inlineStr">
        <is>
          <t>Contractual SLA</t>
        </is>
      </c>
      <c r="G475" s="21" t="inlineStr">
        <is>
          <t>Yes</t>
        </is>
      </c>
      <c r="H475" s="27" t="inlineStr">
        <is>
          <t>Time to Hire</t>
        </is>
      </c>
      <c r="I475" s="20" t="inlineStr">
        <is>
          <t>100 Days</t>
        </is>
      </c>
      <c r="J475" s="28" t="n">
        <v>85</v>
      </c>
      <c r="K475" s="28" t="inlineStr">
        <is>
          <t>Met</t>
        </is>
      </c>
      <c r="L475" s="17" t="n">
        <v>89</v>
      </c>
      <c r="M475" s="28" t="inlineStr">
        <is>
          <t>Met</t>
        </is>
      </c>
      <c r="N475" s="28" t="n">
        <v>53</v>
      </c>
      <c r="O475" s="28" t="inlineStr">
        <is>
          <t>Met</t>
        </is>
      </c>
      <c r="P475" s="28" t="n">
        <v>73</v>
      </c>
      <c r="Q475" s="28" t="inlineStr">
        <is>
          <t>Met</t>
        </is>
      </c>
      <c r="R475" s="28" t="n">
        <v>55</v>
      </c>
      <c r="S475" s="28" t="inlineStr">
        <is>
          <t>Met</t>
        </is>
      </c>
      <c r="T475" s="7" t="n">
        <v>48</v>
      </c>
      <c r="U475" s="28" t="inlineStr">
        <is>
          <t>Met</t>
        </is>
      </c>
      <c r="V475" s="28" t="n">
        <v>137</v>
      </c>
      <c r="W475" s="28" t="inlineStr">
        <is>
          <t>Not Met</t>
        </is>
      </c>
      <c r="X475" s="28" t="inlineStr">
        <is>
          <t xml:space="preserve">Not Reported </t>
        </is>
      </c>
      <c r="Y475" s="28" t="inlineStr">
        <is>
          <t>Not Reported</t>
        </is>
      </c>
      <c r="Z475" s="28" t="inlineStr">
        <is>
          <t>124 Days</t>
        </is>
      </c>
      <c r="AA475" s="28" t="inlineStr">
        <is>
          <t>Not Met</t>
        </is>
      </c>
      <c r="AB475" s="103" t="n">
        <v>103</v>
      </c>
      <c r="AC475" s="28" t="inlineStr">
        <is>
          <t>Not Met</t>
        </is>
      </c>
      <c r="AD475" s="97" t="inlineStr">
        <is>
          <t>Not Reported</t>
        </is>
      </c>
      <c r="AE475" s="97" t="inlineStr">
        <is>
          <t>Not Reported</t>
        </is>
      </c>
      <c r="AF475" s="97" t="inlineStr">
        <is>
          <t>Not Reported</t>
        </is>
      </c>
      <c r="AG475" s="149" t="inlineStr">
        <is>
          <t>Not Reported</t>
        </is>
      </c>
      <c r="AH475" s="285" t="n">
        <v>0</v>
      </c>
      <c r="AI475" s="285" t="inlineStr">
        <is>
          <t>Not Reported</t>
        </is>
      </c>
      <c r="AJ475" s="97" t="inlineStr">
        <is>
          <t>Not Reported</t>
        </is>
      </c>
      <c r="AK475" s="97" t="inlineStr">
        <is>
          <t>Not Reported</t>
        </is>
      </c>
    </row>
    <row r="476">
      <c r="A476" s="21" t="inlineStr">
        <is>
          <t>Vertiv Energy</t>
        </is>
      </c>
      <c r="B476" s="5" t="inlineStr">
        <is>
          <t>West 2</t>
        </is>
      </c>
      <c r="C476" s="76" t="inlineStr">
        <is>
          <t>Shweta</t>
        </is>
      </c>
      <c r="D476" s="26" t="inlineStr">
        <is>
          <t>Debashreeta</t>
        </is>
      </c>
      <c r="E476" s="26" t="inlineStr">
        <is>
          <t>Category (B)</t>
        </is>
      </c>
      <c r="F476" s="26" t="inlineStr">
        <is>
          <t>Contractual SLA</t>
        </is>
      </c>
      <c r="G476" s="21" t="inlineStr">
        <is>
          <t>Yes</t>
        </is>
      </c>
      <c r="H476" s="21" t="inlineStr">
        <is>
          <t>Time to fill (till selection)
(Requisition to
 Offer
Acceptance)</t>
        </is>
      </c>
      <c r="I476" s="14" t="inlineStr">
        <is>
          <t>35 Days</t>
        </is>
      </c>
      <c r="J476" s="28" t="n">
        <v>39</v>
      </c>
      <c r="K476" s="28" t="inlineStr">
        <is>
          <t>Not Met</t>
        </is>
      </c>
      <c r="L476" s="17" t="n">
        <v>13</v>
      </c>
      <c r="M476" s="28" t="inlineStr">
        <is>
          <t>Met</t>
        </is>
      </c>
      <c r="N476" s="28" t="n">
        <v>98</v>
      </c>
      <c r="O476" s="28" t="inlineStr">
        <is>
          <t>Not Met</t>
        </is>
      </c>
      <c r="P476" s="28" t="n">
        <v>71</v>
      </c>
      <c r="Q476" s="28" t="inlineStr">
        <is>
          <t>Not Met</t>
        </is>
      </c>
      <c r="R476" s="28" t="n">
        <v>40</v>
      </c>
      <c r="S476" s="28" t="inlineStr">
        <is>
          <t>Not Met</t>
        </is>
      </c>
      <c r="T476" s="7" t="n">
        <v>25</v>
      </c>
      <c r="U476" s="28" t="inlineStr">
        <is>
          <t>Met</t>
        </is>
      </c>
      <c r="V476" s="28" t="n">
        <v>58</v>
      </c>
      <c r="W476" s="28" t="inlineStr">
        <is>
          <t>Not Met</t>
        </is>
      </c>
      <c r="X476" s="28" t="inlineStr">
        <is>
          <t xml:space="preserve">Not Reported </t>
        </is>
      </c>
      <c r="Y476" s="28" t="inlineStr">
        <is>
          <t>Not Reported</t>
        </is>
      </c>
      <c r="Z476" s="28" t="inlineStr">
        <is>
          <t>36 Days</t>
        </is>
      </c>
      <c r="AA476" s="28" t="inlineStr">
        <is>
          <t>Not Met</t>
        </is>
      </c>
      <c r="AB476" s="103" t="n">
        <v>64</v>
      </c>
      <c r="AC476" s="28" t="inlineStr">
        <is>
          <t>Not Met</t>
        </is>
      </c>
      <c r="AD476" s="97" t="inlineStr">
        <is>
          <t>Not Reported</t>
        </is>
      </c>
      <c r="AE476" s="97" t="inlineStr">
        <is>
          <t>Not Reported</t>
        </is>
      </c>
      <c r="AF476" s="97" t="inlineStr">
        <is>
          <t>Not Reported</t>
        </is>
      </c>
      <c r="AG476" s="149" t="inlineStr">
        <is>
          <t>Not Reported</t>
        </is>
      </c>
      <c r="AH476" s="285" t="n">
        <v>0</v>
      </c>
      <c r="AI476" s="285" t="inlineStr">
        <is>
          <t>Not Reported</t>
        </is>
      </c>
      <c r="AJ476" s="97" t="inlineStr">
        <is>
          <t>Not Reported</t>
        </is>
      </c>
      <c r="AK476" s="97" t="inlineStr">
        <is>
          <t>Not Reported</t>
        </is>
      </c>
    </row>
    <row r="477">
      <c r="A477" s="21" t="inlineStr">
        <is>
          <t>Vertiv Energy</t>
        </is>
      </c>
      <c r="B477" s="5" t="inlineStr">
        <is>
          <t>West 2</t>
        </is>
      </c>
      <c r="C477" s="76" t="inlineStr">
        <is>
          <t>Shweta</t>
        </is>
      </c>
      <c r="D477" s="26" t="inlineStr">
        <is>
          <t>Debashreeta</t>
        </is>
      </c>
      <c r="E477" s="26" t="inlineStr">
        <is>
          <t>Category (B)</t>
        </is>
      </c>
      <c r="F477" s="21" t="inlineStr">
        <is>
          <t>Internal KPI</t>
        </is>
      </c>
      <c r="G477" s="21" t="inlineStr">
        <is>
          <t>No</t>
        </is>
      </c>
      <c r="H477" s="27" t="inlineStr">
        <is>
          <t>Hit Ratio</t>
        </is>
      </c>
      <c r="I477" s="11" t="n">
        <v>0.3</v>
      </c>
      <c r="J477" s="29" t="n">
        <v>0.14</v>
      </c>
      <c r="K477" s="28" t="inlineStr">
        <is>
          <t>Not Met</t>
        </is>
      </c>
      <c r="L477" s="20" t="n">
        <v>0.1</v>
      </c>
      <c r="M477" s="28" t="inlineStr">
        <is>
          <t>Not Met</t>
        </is>
      </c>
      <c r="N477" s="52" t="n">
        <v>0.04371584699453552</v>
      </c>
      <c r="O477" s="28" t="inlineStr">
        <is>
          <t>Not Met</t>
        </is>
      </c>
      <c r="P477" s="52" t="n">
        <v>0.06008583690987124</v>
      </c>
      <c r="Q477" s="28" t="inlineStr">
        <is>
          <t>Not Met</t>
        </is>
      </c>
      <c r="R477" s="29" t="n">
        <v>0.05</v>
      </c>
      <c r="S477" s="28" t="inlineStr">
        <is>
          <t>Not Met</t>
        </is>
      </c>
      <c r="T477" s="29" t="n">
        <v>0.03</v>
      </c>
      <c r="U477" s="28" t="inlineStr">
        <is>
          <t>Not Met</t>
        </is>
      </c>
      <c r="V477" s="29" t="n">
        <v>0.02</v>
      </c>
      <c r="W477" s="28" t="inlineStr">
        <is>
          <t>Not Met</t>
        </is>
      </c>
      <c r="X477" s="28" t="inlineStr">
        <is>
          <t xml:space="preserve">Not Reported </t>
        </is>
      </c>
      <c r="Y477" s="28" t="inlineStr">
        <is>
          <t>Not Reported</t>
        </is>
      </c>
      <c r="Z477" s="29" t="n">
        <v>0.04</v>
      </c>
      <c r="AA477" s="28" t="inlineStr">
        <is>
          <t>Not Met</t>
        </is>
      </c>
      <c r="AB477" s="73" t="n">
        <v>0.04411764705882353</v>
      </c>
      <c r="AC477" s="28" t="inlineStr">
        <is>
          <t>Not Met</t>
        </is>
      </c>
      <c r="AD477" s="97" t="inlineStr">
        <is>
          <t>Not Reported</t>
        </is>
      </c>
      <c r="AE477" s="126" t="inlineStr">
        <is>
          <t>Not Reported</t>
        </is>
      </c>
      <c r="AF477" s="97" t="inlineStr">
        <is>
          <t>Not Reported</t>
        </is>
      </c>
      <c r="AG477" s="149" t="inlineStr">
        <is>
          <t>Not Reported</t>
        </is>
      </c>
      <c r="AH477" s="285" t="n">
        <v>0</v>
      </c>
      <c r="AI477" s="285" t="inlineStr">
        <is>
          <t>Not Reported</t>
        </is>
      </c>
      <c r="AJ477" s="97" t="inlineStr">
        <is>
          <t>Not Reported</t>
        </is>
      </c>
      <c r="AK477" s="126" t="inlineStr">
        <is>
          <t>Not Reported</t>
        </is>
      </c>
    </row>
    <row r="478">
      <c r="A478" s="21" t="inlineStr">
        <is>
          <t>Vertiv Energy</t>
        </is>
      </c>
      <c r="B478" s="5" t="inlineStr">
        <is>
          <t>West 2</t>
        </is>
      </c>
      <c r="C478" s="76" t="inlineStr">
        <is>
          <t>Shweta</t>
        </is>
      </c>
      <c r="D478" s="26" t="inlineStr">
        <is>
          <t>Debashreeta</t>
        </is>
      </c>
      <c r="E478" s="26" t="inlineStr">
        <is>
          <t>Category (B)</t>
        </is>
      </c>
      <c r="F478" s="21" t="inlineStr">
        <is>
          <t>Internal KPI</t>
        </is>
      </c>
      <c r="G478" s="21" t="inlineStr">
        <is>
          <t>No</t>
        </is>
      </c>
      <c r="H478" s="21" t="inlineStr">
        <is>
          <t>Offer Drop</t>
        </is>
      </c>
      <c r="I478" s="20" t="n">
        <v>0.3</v>
      </c>
      <c r="J478" s="29" t="n">
        <v>0.3</v>
      </c>
      <c r="K478" s="28" t="inlineStr">
        <is>
          <t>Met</t>
        </is>
      </c>
      <c r="L478" s="45" t="n">
        <v>0</v>
      </c>
      <c r="M478" s="28" t="inlineStr">
        <is>
          <t>Met</t>
        </is>
      </c>
      <c r="N478" s="52" t="n">
        <v>0.14</v>
      </c>
      <c r="O478" s="28" t="inlineStr">
        <is>
          <t>Met</t>
        </is>
      </c>
      <c r="P478" s="52" t="n">
        <v>0.31</v>
      </c>
      <c r="Q478" s="28" t="inlineStr">
        <is>
          <t>Not Met</t>
        </is>
      </c>
      <c r="R478" s="11" t="n">
        <v>0.14</v>
      </c>
      <c r="S478" s="28" t="inlineStr">
        <is>
          <t>Met</t>
        </is>
      </c>
      <c r="T478" s="29" t="n">
        <v>0</v>
      </c>
      <c r="U478" s="28" t="inlineStr">
        <is>
          <t>Met</t>
        </is>
      </c>
      <c r="V478" s="29" t="n">
        <v>0.2</v>
      </c>
      <c r="W478" s="28" t="inlineStr">
        <is>
          <t>Met</t>
        </is>
      </c>
      <c r="X478" s="28" t="inlineStr">
        <is>
          <t xml:space="preserve">Not Reported </t>
        </is>
      </c>
      <c r="Y478" s="28" t="inlineStr">
        <is>
          <t>Not Reported</t>
        </is>
      </c>
      <c r="Z478" s="29" t="n">
        <v>0.2</v>
      </c>
      <c r="AA478" s="28" t="inlineStr">
        <is>
          <t>Met</t>
        </is>
      </c>
      <c r="AB478" s="65" t="n">
        <v>0</v>
      </c>
      <c r="AC478" s="28" t="inlineStr">
        <is>
          <t>Met</t>
        </is>
      </c>
      <c r="AD478" s="97" t="inlineStr">
        <is>
          <t>Not Reported</t>
        </is>
      </c>
      <c r="AE478" s="126" t="inlineStr">
        <is>
          <t>Not Reported</t>
        </is>
      </c>
      <c r="AF478" s="97" t="inlineStr">
        <is>
          <t>Not Reported</t>
        </is>
      </c>
      <c r="AG478" s="149" t="inlineStr">
        <is>
          <t>Not Reported</t>
        </is>
      </c>
      <c r="AH478" s="285" t="n">
        <v>0</v>
      </c>
      <c r="AI478" s="285" t="inlineStr">
        <is>
          <t>Not Reported</t>
        </is>
      </c>
      <c r="AJ478" s="97" t="inlineStr">
        <is>
          <t>Not Reported</t>
        </is>
      </c>
      <c r="AK478" s="126" t="inlineStr">
        <is>
          <t>Not Reported</t>
        </is>
      </c>
    </row>
    <row r="479">
      <c r="A479" s="21" t="inlineStr">
        <is>
          <t>Vertiv Energy</t>
        </is>
      </c>
      <c r="B479" s="5" t="inlineStr">
        <is>
          <t>West 2</t>
        </is>
      </c>
      <c r="C479" s="76" t="inlineStr">
        <is>
          <t>Shweta</t>
        </is>
      </c>
      <c r="D479" s="26" t="inlineStr">
        <is>
          <t>Debashreeta</t>
        </is>
      </c>
      <c r="E479" s="26" t="inlineStr">
        <is>
          <t>Category (B)</t>
        </is>
      </c>
      <c r="F479" s="21" t="inlineStr">
        <is>
          <t>Internal KPI</t>
        </is>
      </c>
      <c r="G479" s="21" t="inlineStr">
        <is>
          <t>No</t>
        </is>
      </c>
      <c r="H479" s="27" t="inlineStr">
        <is>
          <t>First Time Right Ratio</t>
        </is>
      </c>
      <c r="I479" s="20" t="n">
        <v>0.6</v>
      </c>
      <c r="J479" s="29" t="n">
        <v>0.7</v>
      </c>
      <c r="K479" s="28" t="inlineStr">
        <is>
          <t>Met</t>
        </is>
      </c>
      <c r="L479" s="20" t="n">
        <v>0.85</v>
      </c>
      <c r="M479" s="28" t="inlineStr">
        <is>
          <t>Met</t>
        </is>
      </c>
      <c r="N479" s="52" t="n">
        <v>0.82</v>
      </c>
      <c r="O479" s="28" t="inlineStr">
        <is>
          <t>Met</t>
        </is>
      </c>
      <c r="P479" s="52" t="n">
        <v>0.8100000000000001</v>
      </c>
      <c r="Q479" s="28" t="inlineStr">
        <is>
          <t>Met</t>
        </is>
      </c>
      <c r="R479" s="29" t="n">
        <v>0.84</v>
      </c>
      <c r="S479" s="28" t="inlineStr">
        <is>
          <t>Met</t>
        </is>
      </c>
      <c r="T479" s="29" t="n">
        <v>0.7333333333333333</v>
      </c>
      <c r="U479" s="28" t="inlineStr">
        <is>
          <t>Met</t>
        </is>
      </c>
      <c r="V479" s="29" t="n">
        <v>0.8</v>
      </c>
      <c r="W479" s="28" t="inlineStr">
        <is>
          <t>Met</t>
        </is>
      </c>
      <c r="X479" s="28" t="inlineStr">
        <is>
          <t xml:space="preserve">Not Reported </t>
        </is>
      </c>
      <c r="Y479" s="28" t="inlineStr">
        <is>
          <t>Not Reported</t>
        </is>
      </c>
      <c r="Z479" s="29" t="n">
        <v>0.96</v>
      </c>
      <c r="AA479" s="28" t="inlineStr">
        <is>
          <t>Met</t>
        </is>
      </c>
      <c r="AB479" s="65" t="n">
        <v>0.85</v>
      </c>
      <c r="AC479" s="28" t="inlineStr">
        <is>
          <t>Met</t>
        </is>
      </c>
      <c r="AD479" s="97" t="inlineStr">
        <is>
          <t>Not Reported</t>
        </is>
      </c>
      <c r="AE479" s="126" t="inlineStr">
        <is>
          <t>Not Reported</t>
        </is>
      </c>
      <c r="AF479" s="97" t="inlineStr">
        <is>
          <t>Not Reported</t>
        </is>
      </c>
      <c r="AG479" s="149" t="inlineStr">
        <is>
          <t>Not Reported</t>
        </is>
      </c>
      <c r="AH479" s="285" t="n">
        <v>0</v>
      </c>
      <c r="AI479" s="285" t="inlineStr">
        <is>
          <t>Not Reported</t>
        </is>
      </c>
      <c r="AJ479" s="97" t="inlineStr">
        <is>
          <t>Not Reported</t>
        </is>
      </c>
      <c r="AK479" s="126" t="inlineStr">
        <is>
          <t>Not Reported</t>
        </is>
      </c>
    </row>
    <row r="480">
      <c r="A480" s="21" t="inlineStr">
        <is>
          <t>Vertiv Energy</t>
        </is>
      </c>
      <c r="B480" s="5" t="inlineStr">
        <is>
          <t>West 2</t>
        </is>
      </c>
      <c r="C480" s="76" t="inlineStr">
        <is>
          <t>Shweta</t>
        </is>
      </c>
      <c r="D480" s="26" t="inlineStr">
        <is>
          <t>Debashreeta</t>
        </is>
      </c>
      <c r="E480" s="26" t="inlineStr">
        <is>
          <t>Category (B)</t>
        </is>
      </c>
      <c r="F480" s="21" t="inlineStr">
        <is>
          <t>Internal KPI</t>
        </is>
      </c>
      <c r="G480" s="21" t="inlineStr">
        <is>
          <t>No</t>
        </is>
      </c>
      <c r="H480" s="27" t="inlineStr">
        <is>
          <t xml:space="preserve">Fulfilment </t>
        </is>
      </c>
      <c r="I480" s="20" t="n">
        <v>0.7</v>
      </c>
      <c r="J480" s="29" t="n">
        <v>0.5600000000000001</v>
      </c>
      <c r="K480" s="28" t="inlineStr">
        <is>
          <t>Not Met</t>
        </is>
      </c>
      <c r="L480" s="45" t="n">
        <v>0.29</v>
      </c>
      <c r="M480" s="28" t="inlineStr">
        <is>
          <t>Not Met</t>
        </is>
      </c>
      <c r="N480" s="29" t="n">
        <v>0</v>
      </c>
      <c r="O480" s="28" t="inlineStr">
        <is>
          <t>Not Met</t>
        </is>
      </c>
      <c r="P480" s="52" t="n">
        <v>0.77</v>
      </c>
      <c r="Q480" s="28" t="inlineStr">
        <is>
          <t>Met</t>
        </is>
      </c>
      <c r="R480" s="29" t="n">
        <v>0.88</v>
      </c>
      <c r="S480" s="28" t="inlineStr">
        <is>
          <t>Met</t>
        </is>
      </c>
      <c r="T480" s="28" t="inlineStr">
        <is>
          <t xml:space="preserve">Not Reported </t>
        </is>
      </c>
      <c r="U480" s="28" t="inlineStr">
        <is>
          <t>Not Reported</t>
        </is>
      </c>
      <c r="V480" s="29" t="n">
        <v>1.33</v>
      </c>
      <c r="W480" s="28" t="inlineStr">
        <is>
          <t>Met</t>
        </is>
      </c>
      <c r="X480" s="28" t="inlineStr">
        <is>
          <t xml:space="preserve">Not Reported </t>
        </is>
      </c>
      <c r="Y480" s="28" t="inlineStr">
        <is>
          <t>Not Reported</t>
        </is>
      </c>
      <c r="Z480" s="29" t="n">
        <v>1</v>
      </c>
      <c r="AA480" s="28" t="inlineStr">
        <is>
          <t>Met</t>
        </is>
      </c>
      <c r="AB480" s="65" t="n">
        <v>1</v>
      </c>
      <c r="AC480" s="28" t="inlineStr">
        <is>
          <t>Met</t>
        </is>
      </c>
      <c r="AD480" s="97" t="inlineStr">
        <is>
          <t>Not Reported</t>
        </is>
      </c>
      <c r="AE480" s="126" t="inlineStr">
        <is>
          <t>Not Reported</t>
        </is>
      </c>
      <c r="AF480" s="97" t="inlineStr">
        <is>
          <t>Not Reported</t>
        </is>
      </c>
      <c r="AG480" s="149" t="inlineStr">
        <is>
          <t>Not Reported</t>
        </is>
      </c>
      <c r="AH480" s="285" t="n">
        <v>0</v>
      </c>
      <c r="AI480" s="285" t="inlineStr">
        <is>
          <t>Not Reported</t>
        </is>
      </c>
      <c r="AJ480" s="97" t="inlineStr">
        <is>
          <t>Not Reported</t>
        </is>
      </c>
      <c r="AK480" s="126" t="inlineStr">
        <is>
          <t>Not Reported</t>
        </is>
      </c>
    </row>
    <row r="481">
      <c r="A481" s="21" t="inlineStr">
        <is>
          <t>Vertiv Energy</t>
        </is>
      </c>
      <c r="B481" s="5" t="inlineStr">
        <is>
          <t>West 2</t>
        </is>
      </c>
      <c r="C481" s="76" t="inlineStr">
        <is>
          <t>Shweta</t>
        </is>
      </c>
      <c r="D481" s="26" t="inlineStr">
        <is>
          <t>Debashreeta</t>
        </is>
      </c>
      <c r="E481" s="26" t="inlineStr">
        <is>
          <t>Category (B)</t>
        </is>
      </c>
      <c r="F481" s="21" t="inlineStr">
        <is>
          <t>Internal KPI</t>
        </is>
      </c>
      <c r="G481" s="21" t="inlineStr">
        <is>
          <t>No</t>
        </is>
      </c>
      <c r="H481" s="21" t="inlineStr">
        <is>
          <t>Ageing</t>
        </is>
      </c>
      <c r="I481" s="20" t="inlineStr">
        <is>
          <t>&lt;25%</t>
        </is>
      </c>
      <c r="J481" s="29" t="n">
        <v>0.19</v>
      </c>
      <c r="K481" s="28" t="inlineStr">
        <is>
          <t>Met</t>
        </is>
      </c>
      <c r="L481" s="45" t="n">
        <v>0.2142857142857143</v>
      </c>
      <c r="M481" s="28" t="inlineStr">
        <is>
          <t>Met</t>
        </is>
      </c>
      <c r="N481" s="52" t="n">
        <v>0.5</v>
      </c>
      <c r="O481" s="28" t="inlineStr">
        <is>
          <t>Not Met</t>
        </is>
      </c>
      <c r="P481" s="52" t="n">
        <v>0.29</v>
      </c>
      <c r="Q481" s="28" t="inlineStr">
        <is>
          <t>Not Met</t>
        </is>
      </c>
      <c r="R481" s="29" t="n">
        <v>0.33</v>
      </c>
      <c r="S481" s="28" t="inlineStr">
        <is>
          <t>Not Met</t>
        </is>
      </c>
      <c r="T481" s="29" t="n">
        <v>0.12</v>
      </c>
      <c r="U481" s="28" t="inlineStr">
        <is>
          <t>Met</t>
        </is>
      </c>
      <c r="V481" s="29" t="n">
        <v>0.31</v>
      </c>
      <c r="W481" s="28" t="inlineStr">
        <is>
          <t>Not Met</t>
        </is>
      </c>
      <c r="X481" s="28" t="inlineStr">
        <is>
          <t xml:space="preserve">Not Reported </t>
        </is>
      </c>
      <c r="Y481" s="28" t="inlineStr">
        <is>
          <t>Not Reported</t>
        </is>
      </c>
      <c r="Z481" s="29" t="n">
        <v>0.15</v>
      </c>
      <c r="AA481" s="28" t="inlineStr">
        <is>
          <t>Met</t>
        </is>
      </c>
      <c r="AB481" s="65" t="n">
        <v>0</v>
      </c>
      <c r="AC481" s="28" t="inlineStr">
        <is>
          <t>Met</t>
        </is>
      </c>
      <c r="AD481" s="97" t="inlineStr">
        <is>
          <t>Not Reported</t>
        </is>
      </c>
      <c r="AE481" s="127" t="inlineStr">
        <is>
          <t>Not Reported</t>
        </is>
      </c>
      <c r="AF481" s="97" t="inlineStr">
        <is>
          <t>Not Reported</t>
        </is>
      </c>
      <c r="AG481" s="149" t="inlineStr">
        <is>
          <t>Not Reported</t>
        </is>
      </c>
      <c r="AH481" s="285" t="n">
        <v>0</v>
      </c>
      <c r="AI481" s="285" t="inlineStr">
        <is>
          <t>Not Reported</t>
        </is>
      </c>
      <c r="AJ481" s="97" t="inlineStr">
        <is>
          <t>Not Reported</t>
        </is>
      </c>
      <c r="AK481" s="127" t="inlineStr">
        <is>
          <t>Not Reported</t>
        </is>
      </c>
    </row>
    <row r="482">
      <c r="A482" s="21" t="inlineStr">
        <is>
          <t>Vertiv Energy</t>
        </is>
      </c>
      <c r="B482" s="5" t="inlineStr">
        <is>
          <t>West 2</t>
        </is>
      </c>
      <c r="C482" s="76" t="inlineStr">
        <is>
          <t>Shweta</t>
        </is>
      </c>
      <c r="D482" s="26" t="inlineStr">
        <is>
          <t>Debashreeta</t>
        </is>
      </c>
      <c r="E482" s="26" t="inlineStr">
        <is>
          <t>Category (B)</t>
        </is>
      </c>
      <c r="F482" s="21" t="inlineStr">
        <is>
          <t>Internal KPI</t>
        </is>
      </c>
      <c r="G482" s="21" t="inlineStr">
        <is>
          <t>No</t>
        </is>
      </c>
      <c r="H482" s="21" t="inlineStr">
        <is>
          <t>Diversity</t>
        </is>
      </c>
      <c r="I482" s="20" t="n">
        <v>0.5</v>
      </c>
      <c r="J482" s="29" t="n">
        <v>0.11</v>
      </c>
      <c r="K482" s="28" t="inlineStr">
        <is>
          <t>Not Met</t>
        </is>
      </c>
      <c r="L482" s="45" t="n">
        <v>0</v>
      </c>
      <c r="M482" s="28" t="inlineStr">
        <is>
          <t>Not Met</t>
        </is>
      </c>
      <c r="N482" s="52" t="n">
        <v>0.17</v>
      </c>
      <c r="O482" s="28" t="inlineStr">
        <is>
          <t>Not Met</t>
        </is>
      </c>
      <c r="P482" s="52" t="n">
        <v>0.27</v>
      </c>
      <c r="Q482" s="28" t="inlineStr">
        <is>
          <t>Not Met</t>
        </is>
      </c>
      <c r="R482" s="29" t="n">
        <v>0</v>
      </c>
      <c r="S482" s="28" t="inlineStr">
        <is>
          <t>Not Met</t>
        </is>
      </c>
      <c r="T482" s="29" t="n">
        <v>0</v>
      </c>
      <c r="U482" s="28" t="inlineStr">
        <is>
          <t>Not Met</t>
        </is>
      </c>
      <c r="V482" s="29" t="n">
        <v>0.25</v>
      </c>
      <c r="W482" s="28" t="inlineStr">
        <is>
          <t>Not Met</t>
        </is>
      </c>
      <c r="X482" s="28" t="inlineStr">
        <is>
          <t xml:space="preserve">Not Reported </t>
        </is>
      </c>
      <c r="Y482" s="28" t="inlineStr">
        <is>
          <t>Not Reported</t>
        </is>
      </c>
      <c r="Z482" s="29" t="n">
        <v>0</v>
      </c>
      <c r="AA482" s="28" t="inlineStr">
        <is>
          <t>Not Met</t>
        </is>
      </c>
      <c r="AB482" s="65" t="n">
        <v>0</v>
      </c>
      <c r="AC482" s="28" t="inlineStr">
        <is>
          <t>Not Met</t>
        </is>
      </c>
      <c r="AD482" s="97" t="inlineStr">
        <is>
          <t>Not Reported</t>
        </is>
      </c>
      <c r="AE482" s="97" t="inlineStr">
        <is>
          <t>Not Reported</t>
        </is>
      </c>
      <c r="AF482" s="97" t="inlineStr">
        <is>
          <t>Not Reported</t>
        </is>
      </c>
      <c r="AG482" s="149" t="inlineStr">
        <is>
          <t>Not Reported</t>
        </is>
      </c>
      <c r="AH482" s="285" t="n">
        <v>0</v>
      </c>
      <c r="AI482" s="285" t="inlineStr">
        <is>
          <t>Not Reported</t>
        </is>
      </c>
      <c r="AJ482" s="97" t="inlineStr">
        <is>
          <t>Not Reported</t>
        </is>
      </c>
      <c r="AK482" s="97" t="inlineStr">
        <is>
          <t>Not Reported</t>
        </is>
      </c>
    </row>
    <row r="483">
      <c r="A483" s="204" t="inlineStr">
        <is>
          <t>Wipro</t>
        </is>
      </c>
      <c r="B483" s="205" t="inlineStr">
        <is>
          <t xml:space="preserve">South 1 </t>
        </is>
      </c>
      <c r="C483" s="5" t="inlineStr">
        <is>
          <t>TBH</t>
        </is>
      </c>
      <c r="D483" s="206" t="inlineStr">
        <is>
          <t>Himanshu Srivastava</t>
        </is>
      </c>
      <c r="E483" s="206" t="inlineStr">
        <is>
          <t>Category (B)</t>
        </is>
      </c>
      <c r="F483" s="204" t="inlineStr">
        <is>
          <t>Internal KPI</t>
        </is>
      </c>
      <c r="G483" s="206" t="inlineStr">
        <is>
          <t>No</t>
        </is>
      </c>
      <c r="H483" s="210" t="inlineStr">
        <is>
          <t>Time to Hire</t>
        </is>
      </c>
      <c r="I483" s="202" t="inlineStr">
        <is>
          <t>75 Days</t>
        </is>
      </c>
      <c r="J483" s="202" t="inlineStr">
        <is>
          <t>31 Days</t>
        </is>
      </c>
      <c r="K483" s="202" t="inlineStr">
        <is>
          <t>Met</t>
        </is>
      </c>
      <c r="L483" s="202" t="inlineStr">
        <is>
          <t>34 Days</t>
        </is>
      </c>
      <c r="M483" s="202" t="inlineStr">
        <is>
          <t>Met</t>
        </is>
      </c>
      <c r="N483" s="213" t="inlineStr">
        <is>
          <t>22 Days</t>
        </is>
      </c>
      <c r="O483" s="202" t="inlineStr">
        <is>
          <t>Met</t>
        </is>
      </c>
      <c r="P483" s="213" t="inlineStr">
        <is>
          <t>30days</t>
        </is>
      </c>
      <c r="Q483" s="202" t="inlineStr">
        <is>
          <t>Met</t>
        </is>
      </c>
      <c r="R483" s="213" t="inlineStr">
        <is>
          <t>34days</t>
        </is>
      </c>
      <c r="S483" s="202" t="inlineStr">
        <is>
          <t>Met</t>
        </is>
      </c>
      <c r="T483" s="213" t="inlineStr">
        <is>
          <t>29days</t>
        </is>
      </c>
      <c r="U483" s="202" t="inlineStr">
        <is>
          <t>Met</t>
        </is>
      </c>
      <c r="V483" s="213" t="inlineStr">
        <is>
          <t>25days</t>
        </is>
      </c>
      <c r="W483" s="202" t="inlineStr">
        <is>
          <t>Met</t>
        </is>
      </c>
      <c r="X483" s="213" t="inlineStr">
        <is>
          <t>30days</t>
        </is>
      </c>
      <c r="Y483" s="202" t="inlineStr">
        <is>
          <t>Met</t>
        </is>
      </c>
      <c r="Z483" s="213" t="inlineStr">
        <is>
          <t>27 days</t>
        </is>
      </c>
      <c r="AA483" s="202" t="inlineStr">
        <is>
          <t>Met</t>
        </is>
      </c>
      <c r="AB483" s="249" t="n">
        <v>20</v>
      </c>
      <c r="AC483" s="202" t="inlineStr">
        <is>
          <t>Met</t>
        </is>
      </c>
      <c r="AD483" s="163" t="n">
        <v>14</v>
      </c>
      <c r="AE483" s="202" t="inlineStr">
        <is>
          <t>Met</t>
        </is>
      </c>
      <c r="AF483" s="97" t="n">
        <v>25</v>
      </c>
      <c r="AG483" s="202" t="inlineStr">
        <is>
          <t>Met</t>
        </is>
      </c>
      <c r="AH483" s="285" t="n">
        <v>0</v>
      </c>
      <c r="AI483" s="285" t="inlineStr">
        <is>
          <t>Not Reported</t>
        </is>
      </c>
      <c r="AJ483" s="97" t="n">
        <v>27</v>
      </c>
      <c r="AK483" s="202" t="inlineStr">
        <is>
          <t>Met</t>
        </is>
      </c>
    </row>
    <row r="484">
      <c r="A484" s="21" t="inlineStr">
        <is>
          <t>Wipro</t>
        </is>
      </c>
      <c r="B484" s="5" t="inlineStr">
        <is>
          <t xml:space="preserve">South 1 </t>
        </is>
      </c>
      <c r="C484" s="5" t="inlineStr">
        <is>
          <t>TBH</t>
        </is>
      </c>
      <c r="D484" s="26" t="inlineStr">
        <is>
          <t>Himanshu Srivastava</t>
        </is>
      </c>
      <c r="E484" s="26" t="inlineStr">
        <is>
          <t>Category (B)</t>
        </is>
      </c>
      <c r="F484" s="21" t="inlineStr">
        <is>
          <t>Internal KPI</t>
        </is>
      </c>
      <c r="G484" s="26" t="inlineStr">
        <is>
          <t>No</t>
        </is>
      </c>
      <c r="H484" s="27" t="inlineStr">
        <is>
          <t>Time to Fill</t>
        </is>
      </c>
      <c r="I484" s="52" t="inlineStr">
        <is>
          <t>37 Days</t>
        </is>
      </c>
      <c r="J484" s="28" t="inlineStr">
        <is>
          <t>20 Days</t>
        </is>
      </c>
      <c r="K484" s="28" t="inlineStr">
        <is>
          <t>Met</t>
        </is>
      </c>
      <c r="L484" s="28" t="inlineStr">
        <is>
          <t>26 Days</t>
        </is>
      </c>
      <c r="M484" s="28" t="inlineStr">
        <is>
          <t>Met</t>
        </is>
      </c>
      <c r="N484" s="17" t="inlineStr">
        <is>
          <t>18 Days</t>
        </is>
      </c>
      <c r="O484" s="28" t="inlineStr">
        <is>
          <t>Met</t>
        </is>
      </c>
      <c r="P484" s="17" t="inlineStr">
        <is>
          <t>22days</t>
        </is>
      </c>
      <c r="Q484" s="28" t="inlineStr">
        <is>
          <t>Met</t>
        </is>
      </c>
      <c r="R484" s="17" t="inlineStr">
        <is>
          <t>17days</t>
        </is>
      </c>
      <c r="S484" s="28" t="inlineStr">
        <is>
          <t>Met</t>
        </is>
      </c>
      <c r="T484" s="17" t="inlineStr">
        <is>
          <t>22days</t>
        </is>
      </c>
      <c r="U484" s="28" t="inlineStr">
        <is>
          <t>Met</t>
        </is>
      </c>
      <c r="V484" s="17" t="inlineStr">
        <is>
          <t>20days</t>
        </is>
      </c>
      <c r="W484" s="28" t="inlineStr">
        <is>
          <t>Met</t>
        </is>
      </c>
      <c r="X484" s="17" t="inlineStr">
        <is>
          <t>21days</t>
        </is>
      </c>
      <c r="Y484" s="28" t="inlineStr">
        <is>
          <t>Met</t>
        </is>
      </c>
      <c r="Z484" s="17" t="inlineStr">
        <is>
          <t>24 days</t>
        </is>
      </c>
      <c r="AA484" s="28" t="inlineStr">
        <is>
          <t>Met</t>
        </is>
      </c>
      <c r="AB484" s="80" t="n">
        <v>17</v>
      </c>
      <c r="AC484" s="28" t="inlineStr">
        <is>
          <t>Met</t>
        </is>
      </c>
      <c r="AD484" s="97" t="n">
        <v>12</v>
      </c>
      <c r="AE484" s="28" t="inlineStr">
        <is>
          <t>Met</t>
        </is>
      </c>
      <c r="AF484" s="97" t="n">
        <v>17</v>
      </c>
      <c r="AG484" s="202" t="inlineStr">
        <is>
          <t>Met</t>
        </is>
      </c>
      <c r="AH484" s="285" t="n">
        <v>0</v>
      </c>
      <c r="AI484" s="285" t="inlineStr">
        <is>
          <t>Not Reported</t>
        </is>
      </c>
      <c r="AJ484" s="97" t="n">
        <v>21</v>
      </c>
      <c r="AK484" s="202" t="inlineStr">
        <is>
          <t>Met</t>
        </is>
      </c>
    </row>
    <row r="485">
      <c r="A485" s="21" t="inlineStr">
        <is>
          <t>Wipro</t>
        </is>
      </c>
      <c r="B485" s="5" t="inlineStr">
        <is>
          <t xml:space="preserve">South 1 </t>
        </is>
      </c>
      <c r="C485" s="5" t="inlineStr">
        <is>
          <t>TBH</t>
        </is>
      </c>
      <c r="D485" s="26" t="inlineStr">
        <is>
          <t>Himanshu Srivastava</t>
        </is>
      </c>
      <c r="E485" s="26" t="inlineStr">
        <is>
          <t>Category (B)</t>
        </is>
      </c>
      <c r="F485" s="21" t="inlineStr">
        <is>
          <t>Internal KPI</t>
        </is>
      </c>
      <c r="G485" s="26" t="inlineStr">
        <is>
          <t>No</t>
        </is>
      </c>
      <c r="H485" s="21" t="inlineStr">
        <is>
          <t>Ageing</t>
        </is>
      </c>
      <c r="I485" s="29" t="n">
        <v>1</v>
      </c>
      <c r="J485" s="29" t="n">
        <v>1</v>
      </c>
      <c r="K485" s="28" t="inlineStr">
        <is>
          <t>Met</t>
        </is>
      </c>
      <c r="L485" s="29" t="n">
        <v>0.92</v>
      </c>
      <c r="M485" s="28" t="inlineStr">
        <is>
          <t>Met</t>
        </is>
      </c>
      <c r="N485" s="18" t="n">
        <v>1</v>
      </c>
      <c r="O485" s="28" t="inlineStr">
        <is>
          <t>Met</t>
        </is>
      </c>
      <c r="P485" s="18" t="n">
        <v>1</v>
      </c>
      <c r="Q485" s="28" t="inlineStr">
        <is>
          <t>Met</t>
        </is>
      </c>
      <c r="R485" s="18" t="n">
        <v>1</v>
      </c>
      <c r="S485" s="28" t="inlineStr">
        <is>
          <t>Met</t>
        </is>
      </c>
      <c r="T485" s="18" t="n">
        <v>0.9399999999999999</v>
      </c>
      <c r="U485" s="28" t="inlineStr">
        <is>
          <t>Met</t>
        </is>
      </c>
      <c r="V485" s="18" t="n">
        <v>0.98</v>
      </c>
      <c r="W485" s="28" t="inlineStr">
        <is>
          <t>Met</t>
        </is>
      </c>
      <c r="X485" s="18" t="n">
        <v>0.9399999999999999</v>
      </c>
      <c r="Y485" s="28" t="inlineStr">
        <is>
          <t>Met</t>
        </is>
      </c>
      <c r="Z485" s="18" t="n">
        <v>0.98</v>
      </c>
      <c r="AA485" s="28" t="inlineStr">
        <is>
          <t>Met</t>
        </is>
      </c>
      <c r="AB485" s="81" t="n">
        <v>0.98</v>
      </c>
      <c r="AC485" s="28" t="inlineStr">
        <is>
          <t>Met</t>
        </is>
      </c>
      <c r="AD485" s="98" t="n">
        <v>1</v>
      </c>
      <c r="AE485" s="28" t="inlineStr">
        <is>
          <t>Met</t>
        </is>
      </c>
      <c r="AF485" s="98" t="n">
        <v>1</v>
      </c>
      <c r="AG485" s="202" t="inlineStr">
        <is>
          <t>Met</t>
        </is>
      </c>
      <c r="AH485" s="285" t="n">
        <v>0</v>
      </c>
      <c r="AI485" s="285" t="inlineStr">
        <is>
          <t>Not Reported</t>
        </is>
      </c>
      <c r="AJ485" s="98" t="n">
        <v>0.05</v>
      </c>
      <c r="AK485" s="202" t="inlineStr">
        <is>
          <t>Met</t>
        </is>
      </c>
    </row>
    <row r="486">
      <c r="A486" s="84" t="inlineStr">
        <is>
          <t>Wipro</t>
        </is>
      </c>
      <c r="B486" s="5" t="inlineStr">
        <is>
          <t xml:space="preserve">South 1 </t>
        </is>
      </c>
      <c r="C486" s="5" t="inlineStr">
        <is>
          <t>TBH</t>
        </is>
      </c>
      <c r="D486" s="26" t="inlineStr">
        <is>
          <t>Himanshu Srivastava</t>
        </is>
      </c>
      <c r="E486" s="26" t="inlineStr">
        <is>
          <t>Category (B)</t>
        </is>
      </c>
      <c r="F486" s="21" t="inlineStr">
        <is>
          <t>Internal KPI</t>
        </is>
      </c>
      <c r="G486" s="21" t="inlineStr">
        <is>
          <t>No</t>
        </is>
      </c>
      <c r="H486" s="27" t="inlineStr">
        <is>
          <t>First Time Right Ratio</t>
        </is>
      </c>
      <c r="I486" s="11" t="n">
        <v>0.7</v>
      </c>
      <c r="J486" s="14" t="inlineStr">
        <is>
          <t>Not Reported</t>
        </is>
      </c>
      <c r="K486" s="28" t="inlineStr">
        <is>
          <t>Not Reported</t>
        </is>
      </c>
      <c r="L486" s="28" t="inlineStr">
        <is>
          <t>Not Reported</t>
        </is>
      </c>
      <c r="M486" s="28" t="inlineStr">
        <is>
          <t>Not Reported</t>
        </is>
      </c>
      <c r="N486" s="18" t="n">
        <v>0.7</v>
      </c>
      <c r="O486" s="28" t="inlineStr">
        <is>
          <t>Met</t>
        </is>
      </c>
      <c r="P486" s="18" t="n">
        <v>0.7</v>
      </c>
      <c r="Q486" s="28" t="inlineStr">
        <is>
          <t>Met</t>
        </is>
      </c>
      <c r="R486" s="18" t="n">
        <v>0.7</v>
      </c>
      <c r="S486" s="28" t="inlineStr">
        <is>
          <t>Met</t>
        </is>
      </c>
      <c r="T486" s="18" t="n">
        <v>0.7</v>
      </c>
      <c r="U486" s="28" t="inlineStr">
        <is>
          <t>Met</t>
        </is>
      </c>
      <c r="V486" s="18" t="n">
        <v>0.7</v>
      </c>
      <c r="W486" s="28" t="inlineStr">
        <is>
          <t>Met</t>
        </is>
      </c>
      <c r="X486" s="18" t="n">
        <v>0.7</v>
      </c>
      <c r="Y486" s="28" t="inlineStr">
        <is>
          <t>Met</t>
        </is>
      </c>
      <c r="Z486" s="18" t="n">
        <v>0.7</v>
      </c>
      <c r="AA486" s="28" t="inlineStr">
        <is>
          <t>Met</t>
        </is>
      </c>
      <c r="AB486" s="81" t="n">
        <v>0.7</v>
      </c>
      <c r="AC486" s="28" t="inlineStr">
        <is>
          <t>Met</t>
        </is>
      </c>
      <c r="AD486" s="98" t="n">
        <v>0.7</v>
      </c>
      <c r="AE486" s="28" t="inlineStr">
        <is>
          <t>Met</t>
        </is>
      </c>
      <c r="AF486" s="254" t="n">
        <v>0.7</v>
      </c>
      <c r="AG486" s="202" t="inlineStr">
        <is>
          <t>Met</t>
        </is>
      </c>
      <c r="AH486" s="285" t="n">
        <v>0</v>
      </c>
      <c r="AI486" s="285" t="inlineStr">
        <is>
          <t>Not Reported</t>
        </is>
      </c>
      <c r="AJ486" s="275" t="n">
        <v>0.7</v>
      </c>
      <c r="AK486" s="202" t="inlineStr">
        <is>
          <t>Met</t>
        </is>
      </c>
    </row>
    <row r="487">
      <c r="A487" s="84" t="inlineStr">
        <is>
          <t>Wipro</t>
        </is>
      </c>
      <c r="B487" s="5" t="inlineStr">
        <is>
          <t xml:space="preserve">South 1 </t>
        </is>
      </c>
      <c r="C487" s="5" t="inlineStr">
        <is>
          <t>TBH</t>
        </is>
      </c>
      <c r="D487" s="26" t="inlineStr">
        <is>
          <t>Himanshu Srivastava</t>
        </is>
      </c>
      <c r="E487" s="26" t="inlineStr">
        <is>
          <t>Category (B)</t>
        </is>
      </c>
      <c r="F487" s="21" t="inlineStr">
        <is>
          <t>Internal KPI</t>
        </is>
      </c>
      <c r="G487" s="21" t="inlineStr">
        <is>
          <t>No</t>
        </is>
      </c>
      <c r="H487" s="27" t="inlineStr">
        <is>
          <t>Hit Ratio</t>
        </is>
      </c>
      <c r="I487" s="11" t="n">
        <v>0.5</v>
      </c>
      <c r="J487" s="29" t="n">
        <v>0.6</v>
      </c>
      <c r="K487" s="28" t="inlineStr">
        <is>
          <t>Met</t>
        </is>
      </c>
      <c r="L487" s="29" t="n">
        <v>0.6</v>
      </c>
      <c r="M487" s="28" t="inlineStr">
        <is>
          <t>Met</t>
        </is>
      </c>
      <c r="N487" s="18" t="n">
        <v>0.5</v>
      </c>
      <c r="O487" s="28" t="inlineStr">
        <is>
          <t>Met</t>
        </is>
      </c>
      <c r="P487" s="18" t="n">
        <v>0.5</v>
      </c>
      <c r="Q487" s="28" t="inlineStr">
        <is>
          <t>Met</t>
        </is>
      </c>
      <c r="R487" s="18" t="n">
        <v>0.5</v>
      </c>
      <c r="S487" s="28" t="inlineStr">
        <is>
          <t>Met</t>
        </is>
      </c>
      <c r="T487" s="18" t="n">
        <v>0.5</v>
      </c>
      <c r="U487" s="28" t="inlineStr">
        <is>
          <t>Met</t>
        </is>
      </c>
      <c r="V487" s="18" t="n">
        <v>0.5</v>
      </c>
      <c r="W487" s="28" t="inlineStr">
        <is>
          <t>Met</t>
        </is>
      </c>
      <c r="X487" s="18" t="n">
        <v>0.5</v>
      </c>
      <c r="Y487" s="28" t="inlineStr">
        <is>
          <t>Met</t>
        </is>
      </c>
      <c r="Z487" s="18" t="n">
        <v>0.5</v>
      </c>
      <c r="AA487" s="28" t="inlineStr">
        <is>
          <t>Met</t>
        </is>
      </c>
      <c r="AB487" s="81" t="n">
        <v>0.5</v>
      </c>
      <c r="AC487" s="28" t="inlineStr">
        <is>
          <t>Met</t>
        </is>
      </c>
      <c r="AD487" s="98" t="n">
        <v>0.5</v>
      </c>
      <c r="AE487" s="28" t="inlineStr">
        <is>
          <t>Met</t>
        </is>
      </c>
      <c r="AF487" s="81" t="n">
        <v>0.5</v>
      </c>
      <c r="AG487" s="202" t="inlineStr">
        <is>
          <t>Met</t>
        </is>
      </c>
      <c r="AH487" s="285" t="n">
        <v>0</v>
      </c>
      <c r="AI487" s="285" t="inlineStr">
        <is>
          <t>Not Reported</t>
        </is>
      </c>
      <c r="AJ487" s="98" t="n">
        <v>0.5</v>
      </c>
      <c r="AK487" s="202" t="inlineStr">
        <is>
          <t>Met</t>
        </is>
      </c>
    </row>
    <row r="488">
      <c r="A488" s="84" t="inlineStr">
        <is>
          <t>Wipro</t>
        </is>
      </c>
      <c r="B488" s="5" t="inlineStr">
        <is>
          <t xml:space="preserve">South 1 </t>
        </is>
      </c>
      <c r="C488" s="5" t="inlineStr">
        <is>
          <t>TBH</t>
        </is>
      </c>
      <c r="D488" s="26" t="inlineStr">
        <is>
          <t>Himanshu Srivastava</t>
        </is>
      </c>
      <c r="E488" s="26" t="inlineStr">
        <is>
          <t>Category (B)</t>
        </is>
      </c>
      <c r="F488" s="21" t="inlineStr">
        <is>
          <t>Internal KPI</t>
        </is>
      </c>
      <c r="G488" s="21" t="inlineStr">
        <is>
          <t>No</t>
        </is>
      </c>
      <c r="H488" s="21" t="inlineStr">
        <is>
          <t>Offer Drop</t>
        </is>
      </c>
      <c r="I488" s="11" t="n">
        <v>0.5</v>
      </c>
      <c r="J488" s="29" t="n">
        <v>0.13</v>
      </c>
      <c r="K488" s="28" t="inlineStr">
        <is>
          <t>Met</t>
        </is>
      </c>
      <c r="L488" s="29" t="n">
        <v>0.13</v>
      </c>
      <c r="M488" s="28" t="inlineStr">
        <is>
          <t>Met</t>
        </is>
      </c>
      <c r="N488" s="18" t="n">
        <v>0.2</v>
      </c>
      <c r="O488" s="28" t="inlineStr">
        <is>
          <t>Met</t>
        </is>
      </c>
      <c r="P488" s="18" t="n">
        <v>0.2</v>
      </c>
      <c r="Q488" s="28" t="inlineStr">
        <is>
          <t>Met</t>
        </is>
      </c>
      <c r="R488" s="18" t="n">
        <v>0.11</v>
      </c>
      <c r="S488" s="28" t="inlineStr">
        <is>
          <t>Met</t>
        </is>
      </c>
      <c r="T488" s="18" t="n">
        <v>0.17</v>
      </c>
      <c r="U488" s="28" t="inlineStr">
        <is>
          <t>Met</t>
        </is>
      </c>
      <c r="V488" s="18" t="n">
        <v>0.05</v>
      </c>
      <c r="W488" s="28" t="inlineStr">
        <is>
          <t>Met</t>
        </is>
      </c>
      <c r="X488" s="18" t="n">
        <v>0.07000000000000001</v>
      </c>
      <c r="Y488" s="28" t="inlineStr">
        <is>
          <t>Met</t>
        </is>
      </c>
      <c r="Z488" s="19" t="n">
        <v>0.06666666666666667</v>
      </c>
      <c r="AA488" s="28" t="inlineStr">
        <is>
          <t>Met</t>
        </is>
      </c>
      <c r="AB488" s="106" t="n">
        <v>0.07142857142857142</v>
      </c>
      <c r="AC488" s="28" t="inlineStr">
        <is>
          <t>Met</t>
        </is>
      </c>
      <c r="AD488" s="98" t="n">
        <v>0</v>
      </c>
      <c r="AE488" s="28" t="inlineStr">
        <is>
          <t>Met</t>
        </is>
      </c>
      <c r="AF488" s="81" t="n">
        <v>0.13</v>
      </c>
      <c r="AG488" s="202" t="inlineStr">
        <is>
          <t>Met</t>
        </is>
      </c>
      <c r="AH488" s="285" t="n">
        <v>0</v>
      </c>
      <c r="AI488" s="285" t="inlineStr">
        <is>
          <t>Not Reported</t>
        </is>
      </c>
      <c r="AJ488" s="98">
        <f>42/333</f>
        <v/>
      </c>
      <c r="AK488" s="202" t="inlineStr">
        <is>
          <t>Met</t>
        </is>
      </c>
    </row>
    <row r="489">
      <c r="A489" s="84" t="inlineStr">
        <is>
          <t>Wipro</t>
        </is>
      </c>
      <c r="B489" s="5" t="inlineStr">
        <is>
          <t xml:space="preserve">South 1 </t>
        </is>
      </c>
      <c r="C489" s="5" t="inlineStr">
        <is>
          <t>TBH</t>
        </is>
      </c>
      <c r="D489" s="26" t="inlineStr">
        <is>
          <t>Himanshu Srivastava</t>
        </is>
      </c>
      <c r="E489" s="26" t="inlineStr">
        <is>
          <t>Category (B)</t>
        </is>
      </c>
      <c r="F489" s="21" t="inlineStr">
        <is>
          <t>Internal KPI</t>
        </is>
      </c>
      <c r="G489" s="21" t="inlineStr">
        <is>
          <t>No</t>
        </is>
      </c>
      <c r="H489" s="27" t="inlineStr">
        <is>
          <t xml:space="preserve">Fulfilment </t>
        </is>
      </c>
      <c r="I489" s="20" t="n">
        <v>0.6</v>
      </c>
      <c r="J489" s="29" t="n">
        <v>0.72</v>
      </c>
      <c r="K489" s="28" t="inlineStr">
        <is>
          <t>Met</t>
        </is>
      </c>
      <c r="L489" s="29" t="n">
        <v>0.62</v>
      </c>
      <c r="M489" s="28" t="inlineStr">
        <is>
          <t>Met</t>
        </is>
      </c>
      <c r="N489" s="18" t="n">
        <v>0.67</v>
      </c>
      <c r="O489" s="28" t="inlineStr">
        <is>
          <t>Met</t>
        </is>
      </c>
      <c r="P489" s="18" t="n">
        <v>0.66</v>
      </c>
      <c r="Q489" s="28" t="inlineStr">
        <is>
          <t>Met</t>
        </is>
      </c>
      <c r="R489" s="18" t="n">
        <v>0.67</v>
      </c>
      <c r="S489" s="28" t="inlineStr">
        <is>
          <t>Met</t>
        </is>
      </c>
      <c r="T489" s="18" t="n">
        <v>0.67</v>
      </c>
      <c r="U489" s="28" t="inlineStr">
        <is>
          <t>Met</t>
        </is>
      </c>
      <c r="V489" s="18" t="n">
        <v>0.49</v>
      </c>
      <c r="W489" s="28" t="inlineStr">
        <is>
          <t>Not Met</t>
        </is>
      </c>
      <c r="X489" s="18" t="n">
        <v>0.58</v>
      </c>
      <c r="Y489" s="28" t="inlineStr">
        <is>
          <t>Not Met</t>
        </is>
      </c>
      <c r="Z489" s="18" t="n">
        <v>0.63</v>
      </c>
      <c r="AA489" s="28" t="inlineStr">
        <is>
          <t>Met</t>
        </is>
      </c>
      <c r="AB489" s="81" t="n">
        <v>0.6</v>
      </c>
      <c r="AC489" s="28" t="inlineStr">
        <is>
          <t>Met</t>
        </is>
      </c>
      <c r="AD489" s="98" t="n">
        <v>0.19</v>
      </c>
      <c r="AE489" s="28" t="inlineStr">
        <is>
          <t>Not Met</t>
        </is>
      </c>
      <c r="AF489" s="81" t="n">
        <v>0.47</v>
      </c>
      <c r="AG489" s="28" t="inlineStr">
        <is>
          <t>Not Met</t>
        </is>
      </c>
      <c r="AH489" s="285" t="n">
        <v>0</v>
      </c>
      <c r="AI489" s="285" t="inlineStr">
        <is>
          <t>Not Reported</t>
        </is>
      </c>
      <c r="AJ489" s="98" t="n">
        <v>0.65</v>
      </c>
      <c r="AK489" s="202" t="inlineStr">
        <is>
          <t>Met</t>
        </is>
      </c>
    </row>
    <row r="490">
      <c r="A490" s="84" t="inlineStr">
        <is>
          <t>Wipro</t>
        </is>
      </c>
      <c r="B490" s="5" t="inlineStr">
        <is>
          <t xml:space="preserve">South 1 </t>
        </is>
      </c>
      <c r="C490" s="5" t="inlineStr">
        <is>
          <t>TBH</t>
        </is>
      </c>
      <c r="D490" s="26" t="inlineStr">
        <is>
          <t>Himanshu Srivastava</t>
        </is>
      </c>
      <c r="E490" s="26" t="inlineStr">
        <is>
          <t>Category (B)</t>
        </is>
      </c>
      <c r="F490" s="21" t="inlineStr">
        <is>
          <t>Contractual SLA</t>
        </is>
      </c>
      <c r="G490" s="21" t="inlineStr">
        <is>
          <t>No</t>
        </is>
      </c>
      <c r="H490" s="27" t="inlineStr">
        <is>
          <t>Minimum Guaranteed</t>
        </is>
      </c>
      <c r="I490" s="20" t="n">
        <v>1</v>
      </c>
      <c r="J490" s="29" t="n">
        <v>0.72</v>
      </c>
      <c r="K490" s="28" t="inlineStr">
        <is>
          <t>Not Met</t>
        </is>
      </c>
      <c r="L490" s="29" t="n">
        <v>1.7</v>
      </c>
      <c r="M490" s="28" t="inlineStr">
        <is>
          <t>Met</t>
        </is>
      </c>
      <c r="N490" s="18" t="n">
        <v>1.21</v>
      </c>
      <c r="O490" s="28" t="inlineStr">
        <is>
          <t>Met</t>
        </is>
      </c>
      <c r="P490" s="18" t="n">
        <v>1.58</v>
      </c>
      <c r="Q490" s="28" t="inlineStr">
        <is>
          <t>Met</t>
        </is>
      </c>
      <c r="R490" s="17" t="inlineStr">
        <is>
          <t>NA</t>
        </is>
      </c>
      <c r="S490" s="20" t="inlineStr">
        <is>
          <t>NA</t>
        </is>
      </c>
      <c r="T490" s="17" t="inlineStr">
        <is>
          <t>NA</t>
        </is>
      </c>
      <c r="U490" s="17" t="inlineStr">
        <is>
          <t>NA</t>
        </is>
      </c>
      <c r="V490" s="17" t="inlineStr">
        <is>
          <t>NA</t>
        </is>
      </c>
      <c r="W490" s="20" t="inlineStr">
        <is>
          <t>NA</t>
        </is>
      </c>
      <c r="X490" s="17" t="inlineStr">
        <is>
          <t>NA</t>
        </is>
      </c>
      <c r="Y490" s="20" t="inlineStr">
        <is>
          <t>NA</t>
        </is>
      </c>
      <c r="Z490" s="17" t="inlineStr">
        <is>
          <t>NA</t>
        </is>
      </c>
      <c r="AA490" s="20" t="inlineStr">
        <is>
          <t>NA</t>
        </is>
      </c>
      <c r="AB490" s="107" t="inlineStr">
        <is>
          <t>NA</t>
        </is>
      </c>
      <c r="AC490" s="20" t="inlineStr">
        <is>
          <t>NA</t>
        </is>
      </c>
      <c r="AD490" s="109" t="inlineStr">
        <is>
          <t>NA</t>
        </is>
      </c>
      <c r="AE490" s="97" t="inlineStr">
        <is>
          <t>NA</t>
        </is>
      </c>
      <c r="AF490" s="97" t="inlineStr">
        <is>
          <t>NA</t>
        </is>
      </c>
      <c r="AG490" s="97" t="inlineStr">
        <is>
          <t>NA</t>
        </is>
      </c>
      <c r="AH490" s="285" t="n">
        <v>0</v>
      </c>
      <c r="AI490" s="285" t="inlineStr">
        <is>
          <t>Not Reported</t>
        </is>
      </c>
      <c r="AJ490" s="107" t="inlineStr">
        <is>
          <t>NA</t>
        </is>
      </c>
      <c r="AK490" s="97" t="inlineStr">
        <is>
          <t>NA</t>
        </is>
      </c>
    </row>
    <row r="491">
      <c r="A491" s="84" t="inlineStr">
        <is>
          <t>WTW (Ops &amp; Tech)</t>
        </is>
      </c>
      <c r="B491" s="5" t="inlineStr">
        <is>
          <t>West 1</t>
        </is>
      </c>
      <c r="C491" s="76" t="inlineStr">
        <is>
          <t>Elton</t>
        </is>
      </c>
      <c r="D491" s="26" t="inlineStr">
        <is>
          <t>Sahil</t>
        </is>
      </c>
      <c r="E491" s="26" t="inlineStr">
        <is>
          <t>Category (B)</t>
        </is>
      </c>
      <c r="F491" s="21" t="inlineStr">
        <is>
          <t>Internal KPI</t>
        </is>
      </c>
      <c r="G491" s="21" t="inlineStr">
        <is>
          <t>No</t>
        </is>
      </c>
      <c r="H491" s="27" t="inlineStr">
        <is>
          <t>Time to Hire</t>
        </is>
      </c>
      <c r="I491" s="17" t="inlineStr">
        <is>
          <t xml:space="preserve">90 Days </t>
        </is>
      </c>
      <c r="J491" s="20" t="inlineStr">
        <is>
          <t xml:space="preserve">NA </t>
        </is>
      </c>
      <c r="K491" s="20" t="inlineStr">
        <is>
          <t>NA</t>
        </is>
      </c>
      <c r="L491" s="20" t="inlineStr">
        <is>
          <t xml:space="preserve">NA </t>
        </is>
      </c>
      <c r="M491" s="20" t="inlineStr">
        <is>
          <t>NA</t>
        </is>
      </c>
      <c r="N491" s="20" t="inlineStr">
        <is>
          <t xml:space="preserve">NA </t>
        </is>
      </c>
      <c r="O491" s="20" t="inlineStr">
        <is>
          <t>NA</t>
        </is>
      </c>
      <c r="P491" s="20" t="inlineStr">
        <is>
          <t xml:space="preserve">NA </t>
        </is>
      </c>
      <c r="Q491" s="20" t="inlineStr">
        <is>
          <t>NA</t>
        </is>
      </c>
      <c r="R491" s="17" t="inlineStr">
        <is>
          <t>NA</t>
        </is>
      </c>
      <c r="S491" s="20" t="inlineStr">
        <is>
          <t>NA</t>
        </is>
      </c>
      <c r="T491" s="17" t="inlineStr">
        <is>
          <t>NA</t>
        </is>
      </c>
      <c r="U491" s="20" t="inlineStr">
        <is>
          <t>NA</t>
        </is>
      </c>
      <c r="V491" s="17" t="inlineStr">
        <is>
          <t>NA</t>
        </is>
      </c>
      <c r="W491" s="20" t="inlineStr">
        <is>
          <t>NA</t>
        </is>
      </c>
      <c r="X491" s="17" t="inlineStr">
        <is>
          <t>NA</t>
        </is>
      </c>
      <c r="Y491" s="20" t="inlineStr">
        <is>
          <t>NA</t>
        </is>
      </c>
      <c r="Z491" s="17" t="inlineStr">
        <is>
          <t>NA</t>
        </is>
      </c>
      <c r="AA491" s="20" t="inlineStr">
        <is>
          <t>NA</t>
        </is>
      </c>
      <c r="AB491" s="93" t="inlineStr">
        <is>
          <t>NA</t>
        </is>
      </c>
      <c r="AC491" s="20" t="inlineStr">
        <is>
          <t>NA</t>
        </is>
      </c>
      <c r="AD491" s="126" t="inlineStr">
        <is>
          <t>NA</t>
        </is>
      </c>
      <c r="AE491" s="97" t="inlineStr">
        <is>
          <t>NA</t>
        </is>
      </c>
      <c r="AF491" s="93" t="inlineStr">
        <is>
          <t>NA</t>
        </is>
      </c>
      <c r="AG491" s="97" t="inlineStr">
        <is>
          <t>NA</t>
        </is>
      </c>
      <c r="AH491" s="285" t="n">
        <v>0</v>
      </c>
      <c r="AI491" s="285" t="inlineStr">
        <is>
          <t>Not Reported</t>
        </is>
      </c>
      <c r="AJ491" s="93" t="inlineStr">
        <is>
          <t>NA</t>
        </is>
      </c>
      <c r="AK491" s="97" t="inlineStr">
        <is>
          <t>NA</t>
        </is>
      </c>
    </row>
    <row r="492">
      <c r="A492" s="84" t="inlineStr">
        <is>
          <t>WTW (Ops &amp; Tech)</t>
        </is>
      </c>
      <c r="B492" s="5" t="inlineStr">
        <is>
          <t>West 1</t>
        </is>
      </c>
      <c r="C492" s="76" t="inlineStr">
        <is>
          <t>Elton</t>
        </is>
      </c>
      <c r="D492" s="26" t="inlineStr">
        <is>
          <t>Sahil</t>
        </is>
      </c>
      <c r="E492" s="26" t="inlineStr">
        <is>
          <t>Category (B)</t>
        </is>
      </c>
      <c r="F492" s="21" t="inlineStr">
        <is>
          <t>Internal KPI</t>
        </is>
      </c>
      <c r="G492" s="21" t="inlineStr">
        <is>
          <t>No</t>
        </is>
      </c>
      <c r="H492" s="27" t="inlineStr">
        <is>
          <t>Hit Ratio</t>
        </is>
      </c>
      <c r="I492" s="18" t="n">
        <v>0.2</v>
      </c>
      <c r="J492" s="20" t="inlineStr">
        <is>
          <t xml:space="preserve">NA </t>
        </is>
      </c>
      <c r="K492" s="20" t="inlineStr">
        <is>
          <t>NA</t>
        </is>
      </c>
      <c r="L492" s="20" t="inlineStr">
        <is>
          <t xml:space="preserve">NA </t>
        </is>
      </c>
      <c r="M492" s="20" t="inlineStr">
        <is>
          <t>NA</t>
        </is>
      </c>
      <c r="N492" s="20" t="inlineStr">
        <is>
          <t xml:space="preserve">NA </t>
        </is>
      </c>
      <c r="O492" s="20" t="inlineStr">
        <is>
          <t>NA</t>
        </is>
      </c>
      <c r="P492" s="20" t="inlineStr">
        <is>
          <t xml:space="preserve">NA </t>
        </is>
      </c>
      <c r="Q492" s="20" t="inlineStr">
        <is>
          <t>NA</t>
        </is>
      </c>
      <c r="R492" s="17" t="inlineStr">
        <is>
          <t>NA</t>
        </is>
      </c>
      <c r="S492" s="20" t="inlineStr">
        <is>
          <t>NA</t>
        </is>
      </c>
      <c r="T492" s="17" t="inlineStr">
        <is>
          <t>NA</t>
        </is>
      </c>
      <c r="U492" s="20" t="inlineStr">
        <is>
          <t>NA</t>
        </is>
      </c>
      <c r="V492" s="17" t="inlineStr">
        <is>
          <t>NA</t>
        </is>
      </c>
      <c r="W492" s="20" t="inlineStr">
        <is>
          <t>NA</t>
        </is>
      </c>
      <c r="X492" s="17" t="inlineStr">
        <is>
          <t>NA</t>
        </is>
      </c>
      <c r="Y492" s="20" t="inlineStr">
        <is>
          <t>NA</t>
        </is>
      </c>
      <c r="Z492" s="17" t="inlineStr">
        <is>
          <t>NA</t>
        </is>
      </c>
      <c r="AA492" s="20" t="inlineStr">
        <is>
          <t>NA</t>
        </is>
      </c>
      <c r="AB492" s="93" t="inlineStr">
        <is>
          <t>NA</t>
        </is>
      </c>
      <c r="AC492" s="20" t="inlineStr">
        <is>
          <t>NA</t>
        </is>
      </c>
      <c r="AD492" s="126" t="inlineStr">
        <is>
          <t>NA</t>
        </is>
      </c>
      <c r="AE492" s="126" t="inlineStr">
        <is>
          <t>NA</t>
        </is>
      </c>
      <c r="AF492" s="93" t="inlineStr">
        <is>
          <t>NA</t>
        </is>
      </c>
      <c r="AG492" s="97" t="inlineStr">
        <is>
          <t>NA</t>
        </is>
      </c>
      <c r="AH492" s="285" t="n">
        <v>0</v>
      </c>
      <c r="AI492" s="285" t="inlineStr">
        <is>
          <t>Not Reported</t>
        </is>
      </c>
      <c r="AJ492" s="93" t="inlineStr">
        <is>
          <t>NA</t>
        </is>
      </c>
      <c r="AK492" s="126" t="inlineStr">
        <is>
          <t>NA</t>
        </is>
      </c>
    </row>
    <row r="493">
      <c r="A493" s="84" t="inlineStr">
        <is>
          <t>WTW (Ops &amp; Tech)</t>
        </is>
      </c>
      <c r="B493" s="5" t="inlineStr">
        <is>
          <t>West 1</t>
        </is>
      </c>
      <c r="C493" s="76" t="inlineStr">
        <is>
          <t>Elton</t>
        </is>
      </c>
      <c r="D493" s="26" t="inlineStr">
        <is>
          <t>Sahil</t>
        </is>
      </c>
      <c r="E493" s="26" t="inlineStr">
        <is>
          <t>Category (B)</t>
        </is>
      </c>
      <c r="F493" s="21" t="inlineStr">
        <is>
          <t>Internal KPI</t>
        </is>
      </c>
      <c r="G493" s="21" t="inlineStr">
        <is>
          <t>No</t>
        </is>
      </c>
      <c r="H493" s="21" t="inlineStr">
        <is>
          <t>Offer Drop</t>
        </is>
      </c>
      <c r="I493" s="18" t="n">
        <v>0.05</v>
      </c>
      <c r="J493" s="20" t="inlineStr">
        <is>
          <t xml:space="preserve">NA </t>
        </is>
      </c>
      <c r="K493" s="20" t="inlineStr">
        <is>
          <t>NA</t>
        </is>
      </c>
      <c r="L493" s="20" t="inlineStr">
        <is>
          <t xml:space="preserve">NA </t>
        </is>
      </c>
      <c r="M493" s="20" t="inlineStr">
        <is>
          <t>NA</t>
        </is>
      </c>
      <c r="N493" s="20" t="inlineStr">
        <is>
          <t xml:space="preserve">NA </t>
        </is>
      </c>
      <c r="O493" s="20" t="inlineStr">
        <is>
          <t>NA</t>
        </is>
      </c>
      <c r="P493" s="20" t="inlineStr">
        <is>
          <t xml:space="preserve">NA </t>
        </is>
      </c>
      <c r="Q493" s="20" t="inlineStr">
        <is>
          <t>NA</t>
        </is>
      </c>
      <c r="R493" s="17" t="inlineStr">
        <is>
          <t>NA</t>
        </is>
      </c>
      <c r="S493" s="20" t="inlineStr">
        <is>
          <t>NA</t>
        </is>
      </c>
      <c r="T493" s="17" t="inlineStr">
        <is>
          <t>NA</t>
        </is>
      </c>
      <c r="U493" s="20" t="inlineStr">
        <is>
          <t>NA</t>
        </is>
      </c>
      <c r="V493" s="17" t="inlineStr">
        <is>
          <t>NA</t>
        </is>
      </c>
      <c r="W493" s="20" t="inlineStr">
        <is>
          <t>NA</t>
        </is>
      </c>
      <c r="X493" s="17" t="inlineStr">
        <is>
          <t>NA</t>
        </is>
      </c>
      <c r="Y493" s="20" t="inlineStr">
        <is>
          <t>NA</t>
        </is>
      </c>
      <c r="Z493" s="17" t="inlineStr">
        <is>
          <t>NA</t>
        </is>
      </c>
      <c r="AA493" s="20" t="inlineStr">
        <is>
          <t>NA</t>
        </is>
      </c>
      <c r="AB493" s="93" t="inlineStr">
        <is>
          <t>NA</t>
        </is>
      </c>
      <c r="AC493" s="20" t="inlineStr">
        <is>
          <t>NA</t>
        </is>
      </c>
      <c r="AD493" s="126" t="inlineStr">
        <is>
          <t>NA</t>
        </is>
      </c>
      <c r="AE493" s="126" t="inlineStr">
        <is>
          <t>NA</t>
        </is>
      </c>
      <c r="AF493" s="93" t="inlineStr">
        <is>
          <t>NA</t>
        </is>
      </c>
      <c r="AG493" s="97" t="inlineStr">
        <is>
          <t>NA</t>
        </is>
      </c>
      <c r="AH493" s="285" t="n">
        <v>0</v>
      </c>
      <c r="AI493" s="285" t="inlineStr">
        <is>
          <t>Not Reported</t>
        </is>
      </c>
      <c r="AJ493" s="93" t="inlineStr">
        <is>
          <t>NA</t>
        </is>
      </c>
      <c r="AK493" s="126" t="inlineStr">
        <is>
          <t>NA</t>
        </is>
      </c>
    </row>
    <row r="494">
      <c r="A494" s="21" t="inlineStr">
        <is>
          <t>WTW (Ops &amp; Tech)</t>
        </is>
      </c>
      <c r="B494" s="5" t="inlineStr">
        <is>
          <t>West 1</t>
        </is>
      </c>
      <c r="C494" s="76" t="inlineStr">
        <is>
          <t>Elton</t>
        </is>
      </c>
      <c r="D494" s="26" t="inlineStr">
        <is>
          <t>Sahil</t>
        </is>
      </c>
      <c r="E494" s="26" t="inlineStr">
        <is>
          <t>Category (B)</t>
        </is>
      </c>
      <c r="F494" s="21" t="inlineStr">
        <is>
          <t>Internal KPI</t>
        </is>
      </c>
      <c r="G494" s="21" t="inlineStr">
        <is>
          <t>No</t>
        </is>
      </c>
      <c r="H494" s="27" t="inlineStr">
        <is>
          <t>First Time Right Ratio</t>
        </is>
      </c>
      <c r="I494" s="18" t="n">
        <v>0.75</v>
      </c>
      <c r="J494" s="20" t="inlineStr">
        <is>
          <t xml:space="preserve">NA </t>
        </is>
      </c>
      <c r="K494" s="20" t="inlineStr">
        <is>
          <t>NA</t>
        </is>
      </c>
      <c r="L494" s="20" t="inlineStr">
        <is>
          <t xml:space="preserve">NA </t>
        </is>
      </c>
      <c r="M494" s="20" t="inlineStr">
        <is>
          <t>NA</t>
        </is>
      </c>
      <c r="N494" s="20" t="inlineStr">
        <is>
          <t xml:space="preserve">NA </t>
        </is>
      </c>
      <c r="O494" s="20" t="inlineStr">
        <is>
          <t>NA</t>
        </is>
      </c>
      <c r="P494" s="20" t="inlineStr">
        <is>
          <t xml:space="preserve">NA </t>
        </is>
      </c>
      <c r="Q494" s="20" t="inlineStr">
        <is>
          <t>NA</t>
        </is>
      </c>
      <c r="R494" s="17" t="inlineStr">
        <is>
          <t>NA</t>
        </is>
      </c>
      <c r="S494" s="20" t="inlineStr">
        <is>
          <t>NA</t>
        </is>
      </c>
      <c r="T494" s="17" t="inlineStr">
        <is>
          <t>NA</t>
        </is>
      </c>
      <c r="U494" s="20" t="inlineStr">
        <is>
          <t>NA</t>
        </is>
      </c>
      <c r="V494" s="17" t="inlineStr">
        <is>
          <t>NA</t>
        </is>
      </c>
      <c r="W494" s="20" t="inlineStr">
        <is>
          <t>NA</t>
        </is>
      </c>
      <c r="X494" s="17" t="inlineStr">
        <is>
          <t>NA</t>
        </is>
      </c>
      <c r="Y494" s="20" t="inlineStr">
        <is>
          <t>NA</t>
        </is>
      </c>
      <c r="Z494" s="17" t="inlineStr">
        <is>
          <t>NA</t>
        </is>
      </c>
      <c r="AA494" s="20" t="inlineStr">
        <is>
          <t>NA</t>
        </is>
      </c>
      <c r="AB494" s="93" t="inlineStr">
        <is>
          <t>NA</t>
        </is>
      </c>
      <c r="AC494" s="20" t="inlineStr">
        <is>
          <t>NA</t>
        </is>
      </c>
      <c r="AD494" s="126" t="inlineStr">
        <is>
          <t>NA</t>
        </is>
      </c>
      <c r="AE494" s="126" t="inlineStr">
        <is>
          <t>NA</t>
        </is>
      </c>
      <c r="AF494" s="93" t="inlineStr">
        <is>
          <t>NA</t>
        </is>
      </c>
      <c r="AG494" s="97" t="inlineStr">
        <is>
          <t>NA</t>
        </is>
      </c>
      <c r="AH494" s="285" t="n">
        <v>0</v>
      </c>
      <c r="AI494" s="285" t="inlineStr">
        <is>
          <t>Not Reported</t>
        </is>
      </c>
      <c r="AJ494" s="93" t="inlineStr">
        <is>
          <t>NA</t>
        </is>
      </c>
      <c r="AK494" s="126" t="inlineStr">
        <is>
          <t>NA</t>
        </is>
      </c>
    </row>
    <row r="495">
      <c r="A495" s="21" t="inlineStr">
        <is>
          <t>WTW (Ops &amp; Tech)</t>
        </is>
      </c>
      <c r="B495" s="5" t="inlineStr">
        <is>
          <t>West 1</t>
        </is>
      </c>
      <c r="C495" s="76" t="inlineStr">
        <is>
          <t>Elton</t>
        </is>
      </c>
      <c r="D495" s="26" t="inlineStr">
        <is>
          <t>Sahil</t>
        </is>
      </c>
      <c r="E495" s="26" t="inlineStr">
        <is>
          <t>Category (B)</t>
        </is>
      </c>
      <c r="F495" s="21" t="inlineStr">
        <is>
          <t>Internal KPI</t>
        </is>
      </c>
      <c r="G495" s="21" t="inlineStr">
        <is>
          <t>No</t>
        </is>
      </c>
      <c r="H495" s="27" t="inlineStr">
        <is>
          <t>Time to Fill</t>
        </is>
      </c>
      <c r="I495" s="17" t="inlineStr">
        <is>
          <t xml:space="preserve">30 Days </t>
        </is>
      </c>
      <c r="J495" s="20" t="inlineStr">
        <is>
          <t xml:space="preserve">NA </t>
        </is>
      </c>
      <c r="K495" s="20" t="inlineStr">
        <is>
          <t>NA</t>
        </is>
      </c>
      <c r="L495" s="20" t="inlineStr">
        <is>
          <t xml:space="preserve">NA </t>
        </is>
      </c>
      <c r="M495" s="20" t="inlineStr">
        <is>
          <t>NA</t>
        </is>
      </c>
      <c r="N495" s="20" t="inlineStr">
        <is>
          <t xml:space="preserve">NA </t>
        </is>
      </c>
      <c r="O495" s="20" t="inlineStr">
        <is>
          <t>NA</t>
        </is>
      </c>
      <c r="P495" s="20" t="inlineStr">
        <is>
          <t xml:space="preserve">NA </t>
        </is>
      </c>
      <c r="Q495" s="20" t="inlineStr">
        <is>
          <t>NA</t>
        </is>
      </c>
      <c r="R495" s="17" t="inlineStr">
        <is>
          <t>NA</t>
        </is>
      </c>
      <c r="S495" s="20" t="inlineStr">
        <is>
          <t>NA</t>
        </is>
      </c>
      <c r="T495" s="17" t="inlineStr">
        <is>
          <t>NA</t>
        </is>
      </c>
      <c r="U495" s="20" t="inlineStr">
        <is>
          <t>NA</t>
        </is>
      </c>
      <c r="V495" s="17" t="inlineStr">
        <is>
          <t>NA</t>
        </is>
      </c>
      <c r="W495" s="20" t="inlineStr">
        <is>
          <t>NA</t>
        </is>
      </c>
      <c r="X495" s="17" t="inlineStr">
        <is>
          <t>NA</t>
        </is>
      </c>
      <c r="Y495" s="20" t="inlineStr">
        <is>
          <t>NA</t>
        </is>
      </c>
      <c r="Z495" s="17" t="inlineStr">
        <is>
          <t>NA</t>
        </is>
      </c>
      <c r="AA495" s="20" t="inlineStr">
        <is>
          <t>NA</t>
        </is>
      </c>
      <c r="AB495" s="93" t="inlineStr">
        <is>
          <t>NA</t>
        </is>
      </c>
      <c r="AC495" s="20" t="inlineStr">
        <is>
          <t>NA</t>
        </is>
      </c>
      <c r="AD495" s="126" t="inlineStr">
        <is>
          <t>NA</t>
        </is>
      </c>
      <c r="AE495" s="97" t="inlineStr">
        <is>
          <t>NA</t>
        </is>
      </c>
      <c r="AF495" s="93" t="inlineStr">
        <is>
          <t>NA</t>
        </is>
      </c>
      <c r="AG495" s="97" t="inlineStr">
        <is>
          <t>NA</t>
        </is>
      </c>
      <c r="AH495" s="285" t="n">
        <v>0</v>
      </c>
      <c r="AI495" s="285" t="inlineStr">
        <is>
          <t>Not Reported</t>
        </is>
      </c>
      <c r="AJ495" s="93" t="inlineStr">
        <is>
          <t>NA</t>
        </is>
      </c>
      <c r="AK495" s="97" t="inlineStr">
        <is>
          <t>NA</t>
        </is>
      </c>
    </row>
    <row r="496">
      <c r="A496" s="21" t="inlineStr">
        <is>
          <t>WTW (Ops &amp; Tech)</t>
        </is>
      </c>
      <c r="B496" s="5" t="inlineStr">
        <is>
          <t>West 1</t>
        </is>
      </c>
      <c r="C496" s="76" t="inlineStr">
        <is>
          <t>Elton</t>
        </is>
      </c>
      <c r="D496" s="26" t="inlineStr">
        <is>
          <t>Sahil</t>
        </is>
      </c>
      <c r="E496" s="26" t="inlineStr">
        <is>
          <t>Category (B)</t>
        </is>
      </c>
      <c r="F496" s="21" t="inlineStr">
        <is>
          <t>Internal KPI</t>
        </is>
      </c>
      <c r="G496" s="21" t="inlineStr">
        <is>
          <t>No</t>
        </is>
      </c>
      <c r="H496" s="21" t="inlineStr">
        <is>
          <t>Ageing</t>
        </is>
      </c>
      <c r="I496" s="18" t="n">
        <v>0.2</v>
      </c>
      <c r="J496" s="20" t="inlineStr">
        <is>
          <t xml:space="preserve">NA </t>
        </is>
      </c>
      <c r="K496" s="20" t="inlineStr">
        <is>
          <t>NA</t>
        </is>
      </c>
      <c r="L496" s="20" t="inlineStr">
        <is>
          <t xml:space="preserve">NA </t>
        </is>
      </c>
      <c r="M496" s="20" t="inlineStr">
        <is>
          <t>NA</t>
        </is>
      </c>
      <c r="N496" s="20" t="inlineStr">
        <is>
          <t xml:space="preserve">NA </t>
        </is>
      </c>
      <c r="O496" s="20" t="inlineStr">
        <is>
          <t>NA</t>
        </is>
      </c>
      <c r="P496" s="20" t="inlineStr">
        <is>
          <t xml:space="preserve">NA </t>
        </is>
      </c>
      <c r="Q496" s="20" t="inlineStr">
        <is>
          <t>NA</t>
        </is>
      </c>
      <c r="R496" s="17" t="inlineStr">
        <is>
          <t>NA</t>
        </is>
      </c>
      <c r="S496" s="20" t="inlineStr">
        <is>
          <t>NA</t>
        </is>
      </c>
      <c r="T496" s="17" t="inlineStr">
        <is>
          <t>NA</t>
        </is>
      </c>
      <c r="U496" s="20" t="inlineStr">
        <is>
          <t>NA</t>
        </is>
      </c>
      <c r="V496" s="17" t="inlineStr">
        <is>
          <t>NA</t>
        </is>
      </c>
      <c r="W496" s="20" t="inlineStr">
        <is>
          <t>NA</t>
        </is>
      </c>
      <c r="X496" s="17" t="inlineStr">
        <is>
          <t>NA</t>
        </is>
      </c>
      <c r="Y496" s="20" t="inlineStr">
        <is>
          <t>NA</t>
        </is>
      </c>
      <c r="Z496" s="17" t="inlineStr">
        <is>
          <t>NA</t>
        </is>
      </c>
      <c r="AA496" s="20" t="inlineStr">
        <is>
          <t>NA</t>
        </is>
      </c>
      <c r="AB496" s="93" t="inlineStr">
        <is>
          <t>NA</t>
        </is>
      </c>
      <c r="AC496" s="20" t="inlineStr">
        <is>
          <t>NA</t>
        </is>
      </c>
      <c r="AD496" s="126" t="inlineStr">
        <is>
          <t>NA</t>
        </is>
      </c>
      <c r="AE496" s="127" t="inlineStr">
        <is>
          <t>NA</t>
        </is>
      </c>
      <c r="AF496" s="93" t="inlineStr">
        <is>
          <t>NA</t>
        </is>
      </c>
      <c r="AG496" s="97" t="inlineStr">
        <is>
          <t>NA</t>
        </is>
      </c>
      <c r="AH496" s="285" t="n">
        <v>0</v>
      </c>
      <c r="AI496" s="285" t="inlineStr">
        <is>
          <t>Not Reported</t>
        </is>
      </c>
      <c r="AJ496" s="93" t="inlineStr">
        <is>
          <t>NA</t>
        </is>
      </c>
      <c r="AK496" s="127" t="inlineStr">
        <is>
          <t>NA</t>
        </is>
      </c>
    </row>
    <row r="497">
      <c r="A497" s="21" t="inlineStr">
        <is>
          <t>WTW (Ops &amp; Tech)</t>
        </is>
      </c>
      <c r="B497" s="5" t="inlineStr">
        <is>
          <t>West 1</t>
        </is>
      </c>
      <c r="C497" s="76" t="inlineStr">
        <is>
          <t>Elton</t>
        </is>
      </c>
      <c r="D497" s="26" t="inlineStr">
        <is>
          <t>Sahil</t>
        </is>
      </c>
      <c r="E497" s="26" t="inlineStr">
        <is>
          <t>Category (B)</t>
        </is>
      </c>
      <c r="F497" s="21" t="inlineStr">
        <is>
          <t>Internal KPI</t>
        </is>
      </c>
      <c r="G497" s="21" t="inlineStr">
        <is>
          <t>No</t>
        </is>
      </c>
      <c r="H497" s="27" t="inlineStr">
        <is>
          <t xml:space="preserve">Fulfilment </t>
        </is>
      </c>
      <c r="I497" s="18" t="n">
        <v>0.95</v>
      </c>
      <c r="J497" s="20" t="inlineStr">
        <is>
          <t xml:space="preserve">NA </t>
        </is>
      </c>
      <c r="K497" s="20" t="inlineStr">
        <is>
          <t>NA</t>
        </is>
      </c>
      <c r="L497" s="20" t="inlineStr">
        <is>
          <t xml:space="preserve">NA </t>
        </is>
      </c>
      <c r="M497" s="20" t="inlineStr">
        <is>
          <t>NA</t>
        </is>
      </c>
      <c r="N497" s="20" t="inlineStr">
        <is>
          <t xml:space="preserve">NA </t>
        </is>
      </c>
      <c r="O497" s="20" t="inlineStr">
        <is>
          <t>NA</t>
        </is>
      </c>
      <c r="P497" s="20" t="inlineStr">
        <is>
          <t xml:space="preserve">NA </t>
        </is>
      </c>
      <c r="Q497" s="20" t="inlineStr">
        <is>
          <t>NA</t>
        </is>
      </c>
      <c r="R497" s="17" t="inlineStr">
        <is>
          <t>NA</t>
        </is>
      </c>
      <c r="S497" s="20" t="inlineStr">
        <is>
          <t>NA</t>
        </is>
      </c>
      <c r="T497" s="17" t="inlineStr">
        <is>
          <t>NA</t>
        </is>
      </c>
      <c r="U497" s="20" t="inlineStr">
        <is>
          <t>NA</t>
        </is>
      </c>
      <c r="V497" s="17" t="inlineStr">
        <is>
          <t>NA</t>
        </is>
      </c>
      <c r="W497" s="20" t="inlineStr">
        <is>
          <t>NA</t>
        </is>
      </c>
      <c r="X497" s="17" t="inlineStr">
        <is>
          <t>NA</t>
        </is>
      </c>
      <c r="Y497" s="20" t="inlineStr">
        <is>
          <t>NA</t>
        </is>
      </c>
      <c r="Z497" s="17" t="inlineStr">
        <is>
          <t>NA</t>
        </is>
      </c>
      <c r="AA497" s="20" t="inlineStr">
        <is>
          <t>NA</t>
        </is>
      </c>
      <c r="AB497" s="93" t="inlineStr">
        <is>
          <t>NA</t>
        </is>
      </c>
      <c r="AC497" s="20" t="inlineStr">
        <is>
          <t>NA</t>
        </is>
      </c>
      <c r="AD497" s="126" t="inlineStr">
        <is>
          <t>NA</t>
        </is>
      </c>
      <c r="AE497" s="126" t="inlineStr">
        <is>
          <t>NA</t>
        </is>
      </c>
      <c r="AF497" s="93" t="inlineStr">
        <is>
          <t>NA</t>
        </is>
      </c>
      <c r="AG497" s="97" t="inlineStr">
        <is>
          <t>NA</t>
        </is>
      </c>
      <c r="AH497" s="285" t="n">
        <v>0</v>
      </c>
      <c r="AI497" s="285" t="inlineStr">
        <is>
          <t>Not Reported</t>
        </is>
      </c>
      <c r="AJ497" s="93" t="inlineStr">
        <is>
          <t>NA</t>
        </is>
      </c>
      <c r="AK497" s="126" t="inlineStr">
        <is>
          <t>NA</t>
        </is>
      </c>
    </row>
    <row r="498">
      <c r="A498" s="21" t="inlineStr">
        <is>
          <t>WTW (Ops)</t>
        </is>
      </c>
      <c r="B498" s="5" t="inlineStr">
        <is>
          <t>West 1</t>
        </is>
      </c>
      <c r="C498" s="76" t="inlineStr">
        <is>
          <t>Elton</t>
        </is>
      </c>
      <c r="D498" s="26" t="inlineStr">
        <is>
          <t>Sahil</t>
        </is>
      </c>
      <c r="E498" s="26" t="inlineStr">
        <is>
          <t>Category (B)</t>
        </is>
      </c>
      <c r="F498" s="21" t="inlineStr">
        <is>
          <t>Contractual SLA</t>
        </is>
      </c>
      <c r="G498" s="21" t="inlineStr">
        <is>
          <t>Yes</t>
        </is>
      </c>
      <c r="H498" s="21" t="inlineStr">
        <is>
          <t>fulfilment Ratio</t>
        </is>
      </c>
      <c r="I498" s="18" t="n">
        <v>0.85</v>
      </c>
      <c r="J498" s="20" t="inlineStr">
        <is>
          <t xml:space="preserve">NA </t>
        </is>
      </c>
      <c r="K498" s="20" t="inlineStr">
        <is>
          <t>NA</t>
        </is>
      </c>
      <c r="L498" s="20" t="inlineStr">
        <is>
          <t xml:space="preserve">NA </t>
        </is>
      </c>
      <c r="M498" s="20" t="inlineStr">
        <is>
          <t>NA</t>
        </is>
      </c>
      <c r="N498" s="20" t="inlineStr">
        <is>
          <t xml:space="preserve">NA </t>
        </is>
      </c>
      <c r="O498" s="20" t="inlineStr">
        <is>
          <t>NA</t>
        </is>
      </c>
      <c r="P498" s="20" t="inlineStr">
        <is>
          <t xml:space="preserve">NA </t>
        </is>
      </c>
      <c r="Q498" s="20" t="inlineStr">
        <is>
          <t>NA</t>
        </is>
      </c>
      <c r="R498" s="17" t="inlineStr">
        <is>
          <t>NA</t>
        </is>
      </c>
      <c r="S498" s="20" t="inlineStr">
        <is>
          <t>NA</t>
        </is>
      </c>
      <c r="T498" s="17" t="inlineStr">
        <is>
          <t>NA</t>
        </is>
      </c>
      <c r="U498" s="20" t="inlineStr">
        <is>
          <t>NA</t>
        </is>
      </c>
      <c r="V498" s="17" t="inlineStr">
        <is>
          <t>NA</t>
        </is>
      </c>
      <c r="W498" s="20" t="inlineStr">
        <is>
          <t>NA</t>
        </is>
      </c>
      <c r="X498" s="17" t="inlineStr">
        <is>
          <t>NA</t>
        </is>
      </c>
      <c r="Y498" s="20" t="inlineStr">
        <is>
          <t>NA</t>
        </is>
      </c>
      <c r="Z498" s="17" t="inlineStr">
        <is>
          <t>NA</t>
        </is>
      </c>
      <c r="AA498" s="20" t="inlineStr">
        <is>
          <t>NA</t>
        </is>
      </c>
      <c r="AB498" s="93" t="inlineStr">
        <is>
          <t>NA</t>
        </is>
      </c>
      <c r="AC498" s="20" t="inlineStr">
        <is>
          <t>NA</t>
        </is>
      </c>
      <c r="AD498" s="126" t="inlineStr">
        <is>
          <t>NA</t>
        </is>
      </c>
      <c r="AE498" s="126" t="inlineStr">
        <is>
          <t>NA</t>
        </is>
      </c>
      <c r="AF498" s="93" t="inlineStr">
        <is>
          <t>NA</t>
        </is>
      </c>
      <c r="AG498" s="97" t="inlineStr">
        <is>
          <t>NA</t>
        </is>
      </c>
      <c r="AH498" s="285" t="n">
        <v>0</v>
      </c>
      <c r="AI498" s="285" t="inlineStr">
        <is>
          <t>Not Reported</t>
        </is>
      </c>
      <c r="AJ498" s="93" t="inlineStr">
        <is>
          <t>NA</t>
        </is>
      </c>
      <c r="AK498" s="126" t="inlineStr">
        <is>
          <t>NA</t>
        </is>
      </c>
    </row>
    <row r="499">
      <c r="A499" s="21" t="inlineStr">
        <is>
          <t>WTW (Ops)</t>
        </is>
      </c>
      <c r="B499" s="5" t="inlineStr">
        <is>
          <t>West 1</t>
        </is>
      </c>
      <c r="C499" s="76" t="inlineStr">
        <is>
          <t>Elton</t>
        </is>
      </c>
      <c r="D499" s="26" t="inlineStr">
        <is>
          <t>Sahil</t>
        </is>
      </c>
      <c r="E499" s="26" t="inlineStr">
        <is>
          <t>Category (B)</t>
        </is>
      </c>
      <c r="F499" s="21" t="inlineStr">
        <is>
          <t>Contractual SLA</t>
        </is>
      </c>
      <c r="G499" s="21" t="inlineStr">
        <is>
          <t>Yes</t>
        </is>
      </c>
      <c r="H499" s="21" t="inlineStr">
        <is>
          <t>Source Mix</t>
        </is>
      </c>
      <c r="I499" s="18" t="n">
        <v>0.95</v>
      </c>
      <c r="J499" s="20" t="inlineStr">
        <is>
          <t xml:space="preserve">NA </t>
        </is>
      </c>
      <c r="K499" s="20" t="inlineStr">
        <is>
          <t>NA</t>
        </is>
      </c>
      <c r="L499" s="20" t="inlineStr">
        <is>
          <t xml:space="preserve">NA </t>
        </is>
      </c>
      <c r="M499" s="20" t="inlineStr">
        <is>
          <t>NA</t>
        </is>
      </c>
      <c r="N499" s="20" t="inlineStr">
        <is>
          <t xml:space="preserve">NA </t>
        </is>
      </c>
      <c r="O499" s="20" t="inlineStr">
        <is>
          <t>NA</t>
        </is>
      </c>
      <c r="P499" s="20" t="inlineStr">
        <is>
          <t xml:space="preserve">NA </t>
        </is>
      </c>
      <c r="Q499" s="20" t="inlineStr">
        <is>
          <t>NA</t>
        </is>
      </c>
      <c r="R499" s="17" t="inlineStr">
        <is>
          <t>NA</t>
        </is>
      </c>
      <c r="S499" s="20" t="inlineStr">
        <is>
          <t>NA</t>
        </is>
      </c>
      <c r="T499" s="17" t="inlineStr">
        <is>
          <t>NA</t>
        </is>
      </c>
      <c r="U499" s="20" t="inlineStr">
        <is>
          <t>NA</t>
        </is>
      </c>
      <c r="V499" s="17" t="inlineStr">
        <is>
          <t>NA</t>
        </is>
      </c>
      <c r="W499" s="20" t="inlineStr">
        <is>
          <t>NA</t>
        </is>
      </c>
      <c r="X499" s="17" t="inlineStr">
        <is>
          <t>NA</t>
        </is>
      </c>
      <c r="Y499" s="20" t="inlineStr">
        <is>
          <t>NA</t>
        </is>
      </c>
      <c r="Z499" s="17" t="inlineStr">
        <is>
          <t>NA</t>
        </is>
      </c>
      <c r="AA499" s="20" t="inlineStr">
        <is>
          <t>NA</t>
        </is>
      </c>
      <c r="AB499" s="93" t="inlineStr">
        <is>
          <t>NA</t>
        </is>
      </c>
      <c r="AC499" s="20" t="inlineStr">
        <is>
          <t>NA</t>
        </is>
      </c>
      <c r="AD499" s="126" t="inlineStr">
        <is>
          <t>NA</t>
        </is>
      </c>
      <c r="AE499" s="97" t="inlineStr">
        <is>
          <t>NA</t>
        </is>
      </c>
      <c r="AF499" s="93" t="inlineStr">
        <is>
          <t>NA</t>
        </is>
      </c>
      <c r="AG499" s="97" t="inlineStr">
        <is>
          <t>NA</t>
        </is>
      </c>
      <c r="AH499" s="285" t="n">
        <v>0</v>
      </c>
      <c r="AI499" s="285" t="inlineStr">
        <is>
          <t>Not Reported</t>
        </is>
      </c>
      <c r="AJ499" s="93" t="inlineStr">
        <is>
          <t>NA</t>
        </is>
      </c>
      <c r="AK499" s="97" t="inlineStr">
        <is>
          <t>NA</t>
        </is>
      </c>
    </row>
    <row r="500">
      <c r="A500" s="21" t="inlineStr">
        <is>
          <t>WTW (Ops)</t>
        </is>
      </c>
      <c r="B500" s="5" t="inlineStr">
        <is>
          <t>West 1</t>
        </is>
      </c>
      <c r="C500" s="76" t="inlineStr">
        <is>
          <t>Elton</t>
        </is>
      </c>
      <c r="D500" s="26" t="inlineStr">
        <is>
          <t>Sahil</t>
        </is>
      </c>
      <c r="E500" s="26" t="inlineStr">
        <is>
          <t>Category (B)</t>
        </is>
      </c>
      <c r="F500" s="21" t="inlineStr">
        <is>
          <t>Contractual SLA</t>
        </is>
      </c>
      <c r="G500" s="21" t="inlineStr">
        <is>
          <t>Yes</t>
        </is>
      </c>
      <c r="H500" s="27" t="inlineStr">
        <is>
          <t>Time to Fill</t>
        </is>
      </c>
      <c r="I500" s="17" t="inlineStr">
        <is>
          <t>15 Days</t>
        </is>
      </c>
      <c r="J500" s="20" t="inlineStr">
        <is>
          <t xml:space="preserve">NA </t>
        </is>
      </c>
      <c r="K500" s="20" t="inlineStr">
        <is>
          <t>NA</t>
        </is>
      </c>
      <c r="L500" s="20" t="inlineStr">
        <is>
          <t xml:space="preserve">NA </t>
        </is>
      </c>
      <c r="M500" s="20" t="inlineStr">
        <is>
          <t>NA</t>
        </is>
      </c>
      <c r="N500" s="20" t="inlineStr">
        <is>
          <t xml:space="preserve">NA </t>
        </is>
      </c>
      <c r="O500" s="20" t="inlineStr">
        <is>
          <t>NA</t>
        </is>
      </c>
      <c r="P500" s="20" t="inlineStr">
        <is>
          <t xml:space="preserve">NA </t>
        </is>
      </c>
      <c r="Q500" s="20" t="inlineStr">
        <is>
          <t>NA</t>
        </is>
      </c>
      <c r="R500" s="17" t="inlineStr">
        <is>
          <t>NA</t>
        </is>
      </c>
      <c r="S500" s="20" t="inlineStr">
        <is>
          <t>NA</t>
        </is>
      </c>
      <c r="T500" s="17" t="inlineStr">
        <is>
          <t>NA</t>
        </is>
      </c>
      <c r="U500" s="20" t="inlineStr">
        <is>
          <t>NA</t>
        </is>
      </c>
      <c r="V500" s="17" t="inlineStr">
        <is>
          <t>NA</t>
        </is>
      </c>
      <c r="W500" s="20" t="inlineStr">
        <is>
          <t>NA</t>
        </is>
      </c>
      <c r="X500" s="17" t="inlineStr">
        <is>
          <t>NA</t>
        </is>
      </c>
      <c r="Y500" s="20" t="inlineStr">
        <is>
          <t>NA</t>
        </is>
      </c>
      <c r="Z500" s="17" t="inlineStr">
        <is>
          <t>NA</t>
        </is>
      </c>
      <c r="AA500" s="20" t="inlineStr">
        <is>
          <t>NA</t>
        </is>
      </c>
      <c r="AB500" s="93" t="inlineStr">
        <is>
          <t>NA</t>
        </is>
      </c>
      <c r="AC500" s="20" t="inlineStr">
        <is>
          <t>NA</t>
        </is>
      </c>
      <c r="AD500" s="126" t="inlineStr">
        <is>
          <t>NA</t>
        </is>
      </c>
      <c r="AE500" s="97" t="inlineStr">
        <is>
          <t>NA</t>
        </is>
      </c>
      <c r="AF500" s="93" t="inlineStr">
        <is>
          <t>NA</t>
        </is>
      </c>
      <c r="AG500" s="97" t="inlineStr">
        <is>
          <t>NA</t>
        </is>
      </c>
      <c r="AH500" s="285" t="n">
        <v>0</v>
      </c>
      <c r="AI500" s="285" t="inlineStr">
        <is>
          <t>Not Reported</t>
        </is>
      </c>
      <c r="AJ500" s="93" t="inlineStr">
        <is>
          <t>NA</t>
        </is>
      </c>
      <c r="AK500" s="97" t="inlineStr">
        <is>
          <t>NA</t>
        </is>
      </c>
    </row>
    <row r="501">
      <c r="A501" s="21" t="inlineStr">
        <is>
          <t>WTW (Ops)</t>
        </is>
      </c>
      <c r="B501" s="5" t="inlineStr">
        <is>
          <t>West 1</t>
        </is>
      </c>
      <c r="C501" s="76" t="inlineStr">
        <is>
          <t>Elton</t>
        </is>
      </c>
      <c r="D501" s="26" t="inlineStr">
        <is>
          <t>Sahil</t>
        </is>
      </c>
      <c r="E501" s="26" t="inlineStr">
        <is>
          <t>Category (B)</t>
        </is>
      </c>
      <c r="F501" s="21" t="inlineStr">
        <is>
          <t>Contractual SLA</t>
        </is>
      </c>
      <c r="G501" s="21" t="inlineStr">
        <is>
          <t>No</t>
        </is>
      </c>
      <c r="H501" s="21" t="inlineStr">
        <is>
          <t>Compensation Range Adherence</t>
        </is>
      </c>
      <c r="I501" s="11" t="n">
        <v>0.8</v>
      </c>
      <c r="J501" s="20" t="inlineStr">
        <is>
          <t xml:space="preserve">NA </t>
        </is>
      </c>
      <c r="K501" s="20" t="inlineStr">
        <is>
          <t>NA</t>
        </is>
      </c>
      <c r="L501" s="20" t="inlineStr">
        <is>
          <t xml:space="preserve">NA </t>
        </is>
      </c>
      <c r="M501" s="20" t="inlineStr">
        <is>
          <t>NA</t>
        </is>
      </c>
      <c r="N501" s="20" t="inlineStr">
        <is>
          <t xml:space="preserve">NA </t>
        </is>
      </c>
      <c r="O501" s="20" t="inlineStr">
        <is>
          <t>NA</t>
        </is>
      </c>
      <c r="P501" s="20" t="inlineStr">
        <is>
          <t xml:space="preserve">NA </t>
        </is>
      </c>
      <c r="Q501" s="20" t="inlineStr">
        <is>
          <t>NA</t>
        </is>
      </c>
      <c r="R501" s="17" t="inlineStr">
        <is>
          <t>NA</t>
        </is>
      </c>
      <c r="S501" s="20" t="inlineStr">
        <is>
          <t>NA</t>
        </is>
      </c>
      <c r="T501" s="17" t="inlineStr">
        <is>
          <t>NA</t>
        </is>
      </c>
      <c r="U501" s="20" t="inlineStr">
        <is>
          <t>NA</t>
        </is>
      </c>
      <c r="V501" s="17" t="inlineStr">
        <is>
          <t>NA</t>
        </is>
      </c>
      <c r="W501" s="20" t="inlineStr">
        <is>
          <t>NA</t>
        </is>
      </c>
      <c r="X501" s="17" t="inlineStr">
        <is>
          <t>NA</t>
        </is>
      </c>
      <c r="Y501" s="20" t="inlineStr">
        <is>
          <t>NA</t>
        </is>
      </c>
      <c r="Z501" s="17" t="inlineStr">
        <is>
          <t>NA</t>
        </is>
      </c>
      <c r="AA501" s="20" t="inlineStr">
        <is>
          <t>NA</t>
        </is>
      </c>
      <c r="AB501" s="93" t="inlineStr">
        <is>
          <t>NA</t>
        </is>
      </c>
      <c r="AC501" s="20" t="inlineStr">
        <is>
          <t>NA</t>
        </is>
      </c>
      <c r="AD501" s="126" t="inlineStr">
        <is>
          <t>NA</t>
        </is>
      </c>
      <c r="AE501" s="126" t="inlineStr">
        <is>
          <t>NA</t>
        </is>
      </c>
      <c r="AF501" s="93" t="inlineStr">
        <is>
          <t>NA</t>
        </is>
      </c>
      <c r="AG501" s="97" t="inlineStr">
        <is>
          <t>NA</t>
        </is>
      </c>
      <c r="AH501" s="285" t="n">
        <v>0</v>
      </c>
      <c r="AI501" s="285" t="inlineStr">
        <is>
          <t>Not Reported</t>
        </is>
      </c>
      <c r="AJ501" s="93" t="inlineStr">
        <is>
          <t>NA</t>
        </is>
      </c>
      <c r="AK501" s="126" t="inlineStr">
        <is>
          <t>NA</t>
        </is>
      </c>
    </row>
    <row r="502">
      <c r="A502" s="21" t="inlineStr">
        <is>
          <t>WTW (Ops)</t>
        </is>
      </c>
      <c r="B502" s="5" t="inlineStr">
        <is>
          <t>West 1</t>
        </is>
      </c>
      <c r="C502" s="76" t="inlineStr">
        <is>
          <t>Elton</t>
        </is>
      </c>
      <c r="D502" s="26" t="inlineStr">
        <is>
          <t>Sahil</t>
        </is>
      </c>
      <c r="E502" s="26" t="inlineStr">
        <is>
          <t>Category (B)</t>
        </is>
      </c>
      <c r="F502" s="21" t="inlineStr">
        <is>
          <t>Contractual SLA</t>
        </is>
      </c>
      <c r="G502" s="21" t="inlineStr">
        <is>
          <t>No</t>
        </is>
      </c>
      <c r="H502" s="21" t="inlineStr">
        <is>
          <t xml:space="preserve">Hiring Manager Satisfaction </t>
        </is>
      </c>
      <c r="I502" s="14" t="n">
        <v>7</v>
      </c>
      <c r="J502" s="20" t="inlineStr">
        <is>
          <t xml:space="preserve">NA </t>
        </is>
      </c>
      <c r="K502" s="20" t="inlineStr">
        <is>
          <t>NA</t>
        </is>
      </c>
      <c r="L502" s="20" t="inlineStr">
        <is>
          <t xml:space="preserve">NA </t>
        </is>
      </c>
      <c r="M502" s="20" t="inlineStr">
        <is>
          <t>NA</t>
        </is>
      </c>
      <c r="N502" s="20" t="inlineStr">
        <is>
          <t xml:space="preserve">NA </t>
        </is>
      </c>
      <c r="O502" s="20" t="inlineStr">
        <is>
          <t>NA</t>
        </is>
      </c>
      <c r="P502" s="20" t="inlineStr">
        <is>
          <t xml:space="preserve">NA </t>
        </is>
      </c>
      <c r="Q502" s="20" t="inlineStr">
        <is>
          <t>NA</t>
        </is>
      </c>
      <c r="R502" s="17" t="inlineStr">
        <is>
          <t>NA</t>
        </is>
      </c>
      <c r="S502" s="20" t="inlineStr">
        <is>
          <t>NA</t>
        </is>
      </c>
      <c r="T502" s="17" t="inlineStr">
        <is>
          <t>NA</t>
        </is>
      </c>
      <c r="U502" s="20" t="inlineStr">
        <is>
          <t>NA</t>
        </is>
      </c>
      <c r="V502" s="17" t="inlineStr">
        <is>
          <t>NA</t>
        </is>
      </c>
      <c r="W502" s="20" t="inlineStr">
        <is>
          <t>NA</t>
        </is>
      </c>
      <c r="X502" s="17" t="inlineStr">
        <is>
          <t>NA</t>
        </is>
      </c>
      <c r="Y502" s="20" t="inlineStr">
        <is>
          <t>NA</t>
        </is>
      </c>
      <c r="Z502" s="17" t="inlineStr">
        <is>
          <t>NA</t>
        </is>
      </c>
      <c r="AA502" s="20" t="inlineStr">
        <is>
          <t>NA</t>
        </is>
      </c>
      <c r="AB502" s="93" t="inlineStr">
        <is>
          <t>NA</t>
        </is>
      </c>
      <c r="AC502" s="20" t="inlineStr">
        <is>
          <t>NA</t>
        </is>
      </c>
      <c r="AD502" s="126" t="inlineStr">
        <is>
          <t>NA</t>
        </is>
      </c>
      <c r="AE502" s="126" t="inlineStr">
        <is>
          <t>NA</t>
        </is>
      </c>
      <c r="AF502" s="93" t="inlineStr">
        <is>
          <t>NA</t>
        </is>
      </c>
      <c r="AG502" s="97" t="inlineStr">
        <is>
          <t>NA</t>
        </is>
      </c>
      <c r="AH502" s="285" t="n">
        <v>0</v>
      </c>
      <c r="AI502" s="285" t="inlineStr">
        <is>
          <t>Not Reported</t>
        </is>
      </c>
      <c r="AJ502" s="93" t="inlineStr">
        <is>
          <t>NA</t>
        </is>
      </c>
      <c r="AK502" s="126" t="inlineStr">
        <is>
          <t>NA</t>
        </is>
      </c>
    </row>
    <row r="503">
      <c r="A503" s="21" t="inlineStr">
        <is>
          <t>WTW (Tech)</t>
        </is>
      </c>
      <c r="B503" s="5" t="inlineStr">
        <is>
          <t>West 1</t>
        </is>
      </c>
      <c r="C503" s="76" t="inlineStr">
        <is>
          <t>Elton</t>
        </is>
      </c>
      <c r="D503" s="26" t="inlineStr">
        <is>
          <t>Sahil</t>
        </is>
      </c>
      <c r="E503" s="26" t="inlineStr">
        <is>
          <t>Category (B)</t>
        </is>
      </c>
      <c r="F503" s="21" t="inlineStr">
        <is>
          <t>Contractual SLA</t>
        </is>
      </c>
      <c r="G503" s="21" t="inlineStr">
        <is>
          <t>Yes</t>
        </is>
      </c>
      <c r="H503" s="21" t="inlineStr">
        <is>
          <t>fulfilment Ratio</t>
        </is>
      </c>
      <c r="I503" s="18" t="n">
        <v>0.85</v>
      </c>
      <c r="J503" s="20" t="inlineStr">
        <is>
          <t xml:space="preserve">NA </t>
        </is>
      </c>
      <c r="K503" s="20" t="inlineStr">
        <is>
          <t>NA</t>
        </is>
      </c>
      <c r="L503" s="20" t="inlineStr">
        <is>
          <t xml:space="preserve">NA </t>
        </is>
      </c>
      <c r="M503" s="20" t="inlineStr">
        <is>
          <t>NA</t>
        </is>
      </c>
      <c r="N503" s="20" t="inlineStr">
        <is>
          <t xml:space="preserve">NA </t>
        </is>
      </c>
      <c r="O503" s="20" t="inlineStr">
        <is>
          <t>NA</t>
        </is>
      </c>
      <c r="P503" s="20" t="inlineStr">
        <is>
          <t xml:space="preserve">NA </t>
        </is>
      </c>
      <c r="Q503" s="20" t="inlineStr">
        <is>
          <t>NA</t>
        </is>
      </c>
      <c r="R503" s="17" t="inlineStr">
        <is>
          <t>NA</t>
        </is>
      </c>
      <c r="S503" s="20" t="inlineStr">
        <is>
          <t>NA</t>
        </is>
      </c>
      <c r="T503" s="17" t="inlineStr">
        <is>
          <t>NA</t>
        </is>
      </c>
      <c r="U503" s="20" t="inlineStr">
        <is>
          <t>NA</t>
        </is>
      </c>
      <c r="V503" s="17" t="inlineStr">
        <is>
          <t>NA</t>
        </is>
      </c>
      <c r="W503" s="20" t="inlineStr">
        <is>
          <t>NA</t>
        </is>
      </c>
      <c r="X503" s="17" t="inlineStr">
        <is>
          <t>NA</t>
        </is>
      </c>
      <c r="Y503" s="20" t="inlineStr">
        <is>
          <t>NA</t>
        </is>
      </c>
      <c r="Z503" s="17" t="inlineStr">
        <is>
          <t>NA</t>
        </is>
      </c>
      <c r="AA503" s="20" t="inlineStr">
        <is>
          <t>NA</t>
        </is>
      </c>
      <c r="AB503" s="93" t="inlineStr">
        <is>
          <t>NA</t>
        </is>
      </c>
      <c r="AC503" s="20" t="inlineStr">
        <is>
          <t>NA</t>
        </is>
      </c>
      <c r="AD503" s="126" t="inlineStr">
        <is>
          <t>NA</t>
        </is>
      </c>
      <c r="AE503" s="126" t="inlineStr">
        <is>
          <t>NA</t>
        </is>
      </c>
      <c r="AF503" s="93" t="inlineStr">
        <is>
          <t>NA</t>
        </is>
      </c>
      <c r="AG503" s="97" t="inlineStr">
        <is>
          <t>NA</t>
        </is>
      </c>
      <c r="AH503" s="285" t="n">
        <v>0</v>
      </c>
      <c r="AI503" s="285" t="inlineStr">
        <is>
          <t>Not Reported</t>
        </is>
      </c>
      <c r="AJ503" s="93" t="inlineStr">
        <is>
          <t>NA</t>
        </is>
      </c>
      <c r="AK503" s="126" t="inlineStr">
        <is>
          <t>NA</t>
        </is>
      </c>
    </row>
    <row r="504">
      <c r="A504" s="21" t="inlineStr">
        <is>
          <t>WTW (Tech)</t>
        </is>
      </c>
      <c r="B504" s="5" t="inlineStr">
        <is>
          <t>West 1</t>
        </is>
      </c>
      <c r="C504" s="76" t="inlineStr">
        <is>
          <t>Elton</t>
        </is>
      </c>
      <c r="D504" s="26" t="inlineStr">
        <is>
          <t>Sahil</t>
        </is>
      </c>
      <c r="E504" s="26" t="inlineStr">
        <is>
          <t>Category (B)</t>
        </is>
      </c>
      <c r="F504" s="21" t="inlineStr">
        <is>
          <t>Contractual SLA</t>
        </is>
      </c>
      <c r="G504" s="21" t="inlineStr">
        <is>
          <t>Yes</t>
        </is>
      </c>
      <c r="H504" s="21" t="inlineStr">
        <is>
          <t>Source Mix</t>
        </is>
      </c>
      <c r="I504" s="18" t="n">
        <v>0.95</v>
      </c>
      <c r="J504" s="20" t="inlineStr">
        <is>
          <t xml:space="preserve">NA </t>
        </is>
      </c>
      <c r="K504" s="20" t="inlineStr">
        <is>
          <t>NA</t>
        </is>
      </c>
      <c r="L504" s="20" t="inlineStr">
        <is>
          <t xml:space="preserve">NA </t>
        </is>
      </c>
      <c r="M504" s="20" t="inlineStr">
        <is>
          <t>NA</t>
        </is>
      </c>
      <c r="N504" s="20" t="inlineStr">
        <is>
          <t xml:space="preserve">NA </t>
        </is>
      </c>
      <c r="O504" s="20" t="inlineStr">
        <is>
          <t>NA</t>
        </is>
      </c>
      <c r="P504" s="20" t="inlineStr">
        <is>
          <t xml:space="preserve">NA </t>
        </is>
      </c>
      <c r="Q504" s="20" t="inlineStr">
        <is>
          <t>NA</t>
        </is>
      </c>
      <c r="R504" s="17" t="inlineStr">
        <is>
          <t>NA</t>
        </is>
      </c>
      <c r="S504" s="20" t="inlineStr">
        <is>
          <t>NA</t>
        </is>
      </c>
      <c r="T504" s="17" t="inlineStr">
        <is>
          <t>NA</t>
        </is>
      </c>
      <c r="U504" s="20" t="inlineStr">
        <is>
          <t>NA</t>
        </is>
      </c>
      <c r="V504" s="17" t="inlineStr">
        <is>
          <t>NA</t>
        </is>
      </c>
      <c r="W504" s="20" t="inlineStr">
        <is>
          <t>NA</t>
        </is>
      </c>
      <c r="X504" s="17" t="inlineStr">
        <is>
          <t>NA</t>
        </is>
      </c>
      <c r="Y504" s="20" t="inlineStr">
        <is>
          <t>NA</t>
        </is>
      </c>
      <c r="Z504" s="17" t="inlineStr">
        <is>
          <t>NA</t>
        </is>
      </c>
      <c r="AA504" s="20" t="inlineStr">
        <is>
          <t>NA</t>
        </is>
      </c>
      <c r="AB504" s="93" t="inlineStr">
        <is>
          <t>NA</t>
        </is>
      </c>
      <c r="AC504" s="20" t="inlineStr">
        <is>
          <t>NA</t>
        </is>
      </c>
      <c r="AD504" s="126" t="inlineStr">
        <is>
          <t>NA</t>
        </is>
      </c>
      <c r="AE504" s="97" t="inlineStr">
        <is>
          <t>NA</t>
        </is>
      </c>
      <c r="AF504" s="93" t="inlineStr">
        <is>
          <t>NA</t>
        </is>
      </c>
      <c r="AG504" s="97" t="inlineStr">
        <is>
          <t>NA</t>
        </is>
      </c>
      <c r="AH504" s="285" t="n">
        <v>0</v>
      </c>
      <c r="AI504" s="285" t="inlineStr">
        <is>
          <t>Not Reported</t>
        </is>
      </c>
      <c r="AJ504" s="93" t="inlineStr">
        <is>
          <t>NA</t>
        </is>
      </c>
      <c r="AK504" s="97" t="inlineStr">
        <is>
          <t>NA</t>
        </is>
      </c>
    </row>
    <row r="505">
      <c r="A505" s="21" t="inlineStr">
        <is>
          <t>WTW (Tech)</t>
        </is>
      </c>
      <c r="B505" s="5" t="inlineStr">
        <is>
          <t>West 1</t>
        </is>
      </c>
      <c r="C505" s="76" t="inlineStr">
        <is>
          <t>Elton</t>
        </is>
      </c>
      <c r="D505" s="26" t="inlineStr">
        <is>
          <t>Sahil</t>
        </is>
      </c>
      <c r="E505" s="26" t="inlineStr">
        <is>
          <t>Category (B)</t>
        </is>
      </c>
      <c r="F505" s="21" t="inlineStr">
        <is>
          <t>Contractual SLA</t>
        </is>
      </c>
      <c r="G505" s="21" t="inlineStr">
        <is>
          <t>Yes</t>
        </is>
      </c>
      <c r="H505" s="27" t="inlineStr">
        <is>
          <t>Time to Fill</t>
        </is>
      </c>
      <c r="I505" s="17" t="inlineStr">
        <is>
          <t>15 Days</t>
        </is>
      </c>
      <c r="J505" s="20" t="inlineStr">
        <is>
          <t xml:space="preserve">NA </t>
        </is>
      </c>
      <c r="K505" s="20" t="inlineStr">
        <is>
          <t>NA</t>
        </is>
      </c>
      <c r="L505" s="20" t="inlineStr">
        <is>
          <t xml:space="preserve">NA </t>
        </is>
      </c>
      <c r="M505" s="20" t="inlineStr">
        <is>
          <t>NA</t>
        </is>
      </c>
      <c r="N505" s="20" t="inlineStr">
        <is>
          <t xml:space="preserve">NA </t>
        </is>
      </c>
      <c r="O505" s="20" t="inlineStr">
        <is>
          <t>NA</t>
        </is>
      </c>
      <c r="P505" s="20" t="inlineStr">
        <is>
          <t xml:space="preserve">NA </t>
        </is>
      </c>
      <c r="Q505" s="20" t="inlineStr">
        <is>
          <t>NA</t>
        </is>
      </c>
      <c r="R505" s="17" t="inlineStr">
        <is>
          <t>NA</t>
        </is>
      </c>
      <c r="S505" s="20" t="inlineStr">
        <is>
          <t>NA</t>
        </is>
      </c>
      <c r="T505" s="17" t="inlineStr">
        <is>
          <t>NA</t>
        </is>
      </c>
      <c r="U505" s="20" t="inlineStr">
        <is>
          <t>NA</t>
        </is>
      </c>
      <c r="V505" s="17" t="inlineStr">
        <is>
          <t>NA</t>
        </is>
      </c>
      <c r="W505" s="20" t="inlineStr">
        <is>
          <t>NA</t>
        </is>
      </c>
      <c r="X505" s="17" t="inlineStr">
        <is>
          <t>NA</t>
        </is>
      </c>
      <c r="Y505" s="20" t="inlineStr">
        <is>
          <t>NA</t>
        </is>
      </c>
      <c r="Z505" s="17" t="inlineStr">
        <is>
          <t>NA</t>
        </is>
      </c>
      <c r="AA505" s="20" t="inlineStr">
        <is>
          <t>NA</t>
        </is>
      </c>
      <c r="AB505" s="93" t="inlineStr">
        <is>
          <t>NA</t>
        </is>
      </c>
      <c r="AC505" s="20" t="inlineStr">
        <is>
          <t>NA</t>
        </is>
      </c>
      <c r="AD505" s="126" t="inlineStr">
        <is>
          <t>NA</t>
        </is>
      </c>
      <c r="AE505" s="97" t="inlineStr">
        <is>
          <t>NA</t>
        </is>
      </c>
      <c r="AF505" s="93" t="inlineStr">
        <is>
          <t>NA</t>
        </is>
      </c>
      <c r="AG505" s="97" t="inlineStr">
        <is>
          <t>NA</t>
        </is>
      </c>
      <c r="AH505" s="285" t="n">
        <v>0</v>
      </c>
      <c r="AI505" s="285" t="inlineStr">
        <is>
          <t>Not Reported</t>
        </is>
      </c>
      <c r="AJ505" s="93" t="inlineStr">
        <is>
          <t>NA</t>
        </is>
      </c>
      <c r="AK505" s="97" t="inlineStr">
        <is>
          <t>NA</t>
        </is>
      </c>
    </row>
    <row r="506">
      <c r="A506" s="21" t="inlineStr">
        <is>
          <t>WTW (Tech)</t>
        </is>
      </c>
      <c r="B506" s="5" t="inlineStr">
        <is>
          <t>West 1</t>
        </is>
      </c>
      <c r="C506" s="76" t="inlineStr">
        <is>
          <t>Elton</t>
        </is>
      </c>
      <c r="D506" s="26" t="inlineStr">
        <is>
          <t>Sahil</t>
        </is>
      </c>
      <c r="E506" s="26" t="inlineStr">
        <is>
          <t>Category (B)</t>
        </is>
      </c>
      <c r="F506" s="21" t="inlineStr">
        <is>
          <t>Contractual SLA</t>
        </is>
      </c>
      <c r="G506" s="21" t="inlineStr">
        <is>
          <t>No</t>
        </is>
      </c>
      <c r="H506" s="21" t="inlineStr">
        <is>
          <t>Compensation Range Adherence</t>
        </is>
      </c>
      <c r="I506" s="11" t="n">
        <v>0.8</v>
      </c>
      <c r="J506" s="20" t="inlineStr">
        <is>
          <t xml:space="preserve">NA </t>
        </is>
      </c>
      <c r="K506" s="20" t="inlineStr">
        <is>
          <t>NA</t>
        </is>
      </c>
      <c r="L506" s="20" t="inlineStr">
        <is>
          <t xml:space="preserve">NA </t>
        </is>
      </c>
      <c r="M506" s="20" t="inlineStr">
        <is>
          <t>NA</t>
        </is>
      </c>
      <c r="N506" s="20" t="inlineStr">
        <is>
          <t xml:space="preserve">NA </t>
        </is>
      </c>
      <c r="O506" s="20" t="inlineStr">
        <is>
          <t>NA</t>
        </is>
      </c>
      <c r="P506" s="20" t="inlineStr">
        <is>
          <t xml:space="preserve">NA </t>
        </is>
      </c>
      <c r="Q506" s="20" t="inlineStr">
        <is>
          <t>NA</t>
        </is>
      </c>
      <c r="R506" s="17" t="inlineStr">
        <is>
          <t>NA</t>
        </is>
      </c>
      <c r="S506" s="20" t="inlineStr">
        <is>
          <t>NA</t>
        </is>
      </c>
      <c r="T506" s="17" t="inlineStr">
        <is>
          <t>NA</t>
        </is>
      </c>
      <c r="U506" s="20" t="inlineStr">
        <is>
          <t>NA</t>
        </is>
      </c>
      <c r="V506" s="17" t="inlineStr">
        <is>
          <t>NA</t>
        </is>
      </c>
      <c r="W506" s="20" t="inlineStr">
        <is>
          <t>NA</t>
        </is>
      </c>
      <c r="X506" s="17" t="inlineStr">
        <is>
          <t>NA</t>
        </is>
      </c>
      <c r="Y506" s="20" t="inlineStr">
        <is>
          <t>NA</t>
        </is>
      </c>
      <c r="Z506" s="17" t="inlineStr">
        <is>
          <t>NA</t>
        </is>
      </c>
      <c r="AA506" s="20" t="inlineStr">
        <is>
          <t>NA</t>
        </is>
      </c>
      <c r="AB506" s="93" t="inlineStr">
        <is>
          <t>NA</t>
        </is>
      </c>
      <c r="AC506" s="20" t="inlineStr">
        <is>
          <t>NA</t>
        </is>
      </c>
      <c r="AD506" s="126" t="inlineStr">
        <is>
          <t>NA</t>
        </is>
      </c>
      <c r="AE506" s="97" t="inlineStr">
        <is>
          <t>NA</t>
        </is>
      </c>
      <c r="AF506" s="93" t="inlineStr">
        <is>
          <t>NA</t>
        </is>
      </c>
      <c r="AG506" s="97" t="inlineStr">
        <is>
          <t>NA</t>
        </is>
      </c>
      <c r="AH506" s="285" t="n">
        <v>0</v>
      </c>
      <c r="AI506" s="285" t="inlineStr">
        <is>
          <t>Not Reported</t>
        </is>
      </c>
      <c r="AJ506" s="93" t="inlineStr">
        <is>
          <t>NA</t>
        </is>
      </c>
      <c r="AK506" s="97" t="inlineStr">
        <is>
          <t>NA</t>
        </is>
      </c>
    </row>
    <row r="507">
      <c r="A507" s="21" t="inlineStr">
        <is>
          <t>WTW (Tech)</t>
        </is>
      </c>
      <c r="B507" s="5" t="inlineStr">
        <is>
          <t>West 1</t>
        </is>
      </c>
      <c r="C507" s="76" t="inlineStr">
        <is>
          <t>Elton</t>
        </is>
      </c>
      <c r="D507" s="26" t="inlineStr">
        <is>
          <t>Sahil</t>
        </is>
      </c>
      <c r="E507" s="26" t="inlineStr">
        <is>
          <t>Category (B)</t>
        </is>
      </c>
      <c r="F507" s="21" t="inlineStr">
        <is>
          <t>Contractual SLA</t>
        </is>
      </c>
      <c r="G507" s="21" t="inlineStr">
        <is>
          <t>No</t>
        </is>
      </c>
      <c r="H507" s="21" t="inlineStr">
        <is>
          <t xml:space="preserve">Hiring Manager Satisfaction </t>
        </is>
      </c>
      <c r="I507" s="14" t="n">
        <v>7</v>
      </c>
      <c r="J507" s="20" t="inlineStr">
        <is>
          <t xml:space="preserve">NA </t>
        </is>
      </c>
      <c r="K507" s="20" t="inlineStr">
        <is>
          <t>NA</t>
        </is>
      </c>
      <c r="L507" s="20" t="inlineStr">
        <is>
          <t xml:space="preserve">NA </t>
        </is>
      </c>
      <c r="M507" s="20" t="inlineStr">
        <is>
          <t>NA</t>
        </is>
      </c>
      <c r="N507" s="20" t="inlineStr">
        <is>
          <t xml:space="preserve">NA </t>
        </is>
      </c>
      <c r="O507" s="20" t="inlineStr">
        <is>
          <t>NA</t>
        </is>
      </c>
      <c r="P507" s="20" t="inlineStr">
        <is>
          <t xml:space="preserve">NA </t>
        </is>
      </c>
      <c r="Q507" s="20" t="inlineStr">
        <is>
          <t>NA</t>
        </is>
      </c>
      <c r="R507" s="17" t="inlineStr">
        <is>
          <t>NA</t>
        </is>
      </c>
      <c r="S507" s="20" t="inlineStr">
        <is>
          <t>NA</t>
        </is>
      </c>
      <c r="T507" s="17" t="inlineStr">
        <is>
          <t>NA</t>
        </is>
      </c>
      <c r="U507" s="20" t="inlineStr">
        <is>
          <t>NA</t>
        </is>
      </c>
      <c r="V507" s="17" t="inlineStr">
        <is>
          <t>NA</t>
        </is>
      </c>
      <c r="W507" s="20" t="inlineStr">
        <is>
          <t>NA</t>
        </is>
      </c>
      <c r="X507" s="17" t="inlineStr">
        <is>
          <t>NA</t>
        </is>
      </c>
      <c r="Y507" s="20" t="inlineStr">
        <is>
          <t>NA</t>
        </is>
      </c>
      <c r="Z507" s="17" t="inlineStr">
        <is>
          <t>NA</t>
        </is>
      </c>
      <c r="AA507" s="20" t="inlineStr">
        <is>
          <t>NA</t>
        </is>
      </c>
      <c r="AB507" s="93" t="inlineStr">
        <is>
          <t>NA</t>
        </is>
      </c>
      <c r="AC507" s="20" t="inlineStr">
        <is>
          <t>NA</t>
        </is>
      </c>
      <c r="AD507" s="126" t="inlineStr">
        <is>
          <t>NA</t>
        </is>
      </c>
      <c r="AE507" s="97" t="inlineStr">
        <is>
          <t>NA</t>
        </is>
      </c>
      <c r="AF507" s="93" t="inlineStr">
        <is>
          <t>NA</t>
        </is>
      </c>
      <c r="AG507" s="97" t="inlineStr">
        <is>
          <t>NA</t>
        </is>
      </c>
      <c r="AH507" s="285" t="n">
        <v>0</v>
      </c>
      <c r="AI507" s="285" t="inlineStr">
        <is>
          <t>Not Reported</t>
        </is>
      </c>
      <c r="AJ507" s="93" t="inlineStr">
        <is>
          <t>NA</t>
        </is>
      </c>
      <c r="AK507" s="97" t="inlineStr">
        <is>
          <t>NA</t>
        </is>
      </c>
    </row>
  </sheetData>
  <conditionalFormatting sqref="A2:D9 A34:A71 A90:A110 A119:A142 B10:B16 B17:D175 B176:B183 B184:D283 B284:B290 B291:D301 D10:D16 D176:D183 D284:D290 E34:E301">
    <cfRule type="containsText" priority="3221" operator="containsText" dxfId="1" text="Not Met">
      <formula>NOT(ISERROR(SEARCH("Not Met",A2)))</formula>
    </cfRule>
  </conditionalFormatting>
  <conditionalFormatting sqref="A39:A48">
    <cfRule type="containsText" priority="3219" operator="containsText" dxfId="1" text="Not Met">
      <formula>NOT(ISERROR(SEARCH("Not Met",A39)))</formula>
    </cfRule>
    <cfRule type="containsText" priority="3220" operator="containsText" dxfId="0" text="Met">
      <formula>NOT(ISERROR(SEARCH("Met",A39)))</formula>
    </cfRule>
  </conditionalFormatting>
  <conditionalFormatting sqref="A74:A89">
    <cfRule type="containsText" priority="3202" operator="containsText" dxfId="0" text="Met">
      <formula>NOT(ISERROR(SEARCH("Met",A74)))</formula>
    </cfRule>
    <cfRule type="containsText" priority="3201" operator="containsText" dxfId="1" text="Not Met">
      <formula>NOT(ISERROR(SEARCH("Not Met",A74)))</formula>
    </cfRule>
  </conditionalFormatting>
  <conditionalFormatting sqref="A100:A103">
    <cfRule type="containsText" priority="3217" operator="containsText" dxfId="1" text="Not Met">
      <formula>NOT(ISERROR(SEARCH("Not Met",A100)))</formula>
    </cfRule>
    <cfRule type="containsText" priority="3218" operator="containsText" dxfId="0" text="Met">
      <formula>NOT(ISERROR(SEARCH("Met",A100)))</formula>
    </cfRule>
  </conditionalFormatting>
  <conditionalFormatting sqref="A185:A225">
    <cfRule type="containsText" priority="3210" operator="containsText" dxfId="0" text="Met">
      <formula>NOT(ISERROR(SEARCH("Met",A185)))</formula>
    </cfRule>
    <cfRule type="containsText" priority="3209" operator="containsText" dxfId="1" text="Not Met">
      <formula>NOT(ISERROR(SEARCH("Not Met",A185)))</formula>
    </cfRule>
  </conditionalFormatting>
  <conditionalFormatting sqref="A458">
    <cfRule type="containsText" priority="3133" operator="containsText" dxfId="0" text="Met">
      <formula>NOT(ISERROR(SEARCH("Met",A458)))</formula>
    </cfRule>
    <cfRule type="containsText" priority="3132" operator="containsText" dxfId="1" text="Not Met">
      <formula>NOT(ISERROR(SEARCH("Not Met",A458)))</formula>
    </cfRule>
  </conditionalFormatting>
  <conditionalFormatting sqref="A458:A471">
    <cfRule type="containsText" priority="3149" operator="containsText" dxfId="0" text="Met">
      <formula>NOT(ISERROR(SEARCH("Met",A458)))</formula>
    </cfRule>
  </conditionalFormatting>
  <conditionalFormatting sqref="A458:A493">
    <cfRule type="containsText" priority="3148" operator="containsText" dxfId="1" text="Not Met">
      <formula>NOT(ISERROR(SEARCH("Not Met",A458)))</formula>
    </cfRule>
  </conditionalFormatting>
  <conditionalFormatting sqref="A468:A471">
    <cfRule type="containsText" priority="3146" operator="containsText" dxfId="1" text="Not Met">
      <formula>NOT(ISERROR(SEARCH("Not Met",A468)))</formula>
    </cfRule>
    <cfRule type="containsText" priority="3147" operator="containsText" dxfId="0" text="Met">
      <formula>NOT(ISERROR(SEARCH("Met",A468)))</formula>
    </cfRule>
  </conditionalFormatting>
  <conditionalFormatting sqref="A472:A493">
    <cfRule type="containsText" priority="3145" operator="containsText" dxfId="0" text="Met">
      <formula>NOT(ISERROR(SEARCH("Met",A472)))</formula>
    </cfRule>
  </conditionalFormatting>
  <conditionalFormatting sqref="A482:A493">
    <cfRule type="containsText" priority="3144" operator="containsText" dxfId="1" text="Not Met">
      <formula>NOT(ISERROR(SEARCH("Not Met",A482)))</formula>
    </cfRule>
  </conditionalFormatting>
  <conditionalFormatting sqref="B494:B507 D494:D507">
    <cfRule type="containsText" priority="1446" operator="containsText" dxfId="0" text="Met">
      <formula>NOT(ISERROR(SEARCH("Met",B494)))</formula>
    </cfRule>
    <cfRule type="containsText" priority="1445" operator="containsText" dxfId="1" text="Not Met">
      <formula>NOT(ISERROR(SEARCH("Not Met",B494)))</formula>
    </cfRule>
  </conditionalFormatting>
  <conditionalFormatting sqref="B302:E323 B324:B356 B357:E453 B454:B460 B461:E482 B483:B490 B491:D493 D324:E356 D454:E460 D483:E485 D485:D490">
    <cfRule type="containsText" priority="1811" operator="containsText" dxfId="1" text="Not Met">
      <formula>NOT(ISERROR(SEARCH("Not Met",B302)))</formula>
    </cfRule>
  </conditionalFormatting>
  <conditionalFormatting sqref="E486:E507">
    <cfRule type="containsText" priority="1444" operator="containsText" dxfId="0" text="Met">
      <formula>NOT(ISERROR(SEARCH("Met",E486)))</formula>
    </cfRule>
    <cfRule type="containsText" priority="1443" operator="containsText" dxfId="1" text="Not Met">
      <formula>NOT(ISERROR(SEARCH("Not Met",E486)))</formula>
    </cfRule>
  </conditionalFormatting>
  <conditionalFormatting sqref="E20:F33 F78:G103 G177:G179 H62:I68 H234:H235 I49:I61 I79:I81">
    <cfRule type="containsText" priority="3225" operator="containsText" dxfId="0" text="Met">
      <formula>NOT(ISERROR(SEARCH("Met",E20)))</formula>
    </cfRule>
    <cfRule type="containsText" priority="3224" operator="containsText" dxfId="1" text="Not Met">
      <formula>NOT(ISERROR(SEARCH("Not Met",E20)))</formula>
    </cfRule>
  </conditionalFormatting>
  <conditionalFormatting sqref="E2:G2 E3:E19 F13:F14 H84:I85 H120:I120">
    <cfRule type="containsText" priority="3283" operator="containsText" dxfId="1" text="Not Met">
      <formula>NOT(ISERROR(SEARCH("Not Met",E2)))</formula>
    </cfRule>
  </conditionalFormatting>
  <conditionalFormatting sqref="F13:F14">
    <cfRule type="containsText" priority="3284" operator="containsText" dxfId="0" text="Met">
      <formula>NOT(ISERROR(SEARCH("Met",F13)))</formula>
    </cfRule>
  </conditionalFormatting>
  <conditionalFormatting sqref="F39:F48">
    <cfRule type="containsText" priority="3223" operator="containsText" dxfId="0" text="Met">
      <formula>NOT(ISERROR(SEARCH("Met",F39)))</formula>
    </cfRule>
    <cfRule type="containsText" priority="3222" operator="containsText" dxfId="1" text="Not Met">
      <formula>NOT(ISERROR(SEARCH("Not Met",F39)))</formula>
    </cfRule>
  </conditionalFormatting>
  <conditionalFormatting sqref="F72:F73">
    <cfRule type="containsText" priority="3194" operator="containsText" dxfId="0" text="Met">
      <formula>NOT(ISERROR(SEARCH("Met",F72)))</formula>
    </cfRule>
    <cfRule type="containsText" priority="3193" operator="containsText" dxfId="1" text="Not Met">
      <formula>NOT(ISERROR(SEARCH("Not Met",F72)))</formula>
    </cfRule>
  </conditionalFormatting>
  <conditionalFormatting sqref="F149:F150">
    <cfRule type="containsText" priority="3182" operator="containsText" dxfId="1" text="Not Met">
      <formula>NOT(ISERROR(SEARCH("Not Met",F149)))</formula>
    </cfRule>
    <cfRule type="containsText" priority="3183" operator="containsText" dxfId="0" text="Met">
      <formula>NOT(ISERROR(SEARCH("Met",F149)))</formula>
    </cfRule>
  </conditionalFormatting>
  <conditionalFormatting sqref="F3:G12">
    <cfRule type="containsText" priority="3246" operator="containsText" dxfId="1" text="Not Met">
      <formula>NOT(ISERROR(SEARCH("Not Met",F3)))</formula>
    </cfRule>
  </conditionalFormatting>
  <conditionalFormatting sqref="F15:G19">
    <cfRule type="containsText" priority="3229" operator="containsText" dxfId="1579" text="Met">
      <formula>NOT(ISERROR(SEARCH("Met",F15)))</formula>
    </cfRule>
    <cfRule type="containsText" priority="3228" operator="containsText" dxfId="1578" text="Not Met">
      <formula>NOT(ISERROR(SEARCH("Not Met",F15)))</formula>
    </cfRule>
  </conditionalFormatting>
  <conditionalFormatting sqref="F34:G71">
    <cfRule type="containsText" priority="3195" operator="containsText" dxfId="1" text="Not Met">
      <formula>NOT(ISERROR(SEARCH("Not Met",F34)))</formula>
    </cfRule>
  </conditionalFormatting>
  <conditionalFormatting sqref="F69:G71">
    <cfRule type="containsText" priority="3196" operator="containsText" dxfId="0" text="Met">
      <formula>NOT(ISERROR(SEARCH("Met",F69)))</formula>
    </cfRule>
  </conditionalFormatting>
  <conditionalFormatting sqref="A132:A137 F100:G107">
    <cfRule type="containsText" priority="3216" operator="containsText" dxfId="0" text="Met">
      <formula>NOT(ISERROR(SEARCH("Met",A100)))</formula>
    </cfRule>
    <cfRule type="containsText" priority="3215" operator="containsText" dxfId="1" text="Not Met">
      <formula>NOT(ISERROR(SEARCH("Not Met",A100)))</formula>
    </cfRule>
  </conditionalFormatting>
  <conditionalFormatting sqref="F127:G141 H140:I141">
    <cfRule type="containsText" priority="3255" operator="containsText" dxfId="1" text="Not Met">
      <formula>NOT(ISERROR(SEARCH("Not Met",F127)))</formula>
    </cfRule>
    <cfRule type="containsText" priority="3256" operator="containsText" dxfId="0" text="Met">
      <formula>NOT(ISERROR(SEARCH("Met",F127)))</formula>
    </cfRule>
  </conditionalFormatting>
  <conditionalFormatting sqref="F169:G172">
    <cfRule type="containsText" priority="3259" operator="containsText" dxfId="1" text="Not Met">
      <formula>NOT(ISERROR(SEARCH("Not Met",F169)))</formula>
    </cfRule>
    <cfRule type="containsText" priority="3260" operator="containsText" dxfId="0" text="Met">
      <formula>NOT(ISERROR(SEARCH("Met",F169)))</formula>
    </cfRule>
  </conditionalFormatting>
  <conditionalFormatting sqref="F458:G458">
    <cfRule type="containsText" priority="3134" operator="containsText" dxfId="1" text="Not Met">
      <formula>NOT(ISERROR(SEARCH("Not Met",F458)))</formula>
    </cfRule>
    <cfRule type="containsText" priority="3135" operator="containsText" dxfId="0" text="Met">
      <formula>NOT(ISERROR(SEARCH("Met",F458)))</formula>
    </cfRule>
  </conditionalFormatting>
  <conditionalFormatting sqref="F459:G471">
    <cfRule type="containsText" priority="3143" operator="containsText" dxfId="0" text="Met">
      <formula>NOT(ISERROR(SEARCH("Met",F459)))</formula>
    </cfRule>
    <cfRule type="containsText" priority="3142" operator="containsText" dxfId="1" text="Not Met">
      <formula>NOT(ISERROR(SEARCH("Not Met",F459)))</formula>
    </cfRule>
  </conditionalFormatting>
  <conditionalFormatting sqref="F468:G485">
    <cfRule type="containsText" priority="3139" operator="containsText" dxfId="0" text="Met">
      <formula>NOT(ISERROR(SEARCH("Met",F468)))</formula>
    </cfRule>
    <cfRule type="containsText" priority="3138" operator="containsText" dxfId="1" text="Not Met">
      <formula>NOT(ISERROR(SEARCH("Not Met",F468)))</formula>
    </cfRule>
  </conditionalFormatting>
  <conditionalFormatting sqref="F482:G485">
    <cfRule type="containsText" priority="3136" operator="containsText" dxfId="1" text="Not Met">
      <formula>NOT(ISERROR(SEARCH("Not Met",F482)))</formula>
    </cfRule>
    <cfRule type="containsText" priority="3137" operator="containsText" dxfId="0" text="Met">
      <formula>NOT(ISERROR(SEARCH("Met",F482)))</formula>
    </cfRule>
  </conditionalFormatting>
  <conditionalFormatting sqref="F142:I142">
    <cfRule type="containsText" priority="3180" operator="containsText" dxfId="1" text="Not Met">
      <formula>NOT(ISERROR(SEARCH("Not Met",F142)))</formula>
    </cfRule>
    <cfRule type="containsText" priority="3181" operator="containsText" dxfId="0" text="Met">
      <formula>NOT(ISERROR(SEARCH("Met",F142)))</formula>
    </cfRule>
  </conditionalFormatting>
  <conditionalFormatting sqref="F161:I162">
    <cfRule type="containsText" priority="3267" operator="containsText" dxfId="1" text="Not Met">
      <formula>NOT(ISERROR(SEARCH("Not Met",F161)))</formula>
    </cfRule>
    <cfRule type="containsText" priority="3268" operator="containsText" dxfId="0" text="Met">
      <formula>NOT(ISERROR(SEARCH("Met",F161)))</formula>
    </cfRule>
  </conditionalFormatting>
  <conditionalFormatting sqref="F458:I458">
    <cfRule type="containsText" priority="3127" operator="containsText" dxfId="0" text="Met">
      <formula>NOT(ISERROR(SEARCH("Met",F458)))</formula>
    </cfRule>
    <cfRule type="containsText" priority="3126" operator="containsText" dxfId="1" text="Not Met">
      <formula>NOT(ISERROR(SEARCH("Not Met",F458)))</formula>
    </cfRule>
  </conditionalFormatting>
  <conditionalFormatting sqref="G72:G77">
    <cfRule type="containsText" priority="3204" operator="containsText" dxfId="0" text="Met">
      <formula>NOT(ISERROR(SEARCH("Met",G72)))</formula>
    </cfRule>
    <cfRule type="containsText" priority="3203" operator="containsText" dxfId="1" text="Not Met">
      <formula>NOT(ISERROR(SEARCH("Not Met",G72)))</formula>
    </cfRule>
  </conditionalFormatting>
  <conditionalFormatting sqref="G132:G137">
    <cfRule type="containsText" priority="3213" operator="containsText" dxfId="1" text="Not Met">
      <formula>NOT(ISERROR(SEARCH("Not Met",G132)))</formula>
    </cfRule>
    <cfRule type="containsText" priority="3214" operator="containsText" dxfId="0" text="Met">
      <formula>NOT(ISERROR(SEARCH("Met",G132)))</formula>
    </cfRule>
  </conditionalFormatting>
  <conditionalFormatting sqref="G143:G155">
    <cfRule type="containsText" priority="3206" operator="containsText" dxfId="0" text="Met">
      <formula>NOT(ISERROR(SEARCH("Met",G143)))</formula>
    </cfRule>
    <cfRule type="containsText" priority="3205" operator="containsText" dxfId="1" text="Not Met">
      <formula>NOT(ISERROR(SEARCH("Not Met",G143)))</formula>
    </cfRule>
  </conditionalFormatting>
  <conditionalFormatting sqref="G193:G195">
    <cfRule type="containsText" priority="3211" operator="containsText" dxfId="1" text="Not Met">
      <formula>NOT(ISERROR(SEARCH("Not Met",G193)))</formula>
    </cfRule>
    <cfRule type="containsText" priority="3212" operator="containsText" dxfId="0" text="Met">
      <formula>NOT(ISERROR(SEARCH("Met",G193)))</formula>
    </cfRule>
  </conditionalFormatting>
  <conditionalFormatting sqref="G486:G493">
    <cfRule type="containsText" priority="1457" operator="containsText" dxfId="1" text="Not Met">
      <formula>NOT(ISERROR(SEARCH("Not Met",G486)))</formula>
    </cfRule>
    <cfRule type="containsText" priority="1458" operator="containsText" dxfId="0" text="Met">
      <formula>NOT(ISERROR(SEARCH("Met",G486)))</formula>
    </cfRule>
    <cfRule type="containsText" priority="1456" operator="containsText" dxfId="0" text="Met">
      <formula>NOT(ISERROR(SEARCH("Met",G486)))</formula>
    </cfRule>
    <cfRule type="containsText" priority="1455" operator="containsText" dxfId="1" text="Not Met">
      <formula>NOT(ISERROR(SEARCH("Not Met",G486)))</formula>
    </cfRule>
  </conditionalFormatting>
  <conditionalFormatting sqref="H18 H28 H41 H61 H87 H106 H118 H122 H135 H146 H154 H160 H166 H175 H182 H193 H220:H221 H238 H248 H256 H293 H299 H308 H314 H327 H334">
    <cfRule type="containsText" priority="3227" operator="containsText" dxfId="1579" text="Met">
      <formula>NOT(ISERROR(SEARCH("Met",H18)))</formula>
    </cfRule>
    <cfRule type="containsText" priority="3226" operator="containsText" dxfId="1578" text="Not Met">
      <formula>NOT(ISERROR(SEARCH("Not Met",H18)))</formula>
    </cfRule>
  </conditionalFormatting>
  <conditionalFormatting sqref="H34 I36">
    <cfRule type="containsText" priority="3276" operator="containsText" dxfId="0" text="Met">
      <formula>NOT(ISERROR(SEARCH("Met",H34)))</formula>
    </cfRule>
    <cfRule type="containsText" priority="3275" operator="containsText" dxfId="1" text="Not Met">
      <formula>NOT(ISERROR(SEARCH("Not Met",H34)))</formula>
    </cfRule>
  </conditionalFormatting>
  <conditionalFormatting sqref="H49:H58">
    <cfRule type="containsText" priority="3273" operator="containsText" dxfId="1" text="Not Met">
      <formula>NOT(ISERROR(SEARCH("Not Met",H49)))</formula>
    </cfRule>
    <cfRule type="containsText" priority="3274" operator="containsText" dxfId="0" text="Met">
      <formula>NOT(ISERROR(SEARCH("Met",H49)))</formula>
    </cfRule>
  </conditionalFormatting>
  <conditionalFormatting sqref="A2:A9 A2:G2 A34:A71 A90:A110 A119:A142 B3:D9 B10:B16 B17:D175 B176:B183 B184:D283 B284:B290 B291:D301 B302:E323 B324:B356 B357:E453 B454:B460 B461:E482 B483:B490 B491:D493 D10:D16 D176:D183 D284:D290 D324:E356 D454:E460 D483:E485 D485:D490 E3:E19 E34:E301 F3:G12 F34:G68 H84:I85 H96 H107 H120:I120 H274 I105:I106">
    <cfRule type="containsText" priority="3286" operator="containsText" dxfId="0" text="Met">
      <formula>NOT(ISERROR(SEARCH("Met",A2)))</formula>
    </cfRule>
  </conditionalFormatting>
  <conditionalFormatting sqref="H96 H107 H274">
    <cfRule type="containsText" priority="3285" operator="containsText" dxfId="1" text="Not Met">
      <formula>NOT(ISERROR(SEARCH("Not Met",H96)))</formula>
    </cfRule>
  </conditionalFormatting>
  <conditionalFormatting sqref="H159">
    <cfRule type="containsText" priority="3269" operator="containsText" dxfId="1" text="Not Met">
      <formula>NOT(ISERROR(SEARCH("Not Met",H159)))</formula>
    </cfRule>
    <cfRule type="containsText" priority="3270" operator="containsText" dxfId="0" text="Met">
      <formula>NOT(ISERROR(SEARCH("Met",H159)))</formula>
    </cfRule>
  </conditionalFormatting>
  <conditionalFormatting sqref="H187:H189">
    <cfRule type="containsText" priority="3249" operator="containsText" dxfId="1" text="Not Met">
      <formula>NOT(ISERROR(SEARCH("Not Met",H187)))</formula>
    </cfRule>
    <cfRule type="containsText" priority="3250" operator="containsText" dxfId="0" text="Met">
      <formula>NOT(ISERROR(SEARCH("Met",H187)))</formula>
    </cfRule>
  </conditionalFormatting>
  <conditionalFormatting sqref="H214:H215">
    <cfRule type="containsText" priority="3261" operator="containsText" dxfId="1" text="Not Met">
      <formula>NOT(ISERROR(SEARCH("Not Met",H214)))</formula>
    </cfRule>
    <cfRule type="containsText" priority="3262" operator="containsText" dxfId="0" text="Met">
      <formula>NOT(ISERROR(SEARCH("Met",H214)))</formula>
    </cfRule>
  </conditionalFormatting>
  <conditionalFormatting sqref="H227">
    <cfRule type="containsText" priority="3243" operator="containsText" dxfId="0" text="Met">
      <formula>NOT(ISERROR(SEARCH("Met",H227)))</formula>
    </cfRule>
    <cfRule type="containsText" priority="3242" operator="containsText" dxfId="1" text="Not Met">
      <formula>NOT(ISERROR(SEARCH("Not Met",H227)))</formula>
    </cfRule>
  </conditionalFormatting>
  <conditionalFormatting sqref="H229:H230">
    <cfRule type="containsText" priority="3245" operator="containsText" dxfId="0" text="Met">
      <formula>NOT(ISERROR(SEARCH("Met",H229)))</formula>
    </cfRule>
    <cfRule type="containsText" priority="3244" operator="containsText" dxfId="1" text="Not Met">
      <formula>NOT(ISERROR(SEARCH("Not Met",H229)))</formula>
    </cfRule>
  </conditionalFormatting>
  <conditionalFormatting sqref="H232">
    <cfRule type="containsText" priority="3236" operator="containsText" dxfId="1" text="Not Met">
      <formula>NOT(ISERROR(SEARCH("Not Met",H232)))</formula>
    </cfRule>
    <cfRule type="containsText" priority="3237" operator="containsText" dxfId="0" text="Met">
      <formula>NOT(ISERROR(SEARCH("Met",H232)))</formula>
    </cfRule>
  </conditionalFormatting>
  <conditionalFormatting sqref="H260">
    <cfRule type="containsText" priority="3235" operator="containsText" dxfId="0" text="Met">
      <formula>NOT(ISERROR(SEARCH("Met",H260)))</formula>
    </cfRule>
    <cfRule type="containsText" priority="3234" operator="containsText" dxfId="1" text="Not Met">
      <formula>NOT(ISERROR(SEARCH("Not Met",H260)))</formula>
    </cfRule>
  </conditionalFormatting>
  <conditionalFormatting sqref="H282">
    <cfRule type="containsText" priority="3233" operator="containsText" dxfId="0" text="Met">
      <formula>NOT(ISERROR(SEARCH("Met",H282)))</formula>
    </cfRule>
    <cfRule type="containsText" priority="3232" operator="containsText" dxfId="1" text="Not Met">
      <formula>NOT(ISERROR(SEARCH("Not Met",H282)))</formula>
    </cfRule>
  </conditionalFormatting>
  <conditionalFormatting sqref="H317">
    <cfRule type="containsText" priority="3155" operator="containsText" dxfId="0" text="Met">
      <formula>NOT(ISERROR(SEARCH("Met",H317)))</formula>
    </cfRule>
    <cfRule type="containsText" priority="3156" operator="containsText" dxfId="1" text="Not Met">
      <formula>NOT(ISERROR(SEARCH("Not Met",H317)))</formula>
    </cfRule>
    <cfRule type="containsText" priority="3157" operator="containsText" dxfId="0" text="Met">
      <formula>NOT(ISERROR(SEARCH("Met",H317)))</formula>
    </cfRule>
    <cfRule type="containsText" priority="3154" operator="containsText" dxfId="1" text="Not Met">
      <formula>NOT(ISERROR(SEARCH("Not Met",H317)))</formula>
    </cfRule>
  </conditionalFormatting>
  <conditionalFormatting sqref="H335">
    <cfRule type="containsText" priority="3169" operator="containsText" dxfId="0" text="Met">
      <formula>NOT(ISERROR(SEARCH("Met",H335)))</formula>
    </cfRule>
    <cfRule type="containsText" priority="3168" operator="containsText" dxfId="1" text="Not Met">
      <formula>NOT(ISERROR(SEARCH("Not Met",H335)))</formula>
    </cfRule>
  </conditionalFormatting>
  <conditionalFormatting sqref="H464">
    <cfRule type="containsText" priority="3152" operator="containsText" dxfId="1" text="Not Met">
      <formula>NOT(ISERROR(SEARCH("Not Met",H464)))</formula>
    </cfRule>
    <cfRule type="containsText" priority="3153" operator="containsText" dxfId="0" text="Met">
      <formula>NOT(ISERROR(SEARCH("Met",H464)))</formula>
    </cfRule>
  </conditionalFormatting>
  <conditionalFormatting sqref="H478">
    <cfRule type="containsText" priority="3151" operator="containsText" dxfId="0" text="Met">
      <formula>NOT(ISERROR(SEARCH("Met",H478)))</formula>
    </cfRule>
    <cfRule type="containsText" priority="3150" operator="containsText" dxfId="1" text="Not Met">
      <formula>NOT(ISERROR(SEARCH("Not Met",H478)))</formula>
    </cfRule>
  </conditionalFormatting>
  <conditionalFormatting sqref="A143:A148 H2:I11">
    <cfRule type="containsText" priority="3207" operator="containsText" dxfId="1" text="Not Met">
      <formula>NOT(ISERROR(SEARCH("Not Met",A2)))</formula>
    </cfRule>
    <cfRule type="containsText" priority="3208" operator="containsText" dxfId="0" text="Met">
      <formula>NOT(ISERROR(SEARCH("Met",A2)))</formula>
    </cfRule>
  </conditionalFormatting>
  <conditionalFormatting sqref="H35:I35">
    <cfRule type="containsText" priority="3197" operator="containsText" dxfId="1" text="Not Met">
      <formula>NOT(ISERROR(SEARCH("Not Met",H35)))</formula>
    </cfRule>
    <cfRule type="containsText" priority="3198" operator="containsText" dxfId="0" text="Met">
      <formula>NOT(ISERROR(SEARCH("Met",H35)))</formula>
    </cfRule>
  </conditionalFormatting>
  <conditionalFormatting sqref="H111:I112">
    <cfRule type="containsText" priority="3264" operator="containsText" dxfId="0" text="Met">
      <formula>NOT(ISERROR(SEARCH("Met",H111)))</formula>
    </cfRule>
    <cfRule type="containsText" priority="3263" operator="containsText" dxfId="1" text="Not Met">
      <formula>NOT(ISERROR(SEARCH("Not Met",H111)))</formula>
    </cfRule>
  </conditionalFormatting>
  <conditionalFormatting sqref="H129:I131">
    <cfRule type="containsText" priority="3254" operator="containsText" dxfId="0" text="Met">
      <formula>NOT(ISERROR(SEARCH("Met",H129)))</formula>
    </cfRule>
    <cfRule type="containsText" priority="3253" operator="containsText" dxfId="1" text="Not Met">
      <formula>NOT(ISERROR(SEARCH("Not Met",H129)))</formula>
    </cfRule>
  </conditionalFormatting>
  <conditionalFormatting sqref="H317:I317">
    <cfRule type="containsText" priority="3159" operator="containsText" dxfId="0" text="Met">
      <formula>NOT(ISERROR(SEARCH("Met",H317)))</formula>
    </cfRule>
    <cfRule type="containsText" priority="3158" operator="containsText" dxfId="1" text="Not Met">
      <formula>NOT(ISERROR(SEARCH("Not Met",H317)))</formula>
    </cfRule>
  </conditionalFormatting>
  <conditionalFormatting sqref="I38">
    <cfRule type="containsText" priority="3167" operator="containsText" dxfId="0" text="Met">
      <formula>NOT(ISERROR(SEARCH("Met",I38)))</formula>
    </cfRule>
    <cfRule type="containsText" priority="3166" operator="containsText" dxfId="1" text="Not Met">
      <formula>NOT(ISERROR(SEARCH("Not Met",I38)))</formula>
    </cfRule>
  </conditionalFormatting>
  <conditionalFormatting sqref="I69:I74">
    <cfRule type="containsText" priority="3189" operator="containsText" dxfId="1" text="Not Met">
      <formula>NOT(ISERROR(SEARCH("Not Met",I69)))</formula>
    </cfRule>
    <cfRule type="containsText" priority="3190" operator="containsText" dxfId="0" text="Met">
      <formula>NOT(ISERROR(SEARCH("Met",I69)))</formula>
    </cfRule>
  </conditionalFormatting>
  <conditionalFormatting sqref="I86:I87">
    <cfRule type="containsText" priority="3188" operator="containsText" dxfId="0" text="Met">
      <formula>NOT(ISERROR(SEARCH("Met",I86)))</formula>
    </cfRule>
    <cfRule type="containsText" priority="3187" operator="containsText" dxfId="1" text="Not Met">
      <formula>NOT(ISERROR(SEARCH("Not Met",I86)))</formula>
    </cfRule>
  </conditionalFormatting>
  <conditionalFormatting sqref="I105:I106">
    <cfRule type="containsText" priority="3186" operator="containsText" dxfId="1" text="Not Met">
      <formula>NOT(ISERROR(SEARCH("Not Met",I105)))</formula>
    </cfRule>
  </conditionalFormatting>
  <conditionalFormatting sqref="I108:I110">
    <cfRule type="containsText" priority="3200" operator="containsText" dxfId="0" text="Met">
      <formula>NOT(ISERROR(SEARCH("Met",I108)))</formula>
    </cfRule>
    <cfRule type="containsText" priority="3199" operator="containsText" dxfId="1" text="Not Met">
      <formula>NOT(ISERROR(SEARCH("Not Met",I108)))</formula>
    </cfRule>
  </conditionalFormatting>
  <conditionalFormatting sqref="I113:I119">
    <cfRule type="containsText" priority="3171" operator="containsText" dxfId="0" text="Met">
      <formula>NOT(ISERROR(SEARCH("Met",I113)))</formula>
    </cfRule>
    <cfRule type="containsText" priority="3170" operator="containsText" dxfId="1" text="Not Met">
      <formula>NOT(ISERROR(SEARCH("Not Met",I113)))</formula>
    </cfRule>
  </conditionalFormatting>
  <conditionalFormatting sqref="I132:I139">
    <cfRule type="containsText" priority="3175" operator="containsText" dxfId="0" text="Met">
      <formula>NOT(ISERROR(SEARCH("Met",I132)))</formula>
    </cfRule>
    <cfRule type="containsText" priority="3174" operator="containsText" dxfId="1" text="Not Met">
      <formula>NOT(ISERROR(SEARCH("Not Met",I132)))</formula>
    </cfRule>
  </conditionalFormatting>
  <conditionalFormatting sqref="I143:I155">
    <cfRule type="containsText" priority="3178" operator="containsText" dxfId="1" text="Not Met">
      <formula>NOT(ISERROR(SEARCH("Not Met",I143)))</formula>
    </cfRule>
    <cfRule type="containsText" priority="3179" operator="containsText" dxfId="0" text="Met">
      <formula>NOT(ISERROR(SEARCH("Met",I143)))</formula>
    </cfRule>
  </conditionalFormatting>
  <conditionalFormatting sqref="I164:I166">
    <cfRule type="containsText" priority="3271" operator="containsText" dxfId="1" text="Not Met">
      <formula>NOT(ISERROR(SEARCH("Not Met",I164)))</formula>
    </cfRule>
    <cfRule type="containsText" priority="3272" operator="containsText" dxfId="0" text="Met">
      <formula>NOT(ISERROR(SEARCH("Met",I164)))</formula>
    </cfRule>
  </conditionalFormatting>
  <conditionalFormatting sqref="I169:I171">
    <cfRule type="containsText" priority="3265" operator="containsText" dxfId="1" text="Not Met">
      <formula>NOT(ISERROR(SEARCH("Not Met",I169)))</formula>
    </cfRule>
    <cfRule type="containsText" priority="3266" operator="containsText" dxfId="0" text="Met">
      <formula>NOT(ISERROR(SEARCH("Met",I169)))</formula>
    </cfRule>
  </conditionalFormatting>
  <conditionalFormatting sqref="I173:I175">
    <cfRule type="containsText" priority="3282" operator="containsText" dxfId="0" text="Met">
      <formula>NOT(ISERROR(SEARCH("Met",I173)))</formula>
    </cfRule>
    <cfRule type="containsText" priority="3281" operator="containsText" dxfId="1" text="Not Met">
      <formula>NOT(ISERROR(SEARCH("Not Met",I173)))</formula>
    </cfRule>
  </conditionalFormatting>
  <conditionalFormatting sqref="I177:I182">
    <cfRule type="containsText" priority="3185" operator="containsText" dxfId="0" text="Met">
      <formula>NOT(ISERROR(SEARCH("Met",I177)))</formula>
    </cfRule>
    <cfRule type="containsText" priority="3184" operator="containsText" dxfId="1" text="Not Met">
      <formula>NOT(ISERROR(SEARCH("Not Met",I177)))</formula>
    </cfRule>
  </conditionalFormatting>
  <conditionalFormatting sqref="I185:I195">
    <cfRule type="containsText" priority="3177" operator="containsText" dxfId="0" text="Met">
      <formula>NOT(ISERROR(SEARCH("Met",I185)))</formula>
    </cfRule>
    <cfRule type="containsText" priority="3176" operator="containsText" dxfId="1" text="Not Met">
      <formula>NOT(ISERROR(SEARCH("Not Met",I185)))</formula>
    </cfRule>
  </conditionalFormatting>
  <conditionalFormatting sqref="I226:I227">
    <cfRule type="containsText" priority="3240" operator="containsText" dxfId="1" text="Not Met">
      <formula>NOT(ISERROR(SEARCH("Not Met",I226)))</formula>
    </cfRule>
    <cfRule type="containsText" priority="3241" operator="containsText" dxfId="0" text="Met">
      <formula>NOT(ISERROR(SEARCH("Met",I226)))</formula>
    </cfRule>
  </conditionalFormatting>
  <conditionalFormatting sqref="I231:I232">
    <cfRule type="containsText" priority="3239" operator="containsText" dxfId="0" text="Met">
      <formula>NOT(ISERROR(SEARCH("Met",I231)))</formula>
    </cfRule>
    <cfRule type="containsText" priority="3238" operator="containsText" dxfId="1" text="Not Met">
      <formula>NOT(ISERROR(SEARCH("Not Met",I231)))</formula>
    </cfRule>
  </conditionalFormatting>
  <conditionalFormatting sqref="I244">
    <cfRule type="containsText" priority="3247" operator="containsText" dxfId="1" text="Not Met">
      <formula>NOT(ISERROR(SEARCH("Not Met",I244)))</formula>
    </cfRule>
    <cfRule type="containsText" priority="3248" operator="containsText" dxfId="0" text="Met">
      <formula>NOT(ISERROR(SEARCH("Met",I244)))</formula>
    </cfRule>
  </conditionalFormatting>
  <conditionalFormatting sqref="I275:I276">
    <cfRule type="containsText" priority="3280" operator="containsText" dxfId="0" text="Met">
      <formula>NOT(ISERROR(SEARCH("Met",I275)))</formula>
    </cfRule>
    <cfRule type="containsText" priority="3279" operator="containsText" dxfId="1" text="Not Met">
      <formula>NOT(ISERROR(SEARCH("Not Met",I275)))</formula>
    </cfRule>
  </conditionalFormatting>
  <conditionalFormatting sqref="I287:I293">
    <cfRule type="containsText" priority="3172" operator="containsText" dxfId="1" text="Not Met">
      <formula>NOT(ISERROR(SEARCH("Not Met",I287)))</formula>
    </cfRule>
    <cfRule type="containsText" priority="3173" operator="containsText" dxfId="0" text="Met">
      <formula>NOT(ISERROR(SEARCH("Met",I287)))</formula>
    </cfRule>
  </conditionalFormatting>
  <conditionalFormatting sqref="I317">
    <cfRule type="containsText" priority="3162" operator="containsText" dxfId="1" text="Not Met">
      <formula>NOT(ISERROR(SEARCH("Not Met",I317)))</formula>
    </cfRule>
    <cfRule type="containsText" priority="3163" operator="containsText" dxfId="0" text="Met">
      <formula>NOT(ISERROR(SEARCH("Met",I317)))</formula>
    </cfRule>
    <cfRule type="containsText" priority="3164" operator="containsText" dxfId="1" text="Not Met">
      <formula>NOT(ISERROR(SEARCH("Not Met",I317)))</formula>
    </cfRule>
    <cfRule type="containsText" priority="3165" operator="containsText" dxfId="0" text="Met">
      <formula>NOT(ISERROR(SEARCH("Met",I317)))</formula>
    </cfRule>
  </conditionalFormatting>
  <conditionalFormatting sqref="I12:J12">
    <cfRule type="containsText" priority="3089" operator="containsText" dxfId="0" text="Met">
      <formula>NOT(ISERROR(SEARCH("Met",I12)))</formula>
    </cfRule>
    <cfRule type="containsText" priority="3088" operator="containsText" dxfId="1" text="Not Met">
      <formula>NOT(ISERROR(SEARCH("Not Met",I12)))</formula>
    </cfRule>
  </conditionalFormatting>
  <conditionalFormatting sqref="J2:J5">
    <cfRule type="containsText" priority="3057" operator="containsText" dxfId="1" text="Not Met">
      <formula>NOT(ISERROR(SEARCH("Not Met",J2)))</formula>
    </cfRule>
    <cfRule type="containsText" priority="3058" operator="containsText" dxfId="0" text="Met">
      <formula>NOT(ISERROR(SEARCH("Met",J2)))</formula>
    </cfRule>
  </conditionalFormatting>
  <conditionalFormatting sqref="J5:J10">
    <cfRule type="containsText" priority="3060" operator="containsText" dxfId="0" text="Met">
      <formula>NOT(ISERROR(SEARCH("Met",J5)))</formula>
    </cfRule>
    <cfRule type="containsText" priority="3059" operator="containsText" dxfId="1" text="Not Met">
      <formula>NOT(ISERROR(SEARCH("Not Met",J5)))</formula>
    </cfRule>
  </conditionalFormatting>
  <conditionalFormatting sqref="J12">
    <cfRule type="containsText" priority="3086" operator="containsText" dxfId="1" text="Not Met">
      <formula>NOT(ISERROR(SEARCH("Not Met",J12)))</formula>
    </cfRule>
    <cfRule type="containsText" priority="3087" operator="containsText" dxfId="0" text="Met">
      <formula>NOT(ISERROR(SEARCH("Met",J12)))</formula>
    </cfRule>
  </conditionalFormatting>
  <conditionalFormatting sqref="J49:J53">
    <cfRule type="containsText" priority="3047" operator="containsText" dxfId="1" text="Not Met">
      <formula>NOT(ISERROR(SEARCH("Not Met",J49)))</formula>
    </cfRule>
    <cfRule type="containsText" priority="3048" operator="containsText" dxfId="0" text="Met">
      <formula>NOT(ISERROR(SEARCH("Met",J49)))</formula>
    </cfRule>
  </conditionalFormatting>
  <conditionalFormatting sqref="J51">
    <cfRule type="containsText" priority="3050" operator="containsText" dxfId="0" text="Met">
      <formula>NOT(ISERROR(SEARCH("Met",J51)))</formula>
    </cfRule>
    <cfRule type="containsText" priority="3049" operator="containsText" dxfId="1" text="Not Met">
      <formula>NOT(ISERROR(SEARCH("Not Met",J51)))</formula>
    </cfRule>
  </conditionalFormatting>
  <conditionalFormatting sqref="J78:J80 J83 J85:J98">
    <cfRule type="containsText" priority="3028" operator="containsText" dxfId="1" text="Not Met">
      <formula>NOT(ISERROR(SEARCH("Not Met",J78)))</formula>
    </cfRule>
    <cfRule type="containsText" priority="3029" operator="containsText" dxfId="0" text="Met">
      <formula>NOT(ISERROR(SEARCH("Met",J78)))</formula>
    </cfRule>
  </conditionalFormatting>
  <conditionalFormatting sqref="J81:J84">
    <cfRule type="containsText" priority="3031" operator="containsText" dxfId="0" text="Met">
      <formula>NOT(ISERROR(SEARCH("Met",J81)))</formula>
    </cfRule>
    <cfRule type="containsText" priority="3030" operator="containsText" dxfId="1" text="Not Met">
      <formula>NOT(ISERROR(SEARCH("Not Met",J81)))</formula>
    </cfRule>
  </conditionalFormatting>
  <conditionalFormatting sqref="J100:J110">
    <cfRule type="containsText" priority="3026" operator="containsText" dxfId="1" text="Not Met">
      <formula>NOT(ISERROR(SEARCH("Not Met",J100)))</formula>
    </cfRule>
    <cfRule type="containsText" priority="3027" operator="containsText" dxfId="0" text="Met">
      <formula>NOT(ISERROR(SEARCH("Met",J100)))</formula>
    </cfRule>
  </conditionalFormatting>
  <conditionalFormatting sqref="J119:J126">
    <cfRule type="containsText" priority="3038" operator="containsText" dxfId="1" text="Not Met">
      <formula>NOT(ISERROR(SEARCH("Not Met",J119)))</formula>
    </cfRule>
    <cfRule type="containsText" priority="3039" operator="containsText" dxfId="0" text="Met">
      <formula>NOT(ISERROR(SEARCH("Met",J119)))</formula>
    </cfRule>
  </conditionalFormatting>
  <conditionalFormatting sqref="J130">
    <cfRule type="containsText" priority="3074" operator="containsText" dxfId="1" text="Not Met">
      <formula>NOT(ISERROR(SEARCH("Not Met",J130)))</formula>
    </cfRule>
    <cfRule type="containsText" priority="3075" operator="containsText" dxfId="0" text="Met">
      <formula>NOT(ISERROR(SEARCH("Met",J130)))</formula>
    </cfRule>
  </conditionalFormatting>
  <conditionalFormatting sqref="J138:J160">
    <cfRule type="containsText" priority="3035" operator="containsText" dxfId="0" text="Met">
      <formula>NOT(ISERROR(SEARCH("Met",J138)))</formula>
    </cfRule>
    <cfRule type="containsText" priority="3034" operator="containsText" dxfId="1" text="Not Met">
      <formula>NOT(ISERROR(SEARCH("Not Met",J138)))</formula>
    </cfRule>
  </conditionalFormatting>
  <conditionalFormatting sqref="J226:J249">
    <cfRule type="containsText" priority="3032" operator="containsText" dxfId="1" text="Not Met">
      <formula>NOT(ISERROR(SEARCH("Not Met",J226)))</formula>
    </cfRule>
    <cfRule type="containsText" priority="3033" operator="containsText" dxfId="0" text="Met">
      <formula>NOT(ISERROR(SEARCH("Met",J226)))</formula>
    </cfRule>
  </conditionalFormatting>
  <conditionalFormatting sqref="J257:J270">
    <cfRule type="containsText" priority="3046" operator="containsText" dxfId="0" text="Met">
      <formula>NOT(ISERROR(SEARCH("Met",J257)))</formula>
    </cfRule>
    <cfRule type="containsText" priority="3045" operator="containsText" dxfId="1" text="Not Met">
      <formula>NOT(ISERROR(SEARCH("Not Met",J257)))</formula>
    </cfRule>
  </conditionalFormatting>
  <conditionalFormatting sqref="J302:J308">
    <cfRule type="containsText" priority="3024" operator="containsText" dxfId="1" text="Not Met">
      <formula>NOT(ISERROR(SEARCH("Not Met",J302)))</formula>
    </cfRule>
    <cfRule type="containsText" priority="3025" operator="containsText" dxfId="0" text="Met">
      <formula>NOT(ISERROR(SEARCH("Met",J302)))</formula>
    </cfRule>
  </conditionalFormatting>
  <conditionalFormatting sqref="J378:J391">
    <cfRule type="containsText" priority="3013" operator="containsText" dxfId="1" text="Not Met">
      <formula>NOT(ISERROR(SEARCH("Not Met",J378)))</formula>
    </cfRule>
  </conditionalFormatting>
  <conditionalFormatting sqref="J367:J391 J396 J403 J410 J417">
    <cfRule type="containsText" priority="3016" operator="containsText" dxfId="0" text="Met">
      <formula>NOT(ISERROR(SEARCH("Met",J367)))</formula>
    </cfRule>
  </conditionalFormatting>
  <conditionalFormatting sqref="J396 J403 J410 J417">
    <cfRule type="containsText" priority="3015" operator="containsText" dxfId="1" text="Not Met">
      <formula>NOT(ISERROR(SEARCH("Not Met",J396)))</formula>
    </cfRule>
  </conditionalFormatting>
  <conditionalFormatting sqref="J430">
    <cfRule type="containsText" priority="3066" operator="containsText" dxfId="0" text="Met">
      <formula>NOT(ISERROR(SEARCH("Met",J430)))</formula>
    </cfRule>
    <cfRule type="containsText" priority="3065" operator="containsText" dxfId="1" text="Not Met">
      <formula>NOT(ISERROR(SEARCH("Not Met",J430)))</formula>
    </cfRule>
  </conditionalFormatting>
  <conditionalFormatting sqref="J33:K33 K119:K148 K411:K416 K418:K423 K425">
    <cfRule type="containsText" priority="3073" operator="containsText" dxfId="0" text="Met">
      <formula>NOT(ISERROR(SEARCH("Met",J33)))</formula>
    </cfRule>
    <cfRule type="containsText" priority="3072" operator="containsText" dxfId="1" text="Not Met">
      <formula>NOT(ISERROR(SEARCH("Not Met",J33)))</formula>
    </cfRule>
  </conditionalFormatting>
  <conditionalFormatting sqref="J33:K33">
    <cfRule type="containsText" priority="3071" operator="containsText" dxfId="0" text="Met">
      <formula>NOT(ISERROR(SEARCH("Met",J33)))</formula>
    </cfRule>
    <cfRule type="containsText" priority="3070" operator="containsText" dxfId="1" text="Not Met">
      <formula>NOT(ISERROR(SEARCH("Not Met",J33)))</formula>
    </cfRule>
  </conditionalFormatting>
  <conditionalFormatting sqref="J169:K205">
    <cfRule type="containsText" priority="3020" operator="containsText" dxfId="0" text="Met">
      <formula>NOT(ISERROR(SEARCH("Met",J169)))</formula>
    </cfRule>
  </conditionalFormatting>
  <conditionalFormatting sqref="J175:K205">
    <cfRule type="containsText" priority="3019" operator="containsText" dxfId="1" text="Not Met">
      <formula>NOT(ISERROR(SEARCH("Not Met",J175)))</formula>
    </cfRule>
  </conditionalFormatting>
  <conditionalFormatting sqref="J196:K205">
    <cfRule type="containsText" priority="3082" operator="containsText" dxfId="1" text="Not Met">
      <formula>NOT(ISERROR(SEARCH("Not Met",J196)))</formula>
    </cfRule>
    <cfRule type="containsText" priority="3081" operator="containsText" dxfId="0" text="Met">
      <formula>NOT(ISERROR(SEARCH("Met",J196)))</formula>
    </cfRule>
    <cfRule type="containsText" priority="3080" operator="containsText" dxfId="1" text="Not Met">
      <formula>NOT(ISERROR(SEARCH("Not Met",J196)))</formula>
    </cfRule>
    <cfRule type="containsText" priority="3083" operator="containsText" dxfId="0" text="Met">
      <formula>NOT(ISERROR(SEARCH("Met",J196)))</formula>
    </cfRule>
    <cfRule type="containsText" priority="3078" operator="containsText" dxfId="1" text="Not Met">
      <formula>NOT(ISERROR(SEARCH("Not Met",J196)))</formula>
    </cfRule>
    <cfRule type="containsText" priority="3079" operator="containsText" dxfId="0" text="Met">
      <formula>NOT(ISERROR(SEARCH("Met",J196)))</formula>
    </cfRule>
    <cfRule type="containsText" priority="3085" operator="containsText" dxfId="0" text="Met">
      <formula>NOT(ISERROR(SEARCH("Met",J196)))</formula>
    </cfRule>
    <cfRule type="containsText" priority="3084" operator="containsText" dxfId="1" text="Not Met">
      <formula>NOT(ISERROR(SEARCH("Not Met",J196)))</formula>
    </cfRule>
  </conditionalFormatting>
  <conditionalFormatting sqref="J318:K318">
    <cfRule type="containsText" priority="3091" operator="containsText" dxfId="0" text="Met">
      <formula>NOT(ISERROR(SEARCH("Met",J318)))</formula>
    </cfRule>
  </conditionalFormatting>
  <conditionalFormatting sqref="J318:K328">
    <cfRule type="containsText" priority="3097" operator="containsText" dxfId="0" text="Met">
      <formula>NOT(ISERROR(SEARCH("Met",J318)))</formula>
    </cfRule>
  </conditionalFormatting>
  <conditionalFormatting sqref="J318:K336">
    <cfRule type="containsText" priority="3036" operator="containsText" dxfId="1" text="Not Met">
      <formula>NOT(ISERROR(SEARCH("Not Met",J318)))</formula>
    </cfRule>
  </conditionalFormatting>
  <conditionalFormatting sqref="J325:K326">
    <cfRule type="containsText" priority="3092" operator="containsText" dxfId="0" text="Met">
      <formula>NOT(ISERROR(SEARCH("Met",J325)))</formula>
    </cfRule>
    <cfRule type="containsText" priority="3093" operator="containsText" dxfId="1" text="Not Met">
      <formula>NOT(ISERROR(SEARCH("Not Met",J325)))</formula>
    </cfRule>
    <cfRule type="containsText" priority="3094" operator="containsText" dxfId="0" text="Met">
      <formula>NOT(ISERROR(SEARCH("Met",J325)))</formula>
    </cfRule>
  </conditionalFormatting>
  <conditionalFormatting sqref="J328:K328">
    <cfRule type="containsText" priority="3096" operator="containsText" dxfId="1" text="Not Met">
      <formula>NOT(ISERROR(SEARCH("Not Met",J328)))</formula>
    </cfRule>
  </conditionalFormatting>
  <conditionalFormatting sqref="J328:K336">
    <cfRule type="containsText" priority="3037" operator="containsText" dxfId="0" text="Met">
      <formula>NOT(ISERROR(SEARCH("Met",J328)))</formula>
    </cfRule>
  </conditionalFormatting>
  <conditionalFormatting sqref="J344:K351">
    <cfRule type="containsText" priority="3011" operator="containsText" dxfId="0" text="Met">
      <formula>NOT(ISERROR(SEARCH("Met",J344)))</formula>
    </cfRule>
  </conditionalFormatting>
  <conditionalFormatting sqref="J344:K359">
    <cfRule type="containsText" priority="3010" operator="containsText" dxfId="1" text="Not Met">
      <formula>NOT(ISERROR(SEARCH("Not Met",J344)))</formula>
    </cfRule>
  </conditionalFormatting>
  <conditionalFormatting sqref="J12:L15 J20:K33 J250:Q256 J271:L286 M271:M273">
    <cfRule type="containsText" priority="3056" operator="containsText" dxfId="0" text="Met">
      <formula>NOT(ISERROR(SEARCH("Met",J12)))</formula>
    </cfRule>
    <cfRule type="containsText" priority="3055" operator="containsText" dxfId="1" text="Not Met">
      <formula>NOT(ISERROR(SEARCH("Not Met",J12)))</formula>
    </cfRule>
  </conditionalFormatting>
  <conditionalFormatting sqref="J42:L48 J352:K359 J361:L366">
    <cfRule type="containsText" priority="3121" operator="containsText" dxfId="0" text="Met">
      <formula>NOT(ISERROR(SEARCH("Met",J42)))</formula>
    </cfRule>
    <cfRule type="containsText" priority="3120" operator="containsText" dxfId="1" text="Not Met">
      <formula>NOT(ISERROR(SEARCH("Not Met",J42)))</formula>
    </cfRule>
  </conditionalFormatting>
  <conditionalFormatting sqref="J42:L48">
    <cfRule type="containsText" priority="3103" operator="containsText" dxfId="1" text="Not Met">
      <formula>NOT(ISERROR(SEARCH("Not Met",J42)))</formula>
    </cfRule>
    <cfRule type="containsText" priority="3104" operator="containsText" dxfId="0" text="Met">
      <formula>NOT(ISERROR(SEARCH("Met",J42)))</formula>
    </cfRule>
  </conditionalFormatting>
  <conditionalFormatting sqref="J60:L61">
    <cfRule type="containsText" priority="3098" operator="containsText" dxfId="1" text="Not Met">
      <formula>NOT(ISERROR(SEARCH("Not Met",J60)))</formula>
    </cfRule>
    <cfRule type="containsText" priority="3099" operator="containsText" dxfId="0" text="Met">
      <formula>NOT(ISERROR(SEARCH("Met",J60)))</formula>
    </cfRule>
  </conditionalFormatting>
  <conditionalFormatting sqref="J70:L71">
    <cfRule type="containsText" priority="2957" operator="containsText" dxfId="1" text="Not Met">
      <formula>NOT(ISERROR(SEARCH("Not Met",J70)))</formula>
    </cfRule>
    <cfRule type="containsText" priority="2958" operator="containsText" dxfId="0" text="Met">
      <formula>NOT(ISERROR(SEARCH("Met",J70)))</formula>
    </cfRule>
  </conditionalFormatting>
  <conditionalFormatting sqref="J111:L118 J352:K359 J360:L366">
    <cfRule type="containsText" priority="3117" operator="containsText" dxfId="0" text="Met">
      <formula>NOT(ISERROR(SEARCH("Met",J111)))</formula>
    </cfRule>
    <cfRule type="containsText" priority="3116" operator="containsText" dxfId="1" text="Not Met">
      <formula>NOT(ISERROR(SEARCH("Not Met",J111)))</formula>
    </cfRule>
  </conditionalFormatting>
  <conditionalFormatting sqref="J169:L174">
    <cfRule type="containsText" priority="2959" operator="containsText" dxfId="1" text="Not Met">
      <formula>NOT(ISERROR(SEARCH("Not Met",J169)))</formula>
    </cfRule>
  </conditionalFormatting>
  <conditionalFormatting sqref="J196:L205">
    <cfRule type="containsText" priority="2919" operator="containsText" dxfId="1" text="Not Met">
      <formula>NOT(ISERROR(SEARCH("Not Met",J196)))</formula>
    </cfRule>
    <cfRule type="containsText" priority="2920" operator="containsText" dxfId="0" text="Met">
      <formula>NOT(ISERROR(SEARCH("Met",J196)))</formula>
    </cfRule>
  </conditionalFormatting>
  <conditionalFormatting sqref="J294:L300">
    <cfRule type="containsText" priority="3008" operator="containsText" dxfId="1" text="Not Met">
      <formula>NOT(ISERROR(SEARCH("Not Met",J294)))</formula>
    </cfRule>
    <cfRule type="containsText" priority="3009" operator="containsText" dxfId="0" text="Met">
      <formula>NOT(ISERROR(SEARCH("Met",J294)))</formula>
    </cfRule>
  </conditionalFormatting>
  <conditionalFormatting sqref="J318:L318">
    <cfRule type="containsText" priority="2986" operator="containsText" dxfId="0" text="Met">
      <formula>NOT(ISERROR(SEARCH("Met",J318)))</formula>
    </cfRule>
    <cfRule type="containsText" priority="2985" operator="containsText" dxfId="1" text="Not Met">
      <formula>NOT(ISERROR(SEARCH("Not Met",J318)))</formula>
    </cfRule>
  </conditionalFormatting>
  <conditionalFormatting sqref="J325:L326">
    <cfRule type="containsText" priority="2991" operator="containsText" dxfId="1" text="Not Met">
      <formula>NOT(ISERROR(SEARCH("Not Met",J325)))</formula>
    </cfRule>
  </conditionalFormatting>
  <conditionalFormatting sqref="J328:L328">
    <cfRule type="containsText" priority="2981" operator="containsText" dxfId="1" text="Not Met">
      <formula>NOT(ISERROR(SEARCH("Not Met",J328)))</formula>
    </cfRule>
  </conditionalFormatting>
  <conditionalFormatting sqref="J360:L360">
    <cfRule type="containsText" priority="3112" operator="containsText" dxfId="0" text="Met">
      <formula>NOT(ISERROR(SEARCH("Met",J360)))</formula>
    </cfRule>
  </conditionalFormatting>
  <conditionalFormatting sqref="J361:L366">
    <cfRule type="containsText" priority="3119" operator="containsText" dxfId="0" text="Met">
      <formula>NOT(ISERROR(SEARCH("Met",J361)))</formula>
    </cfRule>
    <cfRule type="containsText" priority="3118" operator="containsText" dxfId="1" text="Not Met">
      <formula>NOT(ISERROR(SEARCH("Not Met",J361)))</formula>
    </cfRule>
  </conditionalFormatting>
  <conditionalFormatting sqref="J367:L377">
    <cfRule type="containsText" priority="2955" operator="containsText" dxfId="1" text="Not Met">
      <formula>NOT(ISERROR(SEARCH("Not Met",J367)))</formula>
    </cfRule>
  </conditionalFormatting>
  <conditionalFormatting sqref="J309:M316">
    <cfRule type="containsText" priority="2776" operator="containsText" dxfId="1" text="Not Met">
      <formula>NOT(ISERROR(SEARCH("Not Met",J309)))</formula>
    </cfRule>
    <cfRule type="containsText" priority="2777" operator="containsText" dxfId="0" text="Met">
      <formula>NOT(ISERROR(SEARCH("Met",J309)))</formula>
    </cfRule>
  </conditionalFormatting>
  <conditionalFormatting sqref="J318:M318">
    <cfRule type="containsText" priority="2987" operator="containsText" dxfId="1" text="Not Met">
      <formula>NOT(ISERROR(SEARCH("Not Met",J318)))</formula>
    </cfRule>
  </conditionalFormatting>
  <conditionalFormatting sqref="J34:N41 J111:N118 M161:N168 M331 M360:N366 M456:M457 P111:P118">
    <cfRule type="containsText" priority="3023" operator="containsText" dxfId="0" text="Met">
      <formula>NOT(ISERROR(SEARCH("Met",J34)))</formula>
    </cfRule>
  </conditionalFormatting>
  <conditionalFormatting sqref="J360:N366">
    <cfRule type="containsText" priority="3100" operator="containsText" dxfId="1" text="Not Met">
      <formula>NOT(ISERROR(SEARCH("Not Met",J360)))</formula>
    </cfRule>
  </conditionalFormatting>
  <conditionalFormatting sqref="J324:O324">
    <cfRule type="containsText" priority="2910" operator="containsText" dxfId="1" text="Not Met">
      <formula>NOT(ISERROR(SEARCH("Not Met",J324)))</formula>
    </cfRule>
  </conditionalFormatting>
  <conditionalFormatting sqref="J327:S327">
    <cfRule type="containsText" priority="2628" operator="containsText" dxfId="1" text="Not Met">
      <formula>NOT(ISERROR(SEARCH("Not Met",J327)))</formula>
    </cfRule>
  </conditionalFormatting>
  <conditionalFormatting sqref="J458:Y485">
    <cfRule type="containsText" priority="1812" operator="containsText" dxfId="1" text="Not Met">
      <formula>NOT(ISERROR(SEARCH("Not Met",J458)))</formula>
    </cfRule>
    <cfRule type="containsText" priority="1813" operator="containsText" dxfId="0" text="Met">
      <formula>NOT(ISERROR(SEARCH("Met",J458)))</formula>
    </cfRule>
  </conditionalFormatting>
  <conditionalFormatting sqref="J486:AA493">
    <cfRule type="containsText" priority="1447" operator="containsText" dxfId="1" text="Not Met">
      <formula>NOT(ISERROR(SEARCH("Not Met",J486)))</formula>
    </cfRule>
    <cfRule type="containsText" priority="1448" operator="containsText" dxfId="0" text="Met">
      <formula>NOT(ISERROR(SEARCH("Met",J486)))</formula>
    </cfRule>
  </conditionalFormatting>
  <conditionalFormatting sqref="K2:K4 K6:K7 K8:L10 K49:K50 K52:K53 M2:M4 M6 M427 O2:O4 O6 O368 O383 O418 Q2:Q4 Q6 Q243:T243 Q245:S246 Q248:S248 Q329 Q368 Q383 Q397:Q402 S2:S4 S6 S49:S50 S52:S53 S390 S397:S401 S404 T244:T249 U2:U4 U49:U50 U52:U53 W2:W4 W6:W10 W49:W50 W52:W53 W122:W124 W382:W383 W424:W425 Y2:Y4 Y6:Y10 Y49:Y50 Y200:Y201 AA329:AA330">
    <cfRule type="containsText" priority="3123" operator="containsText" dxfId="0" text="Met">
      <formula>NOT(ISERROR(SEARCH("Met",K2)))</formula>
    </cfRule>
  </conditionalFormatting>
  <conditionalFormatting sqref="K352:K359">
    <cfRule type="containsText" priority="3067" operator="containsText" dxfId="0" text="Met">
      <formula>NOT(ISERROR(SEARCH("Met",K352)))</formula>
    </cfRule>
  </conditionalFormatting>
  <conditionalFormatting sqref="K367:K395">
    <cfRule type="containsText" priority="3014" operator="containsText" dxfId="0" text="Met">
      <formula>NOT(ISERROR(SEARCH("Met",K367)))</formula>
    </cfRule>
  </conditionalFormatting>
  <conditionalFormatting sqref="K378:K395">
    <cfRule type="containsText" priority="3012" operator="containsText" dxfId="1" text="Not Met">
      <formula>NOT(ISERROR(SEARCH("Not Met",K378)))</formula>
    </cfRule>
  </conditionalFormatting>
  <conditionalFormatting sqref="K397:K409">
    <cfRule type="containsText" priority="3018" operator="containsText" dxfId="0" text="Met">
      <formula>NOT(ISERROR(SEARCH("Met",K397)))</formula>
    </cfRule>
    <cfRule type="containsText" priority="3017" operator="containsText" dxfId="1" text="Not Met">
      <formula>NOT(ISERROR(SEARCH("Not Met",K397)))</formula>
    </cfRule>
  </conditionalFormatting>
  <conditionalFormatting sqref="K427:K440">
    <cfRule type="containsText" priority="3063" operator="containsText" dxfId="1" text="Not Met">
      <formula>NOT(ISERROR(SEARCH("Not Met",K427)))</formula>
    </cfRule>
    <cfRule type="containsText" priority="3064" operator="containsText" dxfId="0" text="Met">
      <formula>NOT(ISERROR(SEARCH("Met",K427)))</formula>
    </cfRule>
  </conditionalFormatting>
  <conditionalFormatting sqref="K435:K440">
    <cfRule type="containsText" priority="3062" operator="containsText" dxfId="0" text="Met">
      <formula>NOT(ISERROR(SEARCH("Met",K435)))</formula>
    </cfRule>
    <cfRule type="containsText" priority="3061" operator="containsText" dxfId="1" text="Not Met">
      <formula>NOT(ISERROR(SEARCH("Not Met",K435)))</formula>
    </cfRule>
  </conditionalFormatting>
  <conditionalFormatting sqref="K2:K4 K6:K7 K8:L10 K49:K50 K52:K53 M2:M4 M6 M427 O2:O4 O6 O368 O383 O418 Q2:Q4 Q6 Q245:S246 Q368 Q383 Q397:Q402 S2:S4 S6 S49:S50 S52:S53 S390 S397:S401 S404 U2:U4 U49:U50 U52:U53 W2:W4 W6:W10 W49:W50 W52:W53 W382:W383 W424:W425 Y2:Y4 Y6:Y10 Y49:Y50">
    <cfRule type="containsText" priority="3122" operator="containsText" dxfId="1" text="Not Met">
      <formula>NOT(ISERROR(SEARCH("Not Met",K2)))</formula>
    </cfRule>
  </conditionalFormatting>
  <conditionalFormatting sqref="K78:L103">
    <cfRule type="containsText" priority="2914" operator="containsText" dxfId="1" text="Not Met">
      <formula>NOT(ISERROR(SEARCH("Not Met",K78)))</formula>
    </cfRule>
    <cfRule type="containsText" priority="2915" operator="containsText" dxfId="0" text="Met">
      <formula>NOT(ISERROR(SEARCH("Met",K78)))</formula>
    </cfRule>
  </conditionalFormatting>
  <conditionalFormatting sqref="J111:N118 K34:N41 M52:M61 M62:N68 M69 M72:M77 M161:N168 M275:M278 M301 M330:M335 M345:M346 M350 M435:M440 M450:M457 O71:O77 O435:O440 P34:P41 P62:P68 P111:P118 P161:P168 Q435:Q440">
    <cfRule type="containsText" priority="3101" operator="containsText" dxfId="1" text="Not Met">
      <formula>NOT(ISERROR(SEARCH("Not Met",J34)))</formula>
    </cfRule>
  </conditionalFormatting>
  <conditionalFormatting sqref="J111:N118 J161:N168 J360:N366 K34:N41 M52:M61 M62:N68 M69 M72:M77 M275:M278 M301 M330:M335 M345:M346 M350 M435:M440 M450:M457 O71:O77 O435:O440 P34:P41 P62:P68 P111:P118 P161:P168 Q435:Q440">
    <cfRule type="containsText" priority="3102" operator="containsText" dxfId="0" text="Met">
      <formula>NOT(ISERROR(SEARCH("Met",J34)))</formula>
    </cfRule>
  </conditionalFormatting>
  <conditionalFormatting sqref="J34:N41 J161:N168 J360:N366 K111:N118 M331 P111:P118">
    <cfRule type="containsText" priority="3022" operator="containsText" dxfId="1" text="Not Met">
      <formula>NOT(ISERROR(SEARCH("Not Met",J34)))</formula>
    </cfRule>
  </conditionalFormatting>
  <conditionalFormatting sqref="K180:N180 P180">
    <cfRule type="containsText" priority="2829" operator="containsText" dxfId="0" text="Met">
      <formula>NOT(ISERROR(SEARCH("Met",K180)))</formula>
    </cfRule>
    <cfRule type="containsText" priority="2828" operator="containsText" dxfId="1" text="Not Met">
      <formula>NOT(ISERROR(SEARCH("Not Met",K180)))</formula>
    </cfRule>
  </conditionalFormatting>
  <conditionalFormatting sqref="L2:L5">
    <cfRule type="containsText" priority="2976" operator="containsText" dxfId="0" text="Met">
      <formula>NOT(ISERROR(SEARCH("Met",L2)))</formula>
    </cfRule>
    <cfRule type="containsText" priority="2975" operator="containsText" dxfId="1" text="Not Met">
      <formula>NOT(ISERROR(SEARCH("Not Met",L2)))</formula>
    </cfRule>
  </conditionalFormatting>
  <conditionalFormatting sqref="L5:L6">
    <cfRule type="containsText" priority="2978" operator="containsText" dxfId="0" text="Met">
      <formula>NOT(ISERROR(SEARCH("Met",L5)))</formula>
    </cfRule>
    <cfRule type="containsText" priority="2977" operator="containsText" dxfId="1" text="Not Met">
      <formula>NOT(ISERROR(SEARCH("Not Met",L5)))</formula>
    </cfRule>
  </conditionalFormatting>
  <conditionalFormatting sqref="L7:L19">
    <cfRule type="containsText" priority="2964" operator="containsText" dxfId="0" text="Met">
      <formula>NOT(ISERROR(SEARCH("Met",L7)))</formula>
    </cfRule>
    <cfRule type="containsText" priority="2963" operator="containsText" dxfId="1" text="Not Met">
      <formula>NOT(ISERROR(SEARCH("Not Met",L7)))</formula>
    </cfRule>
  </conditionalFormatting>
  <conditionalFormatting sqref="L49:L53">
    <cfRule type="containsText" priority="2972" operator="containsText" dxfId="0" text="Met">
      <formula>NOT(ISERROR(SEARCH("Met",L49)))</formula>
    </cfRule>
    <cfRule type="containsText" priority="2971" operator="containsText" dxfId="1" text="Not Met">
      <formula>NOT(ISERROR(SEARCH("Not Met",L49)))</formula>
    </cfRule>
  </conditionalFormatting>
  <conditionalFormatting sqref="L51">
    <cfRule type="containsText" priority="2974" operator="containsText" dxfId="0" text="Met">
      <formula>NOT(ISERROR(SEARCH("Met",L51)))</formula>
    </cfRule>
    <cfRule type="containsText" priority="2973" operator="containsText" dxfId="1" text="Not Met">
      <formula>NOT(ISERROR(SEARCH("Not Met",L51)))</formula>
    </cfRule>
  </conditionalFormatting>
  <conditionalFormatting sqref="L104:L110">
    <cfRule type="containsText" priority="3006" operator="containsText" dxfId="1" text="Not Met">
      <formula>NOT(ISERROR(SEARCH("Not Met",L104)))</formula>
    </cfRule>
    <cfRule type="containsText" priority="3007" operator="containsText" dxfId="0" text="Met">
      <formula>NOT(ISERROR(SEARCH("Met",L104)))</formula>
    </cfRule>
  </conditionalFormatting>
  <conditionalFormatting sqref="L127">
    <cfRule type="containsText" priority="2944" operator="containsText" dxfId="0" text="Met">
      <formula>NOT(ISERROR(SEARCH("Met",L127)))</formula>
    </cfRule>
    <cfRule type="containsText" priority="2943" operator="containsText" dxfId="1" text="Not Met">
      <formula>NOT(ISERROR(SEARCH("Not Met",L127)))</formula>
    </cfRule>
  </conditionalFormatting>
  <conditionalFormatting sqref="L132:L138">
    <cfRule type="containsText" priority="2941" operator="containsText" dxfId="1" text="Not Met">
      <formula>NOT(ISERROR(SEARCH("Not Met",L132)))</formula>
    </cfRule>
  </conditionalFormatting>
  <conditionalFormatting sqref="L132:L140">
    <cfRule type="containsText" priority="2942" operator="containsText" dxfId="0" text="Met">
      <formula>NOT(ISERROR(SEARCH("Met",L132)))</formula>
    </cfRule>
  </conditionalFormatting>
  <conditionalFormatting sqref="L139:L140">
    <cfRule type="containsText" priority="2949" operator="containsText" dxfId="1" text="Not Met">
      <formula>NOT(ISERROR(SEARCH("Not Met",L139)))</formula>
    </cfRule>
  </conditionalFormatting>
  <conditionalFormatting sqref="L142:L160">
    <cfRule type="containsText" priority="2947" operator="containsText" dxfId="1" text="Not Met">
      <formula>NOT(ISERROR(SEARCH("Not Met",L142)))</formula>
    </cfRule>
    <cfRule type="containsText" priority="2948" operator="containsText" dxfId="0" text="Met">
      <formula>NOT(ISERROR(SEARCH("Met",L142)))</formula>
    </cfRule>
  </conditionalFormatting>
  <conditionalFormatting sqref="L169:L174">
    <cfRule type="containsText" priority="2960" operator="containsText" dxfId="0" text="Met">
      <formula>NOT(ISERROR(SEARCH("Met",L169)))</formula>
    </cfRule>
  </conditionalFormatting>
  <conditionalFormatting sqref="L175:L184">
    <cfRule type="containsText" priority="2952" operator="containsText" dxfId="1" text="Not Met">
      <formula>NOT(ISERROR(SEARCH("Not Met",L175)))</formula>
    </cfRule>
    <cfRule type="containsText" priority="2953" operator="containsText" dxfId="0" text="Met">
      <formula>NOT(ISERROR(SEARCH("Met",L175)))</formula>
    </cfRule>
  </conditionalFormatting>
  <conditionalFormatting sqref="L187">
    <cfRule type="containsText" priority="2946" operator="containsText" dxfId="0" text="Met">
      <formula>NOT(ISERROR(SEARCH("Met",L187)))</formula>
    </cfRule>
    <cfRule type="containsText" priority="2945" operator="containsText" dxfId="1" text="Not Met">
      <formula>NOT(ISERROR(SEARCH("Not Met",L187)))</formula>
    </cfRule>
  </conditionalFormatting>
  <conditionalFormatting sqref="L190:L205">
    <cfRule type="containsText" priority="2922" operator="containsText" dxfId="0" text="Met">
      <formula>NOT(ISERROR(SEARCH("Met",L190)))</formula>
    </cfRule>
    <cfRule type="containsText" priority="2921" operator="containsText" dxfId="1" text="Not Met">
      <formula>NOT(ISERROR(SEARCH("Not Met",L190)))</formula>
    </cfRule>
  </conditionalFormatting>
  <conditionalFormatting sqref="L196:L205">
    <cfRule type="containsText" priority="2916" operator="containsText" dxfId="0" text="Met">
      <formula>NOT(ISERROR(SEARCH("Met",L196)))</formula>
    </cfRule>
    <cfRule type="containsText" priority="2918" operator="containsText" dxfId="0" text="Met">
      <formula>NOT(ISERROR(SEARCH("Met",L196)))</formula>
    </cfRule>
    <cfRule type="containsText" priority="2917" operator="containsText" dxfId="1" text="Not Met">
      <formula>NOT(ISERROR(SEARCH("Not Met",L196)))</formula>
    </cfRule>
  </conditionalFormatting>
  <conditionalFormatting sqref="L226:L242 L287:L293">
    <cfRule type="containsText" priority="3005" operator="containsText" dxfId="0" text="Met">
      <formula>NOT(ISERROR(SEARCH("Met",L226)))</formula>
    </cfRule>
    <cfRule type="containsText" priority="3004" operator="containsText" dxfId="1" text="Not Met">
      <formula>NOT(ISERROR(SEARCH("Not Met",L226)))</formula>
    </cfRule>
  </conditionalFormatting>
  <conditionalFormatting sqref="L257:L270">
    <cfRule type="containsText" priority="2962" operator="containsText" dxfId="0" text="Met">
      <formula>NOT(ISERROR(SEARCH("Met",L257)))</formula>
    </cfRule>
    <cfRule type="containsText" priority="2961" operator="containsText" dxfId="1" text="Not Met">
      <formula>NOT(ISERROR(SEARCH("Not Met",L257)))</formula>
    </cfRule>
  </conditionalFormatting>
  <conditionalFormatting sqref="L302:L308">
    <cfRule type="containsText" priority="2951" operator="containsText" dxfId="0" text="Met">
      <formula>NOT(ISERROR(SEARCH("Met",L302)))</formula>
    </cfRule>
    <cfRule type="containsText" priority="2950" operator="containsText" dxfId="1" text="Not Met">
      <formula>NOT(ISERROR(SEARCH("Not Met",L302)))</formula>
    </cfRule>
  </conditionalFormatting>
  <conditionalFormatting sqref="L319:L323">
    <cfRule type="containsText" priority="2983" operator="containsText" dxfId="1" text="Not Met">
      <formula>NOT(ISERROR(SEARCH("Not Met",L319)))</formula>
    </cfRule>
    <cfRule type="containsText" priority="2984" operator="containsText" dxfId="0" text="Met">
      <formula>NOT(ISERROR(SEARCH("Met",L319)))</formula>
    </cfRule>
  </conditionalFormatting>
  <conditionalFormatting sqref="L325:L326">
    <cfRule type="containsText" priority="2990" operator="containsText" dxfId="0" text="Met">
      <formula>NOT(ISERROR(SEARCH("Met",L325)))</formula>
    </cfRule>
    <cfRule type="containsText" priority="2989" operator="containsText" dxfId="1" text="Not Met">
      <formula>NOT(ISERROR(SEARCH("Not Met",L325)))</formula>
    </cfRule>
  </conditionalFormatting>
  <conditionalFormatting sqref="L325:L327">
    <cfRule type="containsText" priority="2992" operator="containsText" dxfId="0" text="Met">
      <formula>NOT(ISERROR(SEARCH("Met",L325)))</formula>
    </cfRule>
  </conditionalFormatting>
  <conditionalFormatting sqref="L328">
    <cfRule type="containsText" priority="2982" operator="containsText" dxfId="0" text="Met">
      <formula>NOT(ISERROR(SEARCH("Met",L328)))</formula>
    </cfRule>
    <cfRule type="containsText" priority="2980" operator="containsText" dxfId="0" text="Met">
      <formula>NOT(ISERROR(SEARCH("Met",L328)))</formula>
    </cfRule>
    <cfRule type="containsText" priority="2979" operator="containsText" dxfId="1" text="Not Met">
      <formula>NOT(ISERROR(SEARCH("Not Met",L328)))</formula>
    </cfRule>
  </conditionalFormatting>
  <conditionalFormatting sqref="L352:L357 L358:M358">
    <cfRule type="containsText" priority="3002" operator="containsText" dxfId="1" text="Not Met">
      <formula>NOT(ISERROR(SEARCH("Not Met",L352)))</formula>
    </cfRule>
    <cfRule type="containsText" priority="3003" operator="containsText" dxfId="0" text="Met">
      <formula>NOT(ISERROR(SEARCH("Met",L352)))</formula>
    </cfRule>
    <cfRule type="containsText" priority="2999" operator="containsText" dxfId="1" text="Not Met">
      <formula>NOT(ISERROR(SEARCH("Not Met",L352)))</formula>
    </cfRule>
  </conditionalFormatting>
  <conditionalFormatting sqref="L352:L357">
    <cfRule type="containsText" priority="3001" operator="containsText" dxfId="0" text="Met">
      <formula>NOT(ISERROR(SEARCH("Met",L352)))</formula>
    </cfRule>
  </conditionalFormatting>
  <conditionalFormatting sqref="L367:L377">
    <cfRule type="containsText" priority="2956" operator="containsText" dxfId="0" text="Met">
      <formula>NOT(ISERROR(SEARCH("Met",L367)))</formula>
    </cfRule>
  </conditionalFormatting>
  <conditionalFormatting sqref="L378:L391">
    <cfRule type="containsText" priority="2939" operator="containsText" dxfId="1" text="Not Met">
      <formula>NOT(ISERROR(SEARCH("Not Met",L378)))</formula>
    </cfRule>
    <cfRule type="containsText" priority="2940" operator="containsText" dxfId="0" text="Met">
      <formula>NOT(ISERROR(SEARCH("Met",L378)))</formula>
    </cfRule>
  </conditionalFormatting>
  <conditionalFormatting sqref="L395:L396">
    <cfRule type="containsText" priority="2938" operator="containsText" dxfId="0" text="Met">
      <formula>NOT(ISERROR(SEARCH("Met",L395)))</formula>
    </cfRule>
    <cfRule type="containsText" priority="2937" operator="containsText" dxfId="1" text="Not Met">
      <formula>NOT(ISERROR(SEARCH("Not Met",L395)))</formula>
    </cfRule>
  </conditionalFormatting>
  <conditionalFormatting sqref="L402:L403">
    <cfRule type="containsText" priority="2936" operator="containsText" dxfId="0" text="Met">
      <formula>NOT(ISERROR(SEARCH("Met",L402)))</formula>
    </cfRule>
    <cfRule type="containsText" priority="2935" operator="containsText" dxfId="1" text="Not Met">
      <formula>NOT(ISERROR(SEARCH("Not Met",L402)))</formula>
    </cfRule>
  </conditionalFormatting>
  <conditionalFormatting sqref="L405">
    <cfRule type="containsText" priority="2934" operator="containsText" dxfId="0" text="Met">
      <formula>NOT(ISERROR(SEARCH("Met",L405)))</formula>
    </cfRule>
    <cfRule type="containsText" priority="2933" operator="containsText" dxfId="1" text="Not Met">
      <formula>NOT(ISERROR(SEARCH("Not Met",L405)))</formula>
    </cfRule>
  </conditionalFormatting>
  <conditionalFormatting sqref="L409:L410">
    <cfRule type="containsText" priority="2932" operator="containsText" dxfId="0" text="Met">
      <formula>NOT(ISERROR(SEARCH("Met",L409)))</formula>
    </cfRule>
    <cfRule type="containsText" priority="2931" operator="containsText" dxfId="1" text="Not Met">
      <formula>NOT(ISERROR(SEARCH("Not Met",L409)))</formula>
    </cfRule>
  </conditionalFormatting>
  <conditionalFormatting sqref="L412">
    <cfRule type="containsText" priority="2930" operator="containsText" dxfId="0" text="Met">
      <formula>NOT(ISERROR(SEARCH("Met",L412)))</formula>
    </cfRule>
    <cfRule type="containsText" priority="2929" operator="containsText" dxfId="1" text="Not Met">
      <formula>NOT(ISERROR(SEARCH("Not Met",L412)))</formula>
    </cfRule>
  </conditionalFormatting>
  <conditionalFormatting sqref="L416">
    <cfRule type="containsText" priority="2928" operator="containsText" dxfId="0" text="Met">
      <formula>NOT(ISERROR(SEARCH("Met",L416)))</formula>
    </cfRule>
    <cfRule type="containsText" priority="2927" operator="containsText" dxfId="1" text="Not Met">
      <formula>NOT(ISERROR(SEARCH("Not Met",L416)))</formula>
    </cfRule>
  </conditionalFormatting>
  <conditionalFormatting sqref="L418">
    <cfRule type="containsText" priority="2926" operator="containsText" dxfId="0" text="Met">
      <formula>NOT(ISERROR(SEARCH("Met",L418)))</formula>
    </cfRule>
    <cfRule type="containsText" priority="2925" operator="containsText" dxfId="1" text="Not Met">
      <formula>NOT(ISERROR(SEARCH("Not Met",L418)))</formula>
    </cfRule>
  </conditionalFormatting>
  <conditionalFormatting sqref="L423:L426">
    <cfRule type="containsText" priority="2924" operator="containsText" dxfId="0" text="Met">
      <formula>NOT(ISERROR(SEARCH("Met",L423)))</formula>
    </cfRule>
    <cfRule type="containsText" priority="2923" operator="containsText" dxfId="1" text="Not Met">
      <formula>NOT(ISERROR(SEARCH("Not Met",L423)))</formula>
    </cfRule>
  </conditionalFormatting>
  <conditionalFormatting sqref="L423:L428">
    <cfRule type="containsText" priority="2998" operator="containsText" dxfId="0" text="Met">
      <formula>NOT(ISERROR(SEARCH("Met",L423)))</formula>
    </cfRule>
    <cfRule type="containsText" priority="2997" operator="containsText" dxfId="1" text="Not Met">
      <formula>NOT(ISERROR(SEARCH("Not Met",L423)))</formula>
    </cfRule>
  </conditionalFormatting>
  <conditionalFormatting sqref="L430">
    <cfRule type="containsText" priority="2996" operator="containsText" dxfId="0" text="Met">
      <formula>NOT(ISERROR(SEARCH("Met",L430)))</formula>
    </cfRule>
    <cfRule type="containsText" priority="2995" operator="containsText" dxfId="1" text="Not Met">
      <formula>NOT(ISERROR(SEARCH("Not Met",L430)))</formula>
    </cfRule>
  </conditionalFormatting>
  <conditionalFormatting sqref="L432">
    <cfRule type="containsText" priority="2994" operator="containsText" dxfId="0" text="Met">
      <formula>NOT(ISERROR(SEARCH("Met",L432)))</formula>
    </cfRule>
    <cfRule type="containsText" priority="2993" operator="containsText" dxfId="1" text="Not Met">
      <formula>NOT(ISERROR(SEARCH("Not Met",L432)))</formula>
    </cfRule>
  </conditionalFormatting>
  <conditionalFormatting sqref="K243:P249 K250:Q256 L21:M25 L27:M33 M42:M50 M54:M61 M62:N68 M69:M70 M72:M103 M119:M148 M169:M205 M273:M279 M294:M301 M319:M322 M329 M336 M344 M346:M357 M429:M431 M433:M440 N21:N33 O21:O50 O52:O70 O72:O103 O111:O148 O161:Q168 O169:O205 O271:O279 O294:O301 O329:O336 O404:O408 O411:O415 O425 O427:O440 Q21:Q50 Q52:Q77">
    <cfRule type="containsText" priority="2970" operator="containsText" dxfId="0" text="Met">
      <formula>NOT(ISERROR(SEARCH("Met",K21)))</formula>
    </cfRule>
  </conditionalFormatting>
  <conditionalFormatting sqref="K243:N243 K250:N256 L21:M25 L27:M33 M42:M50 M54:M61 M62:N68 M69:M70 M72:M103 M119:M148 M169:M205 M273:M279 M294:M301 M319:M322 M336 M344 M346:M357 M429:M431 M433:M440 N21:N33 O21:O50 O52:O70 O72:O103 O111:O148 O161:O205 O243:O256 O271:O279 O294:O301 O329:O336 O404:O408 O411:O415 O425 O427:O440 P243:T243 Q21:Q50 Q52:Q77 T244:T249">
    <cfRule type="containsText" priority="2969" operator="containsText" dxfId="1" text="Not Met">
      <formula>NOT(ISERROR(SEARCH("Not Met",K21)))</formula>
    </cfRule>
  </conditionalFormatting>
  <conditionalFormatting sqref="L33:M33">
    <cfRule type="containsText" priority="2968" operator="containsText" dxfId="0" text="Met">
      <formula>NOT(ISERROR(SEARCH("Met",L33)))</formula>
    </cfRule>
    <cfRule type="containsText" priority="2967" operator="containsText" dxfId="1" text="Not Met">
      <formula>NOT(ISERROR(SEARCH("Not Met",L33)))</formula>
    </cfRule>
    <cfRule type="containsText" priority="2966" operator="containsText" dxfId="0" text="Met">
      <formula>NOT(ISERROR(SEARCH("Met",L33)))</formula>
    </cfRule>
    <cfRule type="containsText" priority="2965" operator="containsText" dxfId="1" text="Not Met">
      <formula>NOT(ISERROR(SEARCH("Not Met",L33)))</formula>
    </cfRule>
  </conditionalFormatting>
  <conditionalFormatting sqref="L318:M318">
    <cfRule type="containsText" priority="2988" operator="containsText" dxfId="0" text="Met">
      <formula>NOT(ISERROR(SEARCH("Met",L318)))</formula>
    </cfRule>
  </conditionalFormatting>
  <conditionalFormatting sqref="L358:M358">
    <cfRule type="containsText" priority="3000" operator="containsText" dxfId="0" text="Met">
      <formula>NOT(ISERROR(SEARCH("Met",L358)))</formula>
    </cfRule>
  </conditionalFormatting>
  <conditionalFormatting sqref="L324:O324">
    <cfRule type="containsText" priority="2911" operator="containsText" dxfId="0" text="Met">
      <formula>NOT(ISERROR(SEARCH("Met",L324)))</formula>
    </cfRule>
  </conditionalFormatting>
  <conditionalFormatting sqref="L20:AA20 P111:AA118 P250:Z256 R21:AA41 R54:U59 R60:S69 R71:S76 R163:Y168 R301:S301 R318:S318 R329:S333 R346:U346 R350:U350 R358:S358 R360:X366 R435:S440 R456:S457 U60:U65 U71:U73 U75:U76 U122:U125 U243:Z249 U300:U301 U317:U329 U331 U456:U457 W127:W148 W185:W205 W271:W279 W297:W301 W309:W329 W331 W344:W347 W350 W427:W436 W438:W449 W456:W457 Y52:Y77 Y119:Y137 Y138:Z138 Y139:Y148 Y185:Y198 Y271:AA279 Y297:Y301 Y309:Y336 Y344:Y360 Y361:AA366 Y367:Y434 Y441:AA449 Y450:Z455 Y456:AA457 Z54:AA69 Z72:AA77 Z139:Z140 Z161:AA162 Z169:AA176 Z309:AA316 Z331:AA333 Z346:AA346 Z350:AA350 Z360:AA360">
    <cfRule type="containsText" priority="2646" operator="containsText" dxfId="1" text="Not Met">
      <formula>NOT(ISERROR(SEARCH("Not Met",L20)))</formula>
    </cfRule>
  </conditionalFormatting>
  <conditionalFormatting sqref="L20:AA20 R21:AA41 R54:U59 R60:S69 R71:S76 R111:AA118 R161:Y168 R250:Z256 R301:S301 R318:S318 R329:S333 R346:U346 R350:U350 R358:S358 R360:X366 R435:S440 R456:S457 U60:U65 U71:U73 U75:U76 U122:U125 U243:Z249 U300:U301 U317:U329 U331 U456:U457 W127:W148 W185:W205 W271:W279 W297:W301 W309:W329 W331 W344:W347 W350 W427:W436 W438:W449 W456:W457 Y52:Y77 Y119:Y137 Y138:Z138 Y139:Y148 Y185:Y198 Y271:AA279 Y297:Y301 Y309:Y336 Y344:Y434 Y441:AA449 Y450:Z455 Y456:AA457 Z54:AA69 Z72:AA77 Z139:Z140 Z161:AA162 Z169:AA176 Z309:AA316 Z331:AA333 Z346:AA346 Z350:AA350 Z360:AA366">
    <cfRule type="containsText" priority="2647" operator="containsText" dxfId="0" text="Met">
      <formula>NOT(ISERROR(SEARCH("Met",L20)))</formula>
    </cfRule>
  </conditionalFormatting>
  <conditionalFormatting sqref="M329:N329 P329:P332">
    <cfRule type="containsText" priority="2806" operator="containsText" dxfId="1" text="Not Met">
      <formula>NOT(ISERROR(SEARCH("Not Met",M329)))</formula>
    </cfRule>
  </conditionalFormatting>
  <conditionalFormatting sqref="M359:N359">
    <cfRule type="containsText" priority="2881" operator="containsText" dxfId="0" text="Met">
      <formula>NOT(ISERROR(SEARCH("Met",M359)))</formula>
    </cfRule>
    <cfRule type="containsText" priority="2880" operator="containsText" dxfId="1" text="Not Met">
      <formula>NOT(ISERROR(SEARCH("Not Met",M359)))</formula>
    </cfRule>
  </conditionalFormatting>
  <conditionalFormatting sqref="M368:N368 P368">
    <cfRule type="containsText" priority="2815" operator="containsText" dxfId="0" text="Met">
      <formula>NOT(ISERROR(SEARCH("Met",M368)))</formula>
    </cfRule>
  </conditionalFormatting>
  <conditionalFormatting sqref="M456:N457 P456:P457">
    <cfRule type="containsText" priority="2869" operator="containsText" dxfId="1" text="Not Met">
      <formula>NOT(ISERROR(SEARCH("Not Met",M456)))</formula>
    </cfRule>
  </conditionalFormatting>
  <conditionalFormatting sqref="M370:O380 M385:O387 M390:O390 M406:N408 M411:N411 M413:N415 M419:O422">
    <cfRule type="containsText" priority="2754" operator="containsText" dxfId="1" text="Not Met">
      <formula>NOT(ISERROR(SEARCH("Not Met",M370)))</formula>
    </cfRule>
    <cfRule type="containsText" priority="2755" operator="containsText" dxfId="0" text="Met">
      <formula>NOT(ISERROR(SEARCH("Met",M370)))</formula>
    </cfRule>
  </conditionalFormatting>
  <conditionalFormatting sqref="M392:O394 M397:O401 M404:N404">
    <cfRule type="containsText" priority="2756" operator="containsText" dxfId="1" text="Not Met">
      <formula>NOT(ISERROR(SEARCH("Not Met",M392)))</formula>
    </cfRule>
    <cfRule type="containsText" priority="2757" operator="containsText" dxfId="0" text="Met">
      <formula>NOT(ISERROR(SEARCH("Met",M392)))</formula>
    </cfRule>
  </conditionalFormatting>
  <conditionalFormatting sqref="M367:Q367 M369:Q369">
    <cfRule type="containsText" priority="2954" operator="containsText" dxfId="0" text="Met">
      <formula>NOT(ISERROR(SEARCH("Met",M367)))</formula>
    </cfRule>
  </conditionalFormatting>
  <conditionalFormatting sqref="M367:Q369">
    <cfRule type="containsText" priority="2814" operator="containsText" dxfId="1" text="Not Met">
      <formula>NOT(ISERROR(SEARCH("Not Met",M367)))</formula>
    </cfRule>
  </conditionalFormatting>
  <conditionalFormatting sqref="M327:S327">
    <cfRule type="containsText" priority="2629" operator="containsText" dxfId="0" text="Met">
      <formula>NOT(ISERROR(SEARCH("Met",M327)))</formula>
    </cfRule>
  </conditionalFormatting>
  <conditionalFormatting sqref="N2:N5">
    <cfRule type="containsText" priority="2848" operator="containsText" dxfId="1" text="Not Met">
      <formula>NOT(ISERROR(SEARCH("Not Met",N2)))</formula>
    </cfRule>
    <cfRule type="containsText" priority="2849" operator="containsText" dxfId="0" text="Met">
      <formula>NOT(ISERROR(SEARCH("Met",N2)))</formula>
    </cfRule>
  </conditionalFormatting>
  <conditionalFormatting sqref="N5:N19">
    <cfRule type="containsText" priority="2850" operator="containsText" dxfId="1" text="Not Met">
      <formula>NOT(ISERROR(SEARCH("Not Met",N5)))</formula>
    </cfRule>
    <cfRule type="containsText" priority="2851" operator="containsText" dxfId="0" text="Met">
      <formula>NOT(ISERROR(SEARCH("Met",N5)))</formula>
    </cfRule>
  </conditionalFormatting>
  <conditionalFormatting sqref="N42:N48">
    <cfRule type="containsText" priority="2785" operator="containsText" dxfId="0" text="Met">
      <formula>NOT(ISERROR(SEARCH("Met",N42)))</formula>
    </cfRule>
    <cfRule type="containsText" priority="2784" operator="containsText" dxfId="1" text="Not Met">
      <formula>NOT(ISERROR(SEARCH("Not Met",N42)))</formula>
    </cfRule>
  </conditionalFormatting>
  <conditionalFormatting sqref="N42:N53">
    <cfRule type="containsText" priority="2787" operator="containsText" dxfId="0" text="Met">
      <formula>NOT(ISERROR(SEARCH("Met",N42)))</formula>
    </cfRule>
    <cfRule type="containsText" priority="2786" operator="containsText" dxfId="1" text="Not Met">
      <formula>NOT(ISERROR(SEARCH("Not Met",N42)))</formula>
    </cfRule>
  </conditionalFormatting>
  <conditionalFormatting sqref="N51">
    <cfRule type="containsText" priority="2842" operator="containsText" dxfId="1" text="Not Met">
      <formula>NOT(ISERROR(SEARCH("Not Met",N51)))</formula>
    </cfRule>
    <cfRule type="containsText" priority="2843" operator="containsText" dxfId="0" text="Met">
      <formula>NOT(ISERROR(SEARCH("Met",N51)))</formula>
    </cfRule>
  </conditionalFormatting>
  <conditionalFormatting sqref="N60:N61">
    <cfRule type="containsText" priority="2812" operator="containsText" dxfId="1" text="Not Met">
      <formula>NOT(ISERROR(SEARCH("Not Met",N60)))</formula>
    </cfRule>
    <cfRule type="containsText" priority="2813" operator="containsText" dxfId="0" text="Met">
      <formula>NOT(ISERROR(SEARCH("Met",N60)))</formula>
    </cfRule>
  </conditionalFormatting>
  <conditionalFormatting sqref="N70 P70">
    <cfRule type="containsText" priority="2808" operator="containsText" dxfId="1" text="Not Met">
      <formula>NOT(ISERROR(SEARCH("Not Met",N70)))</formula>
    </cfRule>
    <cfRule type="containsText" priority="2809" operator="containsText" dxfId="0" text="Met">
      <formula>NOT(ISERROR(SEARCH("Met",N70)))</formula>
    </cfRule>
  </conditionalFormatting>
  <conditionalFormatting sqref="N86:N87">
    <cfRule type="containsText" priority="2832" operator="containsText" dxfId="488" text="Not met">
      <formula>NOT(ISERROR(SEARCH("Not met",N86)))</formula>
    </cfRule>
  </conditionalFormatting>
  <conditionalFormatting sqref="N89">
    <cfRule type="containsText" priority="2834" operator="containsText" dxfId="488" text="Not met">
      <formula>NOT(ISERROR(SEARCH("Not met",N89)))</formula>
    </cfRule>
  </conditionalFormatting>
  <conditionalFormatting sqref="N90:N120 P119:P120">
    <cfRule type="containsText" priority="2791" operator="containsText" dxfId="0" text="Met">
      <formula>NOT(ISERROR(SEARCH("Met",N90)))</formula>
    </cfRule>
    <cfRule type="containsText" priority="2790" operator="containsText" dxfId="1" text="Not Met">
      <formula>NOT(ISERROR(SEARCH("Not Met",N90)))</formula>
    </cfRule>
  </conditionalFormatting>
  <conditionalFormatting sqref="N111:N118">
    <cfRule type="containsText" priority="2878" operator="containsText" dxfId="1" text="Not Met">
      <formula>NOT(ISERROR(SEARCH("Not Met",N111)))</formula>
    </cfRule>
    <cfRule type="containsText" priority="2879" operator="containsText" dxfId="0" text="Met">
      <formula>NOT(ISERROR(SEARCH("Met",N111)))</formula>
    </cfRule>
  </conditionalFormatting>
  <conditionalFormatting sqref="N119:N127 P119:P127">
    <cfRule type="containsText" priority="2789" operator="containsText" dxfId="0" text="Met">
      <formula>NOT(ISERROR(SEARCH("Met",N119)))</formula>
    </cfRule>
    <cfRule type="containsText" priority="2788" operator="containsText" dxfId="1" text="Not Met">
      <formula>NOT(ISERROR(SEARCH("Not Met",N119)))</formula>
    </cfRule>
  </conditionalFormatting>
  <conditionalFormatting sqref="N132:N138">
    <cfRule type="containsText" priority="2856" operator="containsText" dxfId="1" text="Not Met">
      <formula>NOT(ISERROR(SEARCH("Not Met",N132)))</formula>
    </cfRule>
  </conditionalFormatting>
  <conditionalFormatting sqref="N132:N140">
    <cfRule type="containsText" priority="2857" operator="containsText" dxfId="0" text="Met">
      <formula>NOT(ISERROR(SEARCH("Met",N132)))</formula>
    </cfRule>
  </conditionalFormatting>
  <conditionalFormatting sqref="N139:N140">
    <cfRule type="containsText" priority="2865" operator="containsText" dxfId="1" text="Not Met">
      <formula>NOT(ISERROR(SEARCH("Not Met",N139)))</formula>
    </cfRule>
  </conditionalFormatting>
  <conditionalFormatting sqref="N142:N160 P142:P160">
    <cfRule type="containsText" priority="2800" operator="containsText" dxfId="1" text="Not Met">
      <formula>NOT(ISERROR(SEARCH("Not Met",N142)))</formula>
    </cfRule>
    <cfRule type="containsText" priority="2801" operator="containsText" dxfId="0" text="Met">
      <formula>NOT(ISERROR(SEARCH("Met",N142)))</formula>
    </cfRule>
  </conditionalFormatting>
  <conditionalFormatting sqref="N161:N168">
    <cfRule type="containsText" priority="2793" operator="containsText" dxfId="0" text="Met">
      <formula>NOT(ISERROR(SEARCH("Met",N161)))</formula>
    </cfRule>
  </conditionalFormatting>
  <conditionalFormatting sqref="N169:N184 P172:P184">
    <cfRule type="containsText" priority="2830" operator="containsText" dxfId="1" text="Not Met">
      <formula>NOT(ISERROR(SEARCH("Not Met",N169)))</formula>
    </cfRule>
    <cfRule type="containsText" priority="2831" operator="containsText" dxfId="0" text="Met">
      <formula>NOT(ISERROR(SEARCH("Met",N169)))</formula>
    </cfRule>
  </conditionalFormatting>
  <conditionalFormatting sqref="N187">
    <cfRule type="containsText" priority="2860" operator="containsText" dxfId="1" text="Not Met">
      <formula>NOT(ISERROR(SEARCH("Not Met",N187)))</formula>
    </cfRule>
    <cfRule type="containsText" priority="2861" operator="containsText" dxfId="0" text="Met">
      <formula>NOT(ISERROR(SEARCH("Met",N187)))</formula>
    </cfRule>
  </conditionalFormatting>
  <conditionalFormatting sqref="N190:N205 P190:P205">
    <cfRule type="containsText" priority="2853" operator="containsText" dxfId="0" text="Met">
      <formula>NOT(ISERROR(SEARCH("Met",N190)))</formula>
    </cfRule>
    <cfRule type="containsText" priority="2852" operator="containsText" dxfId="1" text="Not Met">
      <formula>NOT(ISERROR(SEARCH("Not Met",N190)))</formula>
    </cfRule>
  </conditionalFormatting>
  <conditionalFormatting sqref="N226:N242">
    <cfRule type="containsText" priority="2796" operator="containsText" dxfId="1" text="Not Met">
      <formula>NOT(ISERROR(SEARCH("Not Met",N226)))</formula>
    </cfRule>
    <cfRule type="containsText" priority="2797" operator="containsText" dxfId="0" text="Met">
      <formula>NOT(ISERROR(SEARCH("Met",N226)))</formula>
    </cfRule>
  </conditionalFormatting>
  <conditionalFormatting sqref="N257:N276">
    <cfRule type="containsText" priority="2767" operator="containsText" dxfId="0" text="Met">
      <formula>NOT(ISERROR(SEARCH("Met",N257)))</formula>
    </cfRule>
    <cfRule type="containsText" priority="2766" operator="containsText" dxfId="1" text="Not Met">
      <formula>NOT(ISERROR(SEARCH("Not Met",N257)))</formula>
    </cfRule>
  </conditionalFormatting>
  <conditionalFormatting sqref="N273:N278 P257:P300">
    <cfRule type="containsText" priority="2764" operator="containsText" dxfId="1" text="Not Met">
      <formula>NOT(ISERROR(SEARCH("Not Met",N257)))</formula>
    </cfRule>
    <cfRule type="containsText" priority="2765" operator="containsText" dxfId="0" text="Met">
      <formula>NOT(ISERROR(SEARCH("Met",N257)))</formula>
    </cfRule>
  </conditionalFormatting>
  <conditionalFormatting sqref="N275:N278">
    <cfRule type="containsText" priority="2768" operator="containsText" dxfId="1" text="Not Met">
      <formula>NOT(ISERROR(SEARCH("Not Met",N275)))</formula>
    </cfRule>
    <cfRule type="containsText" priority="2769" operator="containsText" dxfId="0" text="Met">
      <formula>NOT(ISERROR(SEARCH("Met",N275)))</formula>
    </cfRule>
  </conditionalFormatting>
  <conditionalFormatting sqref="N278:N300">
    <cfRule type="containsText" priority="2762" operator="containsText" dxfId="1" text="Not Met">
      <formula>NOT(ISERROR(SEARCH("Not Met",N278)))</formula>
    </cfRule>
    <cfRule type="containsText" priority="2763" operator="containsText" dxfId="0" text="Met">
      <formula>NOT(ISERROR(SEARCH("Met",N278)))</formula>
    </cfRule>
  </conditionalFormatting>
  <conditionalFormatting sqref="N279">
    <cfRule type="containsText" priority="2758" operator="containsText" dxfId="1" text="Not Met">
      <formula>NOT(ISERROR(SEARCH("Not Met",N279)))</formula>
    </cfRule>
    <cfRule type="containsText" priority="2760" operator="containsText" dxfId="1" text="Not Met">
      <formula>NOT(ISERROR(SEARCH("Not Met",N279)))</formula>
    </cfRule>
    <cfRule type="containsText" priority="2759" operator="containsText" dxfId="0" text="Met">
      <formula>NOT(ISERROR(SEARCH("Met",N279)))</formula>
    </cfRule>
    <cfRule type="containsText" priority="2761" operator="containsText" dxfId="0" text="Met">
      <formula>NOT(ISERROR(SEARCH("Met",N279)))</formula>
    </cfRule>
  </conditionalFormatting>
  <conditionalFormatting sqref="N302:N316">
    <cfRule type="containsText" priority="2774" operator="containsText" dxfId="0" text="Met">
      <formula>NOT(ISERROR(SEARCH("Met",N302)))</formula>
    </cfRule>
    <cfRule type="containsText" priority="2773" operator="containsText" dxfId="1" text="Not Met">
      <formula>NOT(ISERROR(SEARCH("Not Met",N302)))</formula>
    </cfRule>
  </conditionalFormatting>
  <conditionalFormatting sqref="N318 P318">
    <cfRule type="containsText" priority="2898" operator="containsText" dxfId="1" text="Not Met">
      <formula>NOT(ISERROR(SEARCH("Not Met",N318)))</formula>
    </cfRule>
  </conditionalFormatting>
  <conditionalFormatting sqref="N318 P318:Q318">
    <cfRule type="containsText" priority="2899" operator="containsText" dxfId="0" text="Met">
      <formula>NOT(ISERROR(SEARCH("Met",N318)))</formula>
    </cfRule>
  </conditionalFormatting>
  <conditionalFormatting sqref="N318:N323 O323:Q323">
    <cfRule type="containsText" priority="2896" operator="containsText" dxfId="1" text="Not Met">
      <formula>NOT(ISERROR(SEARCH("Not Met",N318)))</formula>
    </cfRule>
    <cfRule type="containsText" priority="2897" operator="containsText" dxfId="0" text="Met">
      <formula>NOT(ISERROR(SEARCH("Met",N318)))</formula>
    </cfRule>
  </conditionalFormatting>
  <conditionalFormatting sqref="N329 P329">
    <cfRule type="containsText" priority="2805" operator="containsText" dxfId="0" text="Met">
      <formula>NOT(ISERROR(SEARCH("Met",N329)))</formula>
    </cfRule>
  </conditionalFormatting>
  <conditionalFormatting sqref="N329:N332 N334:N336 P329:P332 P334:P336">
    <cfRule type="containsText" priority="2807" operator="containsText" dxfId="0" text="Met">
      <formula>NOT(ISERROR(SEARCH("Met",N329)))</formula>
    </cfRule>
  </conditionalFormatting>
  <conditionalFormatting sqref="N329:N332">
    <cfRule type="containsText" priority="2804" operator="containsText" dxfId="1" text="Not Met">
      <formula>NOT(ISERROR(SEARCH("Not Met",N329)))</formula>
    </cfRule>
  </conditionalFormatting>
  <conditionalFormatting sqref="N334:N336 P334:P336">
    <cfRule type="containsText" priority="2803" operator="containsText" dxfId="1" text="Not Met">
      <formula>NOT(ISERROR(SEARCH("Not Met",N334)))</formula>
    </cfRule>
  </conditionalFormatting>
  <conditionalFormatting sqref="N344:N351 O344:P366">
    <cfRule type="containsText" priority="2873" operator="containsText" dxfId="1" text="Not Met">
      <formula>NOT(ISERROR(SEARCH("Not Met",N344)))</formula>
    </cfRule>
    <cfRule type="containsText" priority="2874" operator="containsText" dxfId="0" text="Met">
      <formula>NOT(ISERROR(SEARCH("Met",N344)))</formula>
    </cfRule>
  </conditionalFormatting>
  <conditionalFormatting sqref="N344:N351 P344:P351">
    <cfRule type="containsText" priority="2872" operator="containsText" dxfId="0" text="Met">
      <formula>NOT(ISERROR(SEARCH("Met",N344)))</formula>
    </cfRule>
  </conditionalFormatting>
  <conditionalFormatting sqref="N344:N351">
    <cfRule type="containsText" priority="2871" operator="containsText" dxfId="1" text="Not Met">
      <formula>NOT(ISERROR(SEARCH("Not Met",N344)))</formula>
    </cfRule>
  </conditionalFormatting>
  <conditionalFormatting sqref="N352:N358 P352:P358">
    <cfRule type="containsText" priority="2884" operator="containsText" dxfId="1" text="Not Met">
      <formula>NOT(ISERROR(SEARCH("Not Met",N352)))</formula>
    </cfRule>
    <cfRule type="containsText" priority="2885" operator="containsText" dxfId="0" text="Met">
      <formula>NOT(ISERROR(SEARCH("Met",N352)))</formula>
    </cfRule>
  </conditionalFormatting>
  <conditionalFormatting sqref="N352:N359">
    <cfRule type="containsText" priority="2882" operator="containsText" dxfId="1" text="Not Met">
      <formula>NOT(ISERROR(SEARCH("Not Met",N352)))</formula>
    </cfRule>
    <cfRule type="containsText" priority="2883" operator="containsText" dxfId="0" text="Met">
      <formula>NOT(ISERROR(SEARCH("Met",N352)))</formula>
    </cfRule>
  </conditionalFormatting>
  <conditionalFormatting sqref="N360">
    <cfRule type="containsText" priority="2824" operator="containsText" dxfId="1" text="Not Met">
      <formula>NOT(ISERROR(SEARCH("Not Met",N360)))</formula>
    </cfRule>
    <cfRule type="containsText" priority="2825" operator="containsText" dxfId="0" text="Met">
      <formula>NOT(ISERROR(SEARCH("Met",N360)))</formula>
    </cfRule>
    <cfRule type="containsText" priority="2826" operator="containsText" dxfId="1" text="Not Met">
      <formula>NOT(ISERROR(SEARCH("Not Met",N360)))</formula>
    </cfRule>
    <cfRule type="containsText" priority="2827" operator="containsText" dxfId="0" text="Met">
      <formula>NOT(ISERROR(SEARCH("Met",N360)))</formula>
    </cfRule>
  </conditionalFormatting>
  <conditionalFormatting sqref="N360:N366 P360:P366">
    <cfRule type="containsText" priority="2817" operator="containsText" dxfId="0" text="Met">
      <formula>NOT(ISERROR(SEARCH("Met",N360)))</formula>
    </cfRule>
    <cfRule type="containsText" priority="2819" operator="containsText" dxfId="0" text="Met">
      <formula>NOT(ISERROR(SEARCH("Met",N360)))</formula>
    </cfRule>
    <cfRule type="containsText" priority="2816" operator="containsText" dxfId="1" text="Not Met">
      <formula>NOT(ISERROR(SEARCH("Not Met",N360)))</formula>
    </cfRule>
    <cfRule type="containsText" priority="2818" operator="containsText" dxfId="1" text="Not Met">
      <formula>NOT(ISERROR(SEARCH("Not Met",N360)))</formula>
    </cfRule>
  </conditionalFormatting>
  <conditionalFormatting sqref="N430">
    <cfRule type="containsText" priority="2888" operator="containsText" dxfId="1" text="Not Met">
      <formula>NOT(ISERROR(SEARCH("Not Met",N430)))</formula>
    </cfRule>
    <cfRule type="containsText" priority="2889" operator="containsText" dxfId="0" text="Met">
      <formula>NOT(ISERROR(SEARCH("Met",N430)))</formula>
    </cfRule>
  </conditionalFormatting>
  <conditionalFormatting sqref="N456:N457">
    <cfRule type="containsText" priority="2868" operator="containsText" dxfId="0" text="Met">
      <formula>NOT(ISERROR(SEARCH("Met",N456)))</formula>
    </cfRule>
  </conditionalFormatting>
  <conditionalFormatting sqref="N323:O323">
    <cfRule type="containsText" priority="2891" operator="containsText" dxfId="0" text="Met">
      <formula>NOT(ISERROR(SEARCH("Met",N323)))</formula>
    </cfRule>
    <cfRule type="containsText" priority="2890" operator="containsText" dxfId="1" text="Not Met">
      <formula>NOT(ISERROR(SEARCH("Not Met",N323)))</formula>
    </cfRule>
  </conditionalFormatting>
  <conditionalFormatting sqref="N328:O328 Q328">
    <cfRule type="containsText" priority="2905" operator="containsText" dxfId="0" text="Met">
      <formula>NOT(ISERROR(SEARCH("Met",N328)))</formula>
    </cfRule>
  </conditionalFormatting>
  <conditionalFormatting sqref="N328:O328 Q328:Q329">
    <cfRule type="containsText" priority="2906" operator="containsText" dxfId="1" text="Not Met">
      <formula>NOT(ISERROR(SEARCH("Not Met",N328)))</formula>
    </cfRule>
  </conditionalFormatting>
  <conditionalFormatting sqref="N450:O457 P456:P457">
    <cfRule type="containsText" priority="2870" operator="containsText" dxfId="0" text="Met">
      <formula>NOT(ISERROR(SEARCH("Met",N450)))</formula>
    </cfRule>
  </conditionalFormatting>
  <conditionalFormatting sqref="N325:Q326">
    <cfRule type="containsText" priority="2903" operator="containsText" dxfId="0" text="Met">
      <formula>NOT(ISERROR(SEARCH("Met",N325)))</formula>
    </cfRule>
    <cfRule type="containsText" priority="2902" operator="containsText" dxfId="1" text="Not Met">
      <formula>NOT(ISERROR(SEARCH("Not Met",N325)))</formula>
    </cfRule>
    <cfRule type="containsText" priority="2901" operator="containsText" dxfId="0" text="Met">
      <formula>NOT(ISERROR(SEARCH("Met",N325)))</formula>
    </cfRule>
    <cfRule type="containsText" priority="2900" operator="containsText" dxfId="1" text="Not Met">
      <formula>NOT(ISERROR(SEARCH("Not Met",N325)))</formula>
    </cfRule>
  </conditionalFormatting>
  <conditionalFormatting sqref="N328:Q328">
    <cfRule type="containsText" priority="2907" operator="containsText" dxfId="0" text="Met">
      <formula>NOT(ISERROR(SEARCH("Met",N328)))</formula>
    </cfRule>
    <cfRule type="containsText" priority="2895" operator="containsText" dxfId="0" text="Met">
      <formula>NOT(ISERROR(SEARCH("Met",N328)))</formula>
    </cfRule>
    <cfRule type="containsText" priority="2894" operator="containsText" dxfId="1" text="Not Met">
      <formula>NOT(ISERROR(SEARCH("Not Met",N328)))</formula>
    </cfRule>
    <cfRule type="containsText" priority="2904" operator="containsText" dxfId="1" text="Not Met">
      <formula>NOT(ISERROR(SEARCH("Not Met",N328)))</formula>
    </cfRule>
  </conditionalFormatting>
  <conditionalFormatting sqref="N450:Q457">
    <cfRule type="containsText" priority="2866" operator="containsText" dxfId="1" text="Not Met">
      <formula>NOT(ISERROR(SEARCH("Not Met",N450)))</formula>
    </cfRule>
  </conditionalFormatting>
  <conditionalFormatting sqref="O309:O316 O318:O323 Q323:Q324">
    <cfRule type="containsText" priority="2909" operator="containsText" dxfId="0" text="Met">
      <formula>NOT(ISERROR(SEARCH("Met",O309)))</formula>
    </cfRule>
    <cfRule type="containsText" priority="2908" operator="containsText" dxfId="1" text="Not Met">
      <formula>NOT(ISERROR(SEARCH("Not Met",O309)))</formula>
    </cfRule>
  </conditionalFormatting>
  <conditionalFormatting sqref="P2:P5">
    <cfRule type="containsText" priority="2844" operator="containsText" dxfId="1" text="Not Met">
      <formula>NOT(ISERROR(SEARCH("Not Met",P2)))</formula>
    </cfRule>
    <cfRule type="containsText" priority="2845" operator="containsText" dxfId="0" text="Met">
      <formula>NOT(ISERROR(SEARCH("Met",P2)))</formula>
    </cfRule>
  </conditionalFormatting>
  <conditionalFormatting sqref="P5:P19">
    <cfRule type="containsText" priority="2846" operator="containsText" dxfId="1" text="Not Met">
      <formula>NOT(ISERROR(SEARCH("Not Met",P5)))</formula>
    </cfRule>
    <cfRule type="containsText" priority="2847" operator="containsText" dxfId="0" text="Met">
      <formula>NOT(ISERROR(SEARCH("Met",P5)))</formula>
    </cfRule>
  </conditionalFormatting>
  <conditionalFormatting sqref="P21:P53">
    <cfRule type="containsText" priority="2783" operator="containsText" dxfId="0" text="Met">
      <formula>NOT(ISERROR(SEARCH("Met",P21)))</formula>
    </cfRule>
    <cfRule type="containsText" priority="2782" operator="containsText" dxfId="1" text="Not Met">
      <formula>NOT(ISERROR(SEARCH("Not Met",P21)))</formula>
    </cfRule>
  </conditionalFormatting>
  <conditionalFormatting sqref="P42:P48">
    <cfRule type="containsText" priority="2778" operator="containsText" dxfId="1" text="Not Met">
      <formula>NOT(ISERROR(SEARCH("Not Met",P42)))</formula>
    </cfRule>
    <cfRule type="containsText" priority="2779" operator="containsText" dxfId="0" text="Met">
      <formula>NOT(ISERROR(SEARCH("Met",P42)))</formula>
    </cfRule>
    <cfRule type="containsText" priority="2780" operator="containsText" dxfId="1" text="Not Met">
      <formula>NOT(ISERROR(SEARCH("Not Met",P42)))</formula>
    </cfRule>
    <cfRule type="containsText" priority="2781" operator="containsText" dxfId="0" text="Met">
      <formula>NOT(ISERROR(SEARCH("Met",P42)))</formula>
    </cfRule>
  </conditionalFormatting>
  <conditionalFormatting sqref="P51">
    <cfRule type="containsText" priority="2841" operator="containsText" dxfId="0" text="Met">
      <formula>NOT(ISERROR(SEARCH("Met",P51)))</formula>
    </cfRule>
    <cfRule type="containsText" priority="2840" operator="containsText" dxfId="1" text="Not Met">
      <formula>NOT(ISERROR(SEARCH("Not Met",P51)))</formula>
    </cfRule>
  </conditionalFormatting>
  <conditionalFormatting sqref="P60:P68">
    <cfRule type="containsText" priority="2811" operator="containsText" dxfId="0" text="Met">
      <formula>NOT(ISERROR(SEARCH("Met",P60)))</formula>
    </cfRule>
    <cfRule type="containsText" priority="2810" operator="containsText" dxfId="1" text="Not Met">
      <formula>NOT(ISERROR(SEARCH("Not Met",P60)))</formula>
    </cfRule>
  </conditionalFormatting>
  <conditionalFormatting sqref="P86:P87">
    <cfRule type="containsText" priority="2835" operator="containsText" dxfId="488" text="Not met">
      <formula>NOT(ISERROR(SEARCH("Not met",P86)))</formula>
    </cfRule>
  </conditionalFormatting>
  <conditionalFormatting sqref="P89">
    <cfRule type="containsText" priority="2833" operator="containsText" dxfId="488" text="Not met">
      <formula>NOT(ISERROR(SEARCH("Not met",P89)))</formula>
    </cfRule>
  </conditionalFormatting>
  <conditionalFormatting sqref="P90:P110">
    <cfRule type="containsText" priority="2798" operator="containsText" dxfId="1" text="Not Met">
      <formula>NOT(ISERROR(SEARCH("Not Met",P90)))</formula>
    </cfRule>
  </conditionalFormatting>
  <conditionalFormatting sqref="P90:P118">
    <cfRule type="containsText" priority="2799" operator="containsText" dxfId="0" text="Met">
      <formula>NOT(ISERROR(SEARCH("Met",P90)))</formula>
    </cfRule>
  </conditionalFormatting>
  <conditionalFormatting sqref="P111:P118">
    <cfRule type="containsText" priority="2876" operator="containsText" dxfId="1" text="Not Met">
      <formula>NOT(ISERROR(SEARCH("Not Met",P111)))</formula>
    </cfRule>
  </conditionalFormatting>
  <conditionalFormatting sqref="P132:P137">
    <cfRule type="containsText" priority="2855" operator="containsText" dxfId="0" text="Met">
      <formula>NOT(ISERROR(SEARCH("Met",P132)))</formula>
    </cfRule>
    <cfRule type="containsText" priority="2854" operator="containsText" dxfId="1" text="Not Met">
      <formula>NOT(ISERROR(SEARCH("Not Met",P132)))</formula>
    </cfRule>
  </conditionalFormatting>
  <conditionalFormatting sqref="P138">
    <cfRule type="containsText" priority="2864" operator="containsText" dxfId="0" text="Met">
      <formula>NOT(ISERROR(SEARCH("Met",P138)))</formula>
    </cfRule>
  </conditionalFormatting>
  <conditionalFormatting sqref="P138:P140">
    <cfRule type="containsText" priority="2863" operator="containsText" dxfId="1" text="Not Met">
      <formula>NOT(ISERROR(SEARCH("Not Met",P138)))</formula>
    </cfRule>
  </conditionalFormatting>
  <conditionalFormatting sqref="P139:P140">
    <cfRule type="containsText" priority="2862" operator="containsText" dxfId="0" text="Met">
      <formula>NOT(ISERROR(SEARCH("Met",P139)))</formula>
    </cfRule>
  </conditionalFormatting>
  <conditionalFormatting sqref="P161:P168">
    <cfRule type="containsText" priority="2792" operator="containsText" dxfId="0" text="Met">
      <formula>NOT(ISERROR(SEARCH("Met",P161)))</formula>
    </cfRule>
  </conditionalFormatting>
  <conditionalFormatting sqref="P187">
    <cfRule type="containsText" priority="2858" operator="containsText" dxfId="1" text="Not Met">
      <formula>NOT(ISERROR(SEARCH("Not Met",P187)))</formula>
    </cfRule>
    <cfRule type="containsText" priority="2859" operator="containsText" dxfId="0" text="Met">
      <formula>NOT(ISERROR(SEARCH("Met",P187)))</formula>
    </cfRule>
  </conditionalFormatting>
  <conditionalFormatting sqref="P226:P242">
    <cfRule type="containsText" priority="2794" operator="containsText" dxfId="1" text="Not Met">
      <formula>NOT(ISERROR(SEARCH("Not Met",P226)))</formula>
    </cfRule>
    <cfRule type="containsText" priority="2795" operator="containsText" dxfId="0" text="Met">
      <formula>NOT(ISERROR(SEARCH("Met",P226)))</formula>
    </cfRule>
  </conditionalFormatting>
  <conditionalFormatting sqref="P302:P313">
    <cfRule type="containsText" priority="2771" operator="containsText" dxfId="1" text="Not Met">
      <formula>NOT(ISERROR(SEARCH("Not Met",P302)))</formula>
    </cfRule>
  </conditionalFormatting>
  <conditionalFormatting sqref="P302:P316 P318:P326">
    <cfRule type="containsText" priority="2772" operator="containsText" dxfId="0" text="Met">
      <formula>NOT(ISERROR(SEARCH("Met",P302)))</formula>
    </cfRule>
  </conditionalFormatting>
  <conditionalFormatting sqref="P314">
    <cfRule type="containsText" priority="2775" operator="containsText" dxfId="1" text="Not Met">
      <formula>NOT(ISERROR(SEARCH("Not Met",P314)))</formula>
    </cfRule>
  </conditionalFormatting>
  <conditionalFormatting sqref="P315:P316 P318:P326">
    <cfRule type="containsText" priority="2770" operator="containsText" dxfId="1" text="Not Met">
      <formula>NOT(ISERROR(SEARCH("Not Met",P315)))</formula>
    </cfRule>
  </conditionalFormatting>
  <conditionalFormatting sqref="P329">
    <cfRule type="containsText" priority="2802" operator="containsText" dxfId="1" text="Not Met">
      <formula>NOT(ISERROR(SEARCH("Not Met",P329)))</formula>
    </cfRule>
  </conditionalFormatting>
  <conditionalFormatting sqref="P360">
    <cfRule type="containsText" priority="2822" operator="containsText" dxfId="1" text="Not Met">
      <formula>NOT(ISERROR(SEARCH("Not Met",P360)))</formula>
    </cfRule>
    <cfRule type="containsText" priority="2821" operator="containsText" dxfId="0" text="Met">
      <formula>NOT(ISERROR(SEARCH("Met",P360)))</formula>
    </cfRule>
    <cfRule type="containsText" priority="2820" operator="containsText" dxfId="1" text="Not Met">
      <formula>NOT(ISERROR(SEARCH("Not Met",P360)))</formula>
    </cfRule>
    <cfRule type="containsText" priority="2823" operator="containsText" dxfId="0" text="Met">
      <formula>NOT(ISERROR(SEARCH("Met",P360)))</formula>
    </cfRule>
  </conditionalFormatting>
  <conditionalFormatting sqref="P370:P391">
    <cfRule type="containsText" priority="2750" operator="containsText" dxfId="1" text="Not Met">
      <formula>NOT(ISERROR(SEARCH("Not Met",P370)))</formula>
    </cfRule>
    <cfRule type="containsText" priority="2751" operator="containsText" dxfId="0" text="Met">
      <formula>NOT(ISERROR(SEARCH("Met",P370)))</formula>
    </cfRule>
  </conditionalFormatting>
  <conditionalFormatting sqref="M417:P417 P395:P396 P403 P410">
    <cfRule type="containsText" priority="2753" operator="containsText" dxfId="0" text="Met">
      <formula>NOT(ISERROR(SEARCH("Met",M395)))</formula>
    </cfRule>
    <cfRule type="containsText" priority="2752" operator="containsText" dxfId="1" text="Not Met">
      <formula>NOT(ISERROR(SEARCH("Not Met",M395)))</formula>
    </cfRule>
  </conditionalFormatting>
  <conditionalFormatting sqref="P430">
    <cfRule type="containsText" priority="2887" operator="containsText" dxfId="0" text="Met">
      <formula>NOT(ISERROR(SEARCH("Met",P430)))</formula>
    </cfRule>
    <cfRule type="containsText" priority="2886" operator="containsText" dxfId="1" text="Not Met">
      <formula>NOT(ISERROR(SEARCH("Not Met",P430)))</formula>
    </cfRule>
  </conditionalFormatting>
  <conditionalFormatting sqref="P111:Q118">
    <cfRule type="containsText" priority="2877" operator="containsText" dxfId="0" text="Met">
      <formula>NOT(ISERROR(SEARCH("Met",P111)))</formula>
    </cfRule>
  </conditionalFormatting>
  <conditionalFormatting sqref="P161:Q171">
    <cfRule type="containsText" priority="2838" operator="containsText" dxfId="1" text="Not Met">
      <formula>NOT(ISERROR(SEARCH("Not Met",P161)))</formula>
    </cfRule>
  </conditionalFormatting>
  <conditionalFormatting sqref="P169:Q171">
    <cfRule type="containsText" priority="2839" operator="containsText" dxfId="0" text="Met">
      <formula>NOT(ISERROR(SEARCH("Met",P169)))</formula>
    </cfRule>
  </conditionalFormatting>
  <conditionalFormatting sqref="K245:N245 K246:P246 K248:N248 P245 P248:S248 P344:Q351 P359:Q366 Q72:Q103 Q119:Q148 Q172:Q205 Q271:Q279 Q294:Q301 Q309:Q316 Q318:Q323 Q330:Q336 Q352:Q358 Q370:Q381 Q385:Q388 Q390:Q394 Q404:Q409 Q411:Q416 Q418:Q423 Q425 Q427:Q440">
    <cfRule type="containsText" priority="2836" operator="containsText" dxfId="1" text="Not Met">
      <formula>NOT(ISERROR(SEARCH("Not Met",K72)))</formula>
    </cfRule>
  </conditionalFormatting>
  <conditionalFormatting sqref="P450:Q457">
    <cfRule type="containsText" priority="2867" operator="containsText" dxfId="0" text="Met">
      <formula>NOT(ISERROR(SEARCH("Met",P450)))</formula>
    </cfRule>
  </conditionalFormatting>
  <conditionalFormatting sqref="P359:Q366 Q72:Q103 Q119:Q148 Q172:Q205 Q271:Q279 Q294:Q301 Q309:Q316 Q319:Q323 Q330:Q336 Q344:Q358 Q370:Q381 Q385:Q388 Q390:Q394 Q404:Q409 Q411:Q416 Q418:Q423 Q425 Q427:Q440">
    <cfRule type="containsText" priority="2837" operator="containsText" dxfId="0" text="Met">
      <formula>NOT(ISERROR(SEARCH("Met",P72)))</formula>
    </cfRule>
  </conditionalFormatting>
  <conditionalFormatting sqref="R2:R5 R7:R19 R70 R149:R160 R206:R242 R337:R343 R426 R441:R449">
    <cfRule type="containsText" priority="2679" operator="containsText" dxfId="1" text="Not Met">
      <formula>NOT(ISERROR(SEARCH("Not Met",R2)))</formula>
    </cfRule>
    <cfRule type="containsText" priority="2680" operator="containsText" dxfId="0" text="Met">
      <formula>NOT(ISERROR(SEARCH("Met",R2)))</formula>
    </cfRule>
  </conditionalFormatting>
  <conditionalFormatting sqref="N328:R328 R5:R19 R42:R48 R51 R70 R104:R110 R149:R160 R184 R205:R242 R257:R293 R302:R308 R323 R325:R326 R334:R345 R381:R382 R384 R388:R389 R391 R395:R396 R402:R403 R405 R409:R410 R412 R416:R417 R423:R424 R426 R441:R455">
    <cfRule type="containsText" priority="2682" operator="containsText" dxfId="0" text="Met">
      <formula>NOT(ISERROR(SEARCH("Met",N5)))</formula>
    </cfRule>
    <cfRule type="containsText" priority="2681" operator="containsText" dxfId="1" text="Not Met">
      <formula>NOT(ISERROR(SEARCH("Not Met",N5)))</formula>
    </cfRule>
  </conditionalFormatting>
  <conditionalFormatting sqref="R42:R53">
    <cfRule type="containsText" priority="2674" operator="containsText" dxfId="0" text="Met">
      <formula>NOT(ISERROR(SEARCH("Met",R42)))</formula>
    </cfRule>
    <cfRule type="containsText" priority="2673" operator="containsText" dxfId="1" text="Not Met">
      <formula>NOT(ISERROR(SEARCH("Not Met",R42)))</formula>
    </cfRule>
  </conditionalFormatting>
  <conditionalFormatting sqref="R77">
    <cfRule type="containsText" priority="2651" operator="containsText" dxfId="0" text="Met">
      <formula>NOT(ISERROR(SEARCH("Met",R77)))</formula>
    </cfRule>
    <cfRule type="containsText" priority="2653" operator="containsText" dxfId="0" text="Met">
      <formula>NOT(ISERROR(SEARCH("Met",R77)))</formula>
    </cfRule>
    <cfRule type="containsText" priority="2650" operator="containsText" dxfId="1" text="Not Met">
      <formula>NOT(ISERROR(SEARCH("Not Met",R77)))</formula>
    </cfRule>
    <cfRule type="containsText" priority="2652" operator="containsText" dxfId="1" text="Not Met">
      <formula>NOT(ISERROR(SEARCH("Not Met",R77)))</formula>
    </cfRule>
  </conditionalFormatting>
  <conditionalFormatting sqref="R78:R88">
    <cfRule type="containsText" priority="2669" operator="containsText" dxfId="488" text="Not met">
      <formula>NOT(ISERROR(SEARCH("Not met",R78)))</formula>
    </cfRule>
  </conditionalFormatting>
  <conditionalFormatting sqref="R90:R110">
    <cfRule type="containsText" priority="2623" operator="containsText" dxfId="1" text="Not Met">
      <formula>NOT(ISERROR(SEARCH("Not Met",R90)))</formula>
    </cfRule>
    <cfRule type="containsText" priority="2624" operator="containsText" dxfId="0" text="Met">
      <formula>NOT(ISERROR(SEARCH("Met",R90)))</formula>
    </cfRule>
  </conditionalFormatting>
  <conditionalFormatting sqref="R119:R121 R123:R127">
    <cfRule type="containsText" priority="2690" operator="containsText" dxfId="0" text="Met">
      <formula>NOT(ISERROR(SEARCH("Met",R119)))</formula>
    </cfRule>
    <cfRule type="containsText" priority="2689" operator="containsText" dxfId="1" text="Not Met">
      <formula>NOT(ISERROR(SEARCH("Not Met",R119)))</formula>
    </cfRule>
  </conditionalFormatting>
  <conditionalFormatting sqref="R119:R121">
    <cfRule type="containsText" priority="2686" operator="containsText" dxfId="0" text="Met">
      <formula>NOT(ISERROR(SEARCH("Met",R119)))</formula>
    </cfRule>
    <cfRule type="containsText" priority="2685" operator="containsText" dxfId="1" text="Not Met">
      <formula>NOT(ISERROR(SEARCH("Not Met",R119)))</formula>
    </cfRule>
  </conditionalFormatting>
  <conditionalFormatting sqref="R123">
    <cfRule type="containsText" priority="2688" operator="containsText" dxfId="0" text="Met">
      <formula>NOT(ISERROR(SEARCH("Met",R123)))</formula>
    </cfRule>
    <cfRule type="containsText" priority="2687" operator="containsText" dxfId="1" text="Not Met">
      <formula>NOT(ISERROR(SEARCH("Not Met",R123)))</formula>
    </cfRule>
  </conditionalFormatting>
  <conditionalFormatting sqref="R123:R126">
    <cfRule type="containsText" priority="2683" operator="containsText" dxfId="1" text="Not Met">
      <formula>NOT(ISERROR(SEARCH("Not Met",R123)))</formula>
    </cfRule>
    <cfRule type="containsText" priority="2684" operator="containsText" dxfId="0" text="Met">
      <formula>NOT(ISERROR(SEARCH("Met",R123)))</formula>
    </cfRule>
  </conditionalFormatting>
  <conditionalFormatting sqref="R132:R138">
    <cfRule type="containsText" priority="2691" operator="containsText" dxfId="1" text="Not Met">
      <formula>NOT(ISERROR(SEARCH("Not Met",R132)))</formula>
    </cfRule>
  </conditionalFormatting>
  <conditionalFormatting sqref="R132:R140">
    <cfRule type="containsText" priority="2692" operator="containsText" dxfId="0" text="Met">
      <formula>NOT(ISERROR(SEARCH("Met",R132)))</formula>
    </cfRule>
  </conditionalFormatting>
  <conditionalFormatting sqref="R139:R140">
    <cfRule type="containsText" priority="2703" operator="containsText" dxfId="1" text="Not Met">
      <formula>NOT(ISERROR(SEARCH("Not Met",R139)))</formula>
    </cfRule>
  </conditionalFormatting>
  <conditionalFormatting sqref="R142:R147">
    <cfRule type="containsText" priority="2700" operator="containsText" dxfId="0" text="Met">
      <formula>NOT(ISERROR(SEARCH("Met",R142)))</formula>
    </cfRule>
    <cfRule type="containsText" priority="2699" operator="containsText" dxfId="1" text="Not Met">
      <formula>NOT(ISERROR(SEARCH("Not Met",R142)))</formula>
    </cfRule>
  </conditionalFormatting>
  <conditionalFormatting sqref="R172:R184">
    <cfRule type="containsText" priority="2660" operator="containsText" dxfId="1" text="Not Met">
      <formula>NOT(ISERROR(SEARCH("Not Met",R172)))</formula>
    </cfRule>
    <cfRule type="containsText" priority="2661" operator="containsText" dxfId="0" text="Met">
      <formula>NOT(ISERROR(SEARCH("Met",R172)))</formula>
    </cfRule>
  </conditionalFormatting>
  <conditionalFormatting sqref="R180">
    <cfRule type="containsText" priority="2658" operator="containsText" dxfId="1" text="Not Met">
      <formula>NOT(ISERROR(SEARCH("Not Met",R180)))</formula>
    </cfRule>
    <cfRule type="containsText" priority="2659" operator="containsText" dxfId="0" text="Met">
      <formula>NOT(ISERROR(SEARCH("Met",R180)))</formula>
    </cfRule>
  </conditionalFormatting>
  <conditionalFormatting sqref="R187">
    <cfRule type="containsText" priority="2696" operator="containsText" dxfId="0" text="Met">
      <formula>NOT(ISERROR(SEARCH("Met",R187)))</formula>
    </cfRule>
    <cfRule type="containsText" priority="2695" operator="containsText" dxfId="1" text="Not Met">
      <formula>NOT(ISERROR(SEARCH("Not Met",R187)))</formula>
    </cfRule>
  </conditionalFormatting>
  <conditionalFormatting sqref="R190:R195">
    <cfRule type="containsText" priority="2694" operator="containsText" dxfId="0" text="Met">
      <formula>NOT(ISERROR(SEARCH("Met",R190)))</formula>
    </cfRule>
    <cfRule type="containsText" priority="2693" operator="containsText" dxfId="1" text="Not Met">
      <formula>NOT(ISERROR(SEARCH("Not Met",R190)))</formula>
    </cfRule>
  </conditionalFormatting>
  <conditionalFormatting sqref="R196:R205">
    <cfRule type="containsText" priority="2747" operator="containsText" dxfId="0" text="Met">
      <formula>NOT(ISERROR(SEARCH("Met",R196)))</formula>
    </cfRule>
    <cfRule type="containsText" priority="2746" operator="containsText" dxfId="1" text="Not Met">
      <formula>NOT(ISERROR(SEARCH("Not Met",R196)))</formula>
    </cfRule>
  </conditionalFormatting>
  <conditionalFormatting sqref="R204">
    <cfRule type="containsText" priority="2736" operator="containsText" dxfId="1" text="Not Met">
      <formula>NOT(ISERROR(SEARCH("Not Met",R204)))</formula>
    </cfRule>
    <cfRule type="containsText" priority="2737" operator="containsText" dxfId="0" text="Met">
      <formula>NOT(ISERROR(SEARCH("Met",R204)))</formula>
    </cfRule>
    <cfRule type="containsText" priority="2738" operator="containsText" dxfId="1" text="Not Met">
      <formula>NOT(ISERROR(SEARCH("Not Met",R204)))</formula>
    </cfRule>
    <cfRule type="containsText" priority="2739" operator="containsText" dxfId="0" text="Met">
      <formula>NOT(ISERROR(SEARCH("Met",R204)))</formula>
    </cfRule>
    <cfRule type="containsText" priority="2740" operator="containsText" dxfId="1" text="Not Met">
      <formula>NOT(ISERROR(SEARCH("Not Met",R204)))</formula>
    </cfRule>
    <cfRule type="containsText" priority="2741" operator="containsText" dxfId="0" text="Met">
      <formula>NOT(ISERROR(SEARCH("Met",R204)))</formula>
    </cfRule>
    <cfRule type="containsText" priority="2742" operator="containsText" dxfId="1" text="Not Met">
      <formula>NOT(ISERROR(SEARCH("Not Met",R204)))</formula>
    </cfRule>
    <cfRule type="containsText" priority="2734" operator="containsText" dxfId="1" text="Not Met">
      <formula>NOT(ISERROR(SEARCH("Not Met",R204)))</formula>
    </cfRule>
    <cfRule type="containsText" priority="2743" operator="containsText" dxfId="0" text="Met">
      <formula>NOT(ISERROR(SEARCH("Met",R204)))</formula>
    </cfRule>
    <cfRule type="containsText" priority="2745" operator="containsText" dxfId="0" text="Met">
      <formula>NOT(ISERROR(SEARCH("Met",R204)))</formula>
    </cfRule>
    <cfRule type="containsText" priority="2744" operator="containsText" dxfId="1" text="Not Met">
      <formula>NOT(ISERROR(SEARCH("Not Met",R204)))</formula>
    </cfRule>
    <cfRule type="containsText" priority="2735" operator="containsText" dxfId="0" text="Met">
      <formula>NOT(ISERROR(SEARCH("Met",R204)))</formula>
    </cfRule>
  </conditionalFormatting>
  <conditionalFormatting sqref="R204:R205">
    <cfRule type="containsText" priority="2733" operator="containsText" dxfId="0" text="Met">
      <formula>NOT(ISERROR(SEARCH("Met",R204)))</formula>
    </cfRule>
    <cfRule type="containsText" priority="2732" operator="containsText" dxfId="1" text="Not Met">
      <formula>NOT(ISERROR(SEARCH("Not Met",R204)))</formula>
    </cfRule>
  </conditionalFormatting>
  <conditionalFormatting sqref="R205">
    <cfRule type="containsText" priority="2726" operator="containsText" dxfId="1" text="Not Met">
      <formula>NOT(ISERROR(SEARCH("Not Met",R205)))</formula>
    </cfRule>
    <cfRule type="containsText" priority="2725" operator="containsText" dxfId="0" text="Met">
      <formula>NOT(ISERROR(SEARCH("Met",R205)))</formula>
    </cfRule>
    <cfRule type="containsText" priority="2724" operator="containsText" dxfId="1" text="Not Met">
      <formula>NOT(ISERROR(SEARCH("Not Met",R205)))</formula>
    </cfRule>
    <cfRule type="containsText" priority="2723" operator="containsText" dxfId="0" text="Met">
      <formula>NOT(ISERROR(SEARCH("Met",R205)))</formula>
    </cfRule>
    <cfRule type="containsText" priority="2729" operator="containsText" dxfId="0" text="Met">
      <formula>NOT(ISERROR(SEARCH("Met",R205)))</formula>
    </cfRule>
    <cfRule type="containsText" priority="2728" operator="containsText" dxfId="1" text="Not Met">
      <formula>NOT(ISERROR(SEARCH("Not Met",R205)))</formula>
    </cfRule>
    <cfRule type="containsText" priority="2730" operator="containsText" dxfId="1" text="Not Met">
      <formula>NOT(ISERROR(SEARCH("Not Met",R205)))</formula>
    </cfRule>
    <cfRule type="containsText" priority="2731" operator="containsText" dxfId="0" text="Met">
      <formula>NOT(ISERROR(SEARCH("Met",R205)))</formula>
    </cfRule>
    <cfRule type="containsText" priority="2722" operator="containsText" dxfId="1" text="Not Met">
      <formula>NOT(ISERROR(SEARCH("Not Met",R205)))</formula>
    </cfRule>
    <cfRule type="containsText" priority="2727" operator="containsText" dxfId="0" text="Met">
      <formula>NOT(ISERROR(SEARCH("Met",R205)))</formula>
    </cfRule>
  </conditionalFormatting>
  <conditionalFormatting sqref="R257:R300">
    <cfRule type="containsText" priority="2649" operator="containsText" dxfId="0" text="Met">
      <formula>NOT(ISERROR(SEARCH("Met",R257)))</formula>
    </cfRule>
    <cfRule type="containsText" priority="2648" operator="containsText" dxfId="1" text="Not Met">
      <formula>NOT(ISERROR(SEARCH("Not Met",R257)))</formula>
    </cfRule>
  </conditionalFormatting>
  <conditionalFormatting sqref="R302:R316">
    <cfRule type="containsText" priority="2618" operator="containsText" dxfId="0" text="Met">
      <formula>NOT(ISERROR(SEARCH("Met",R302)))</formula>
    </cfRule>
    <cfRule type="containsText" priority="2617" operator="containsText" dxfId="1" text="Not Met">
      <formula>NOT(ISERROR(SEARCH("Not Met",R302)))</formula>
    </cfRule>
  </conditionalFormatting>
  <conditionalFormatting sqref="R319 R321:R322 R324:S324 R327:R328">
    <cfRule type="containsText" priority="2631" operator="containsText" dxfId="0" text="Met">
      <formula>NOT(ISERROR(SEARCH("Met",R319)))</formula>
    </cfRule>
    <cfRule type="containsText" priority="2630" operator="containsText" dxfId="1" text="Not Met">
      <formula>NOT(ISERROR(SEARCH("Not Met",R319)))</formula>
    </cfRule>
  </conditionalFormatting>
  <conditionalFormatting sqref="R323:R326">
    <cfRule type="containsText" priority="2633" operator="containsText" dxfId="0" text="Met">
      <formula>NOT(ISERROR(SEARCH("Met",R323)))</formula>
    </cfRule>
    <cfRule type="containsText" priority="2632" operator="containsText" dxfId="1" text="Not Met">
      <formula>NOT(ISERROR(SEARCH("Not Met",R323)))</formula>
    </cfRule>
  </conditionalFormatting>
  <conditionalFormatting sqref="R336">
    <cfRule type="containsText" priority="2715" operator="containsText" dxfId="0" text="Met">
      <formula>NOT(ISERROR(SEARCH("Met",R336)))</formula>
    </cfRule>
    <cfRule type="containsText" priority="2712" operator="containsText" dxfId="1" text="Not Met">
      <formula>NOT(ISERROR(SEARCH("Not Met",R336)))</formula>
    </cfRule>
    <cfRule type="containsText" priority="2713" operator="containsText" dxfId="0" text="Met">
      <formula>NOT(ISERROR(SEARCH("Met",R336)))</formula>
    </cfRule>
    <cfRule type="containsText" priority="2714" operator="containsText" dxfId="1" text="Not Met">
      <formula>NOT(ISERROR(SEARCH("Not Met",R336)))</formula>
    </cfRule>
  </conditionalFormatting>
  <conditionalFormatting sqref="R352:R357">
    <cfRule type="containsText" priority="2639" operator="containsText" dxfId="0" text="Met">
      <formula>NOT(ISERROR(SEARCH("Met",R352)))</formula>
    </cfRule>
    <cfRule type="containsText" priority="2638" operator="containsText" dxfId="1" text="Not Met">
      <formula>NOT(ISERROR(SEARCH("Not Met",R352)))</formula>
    </cfRule>
  </conditionalFormatting>
  <conditionalFormatting sqref="R359">
    <cfRule type="containsText" priority="2635" operator="containsText" dxfId="0" text="Met">
      <formula>NOT(ISERROR(SEARCH("Met",R359)))</formula>
    </cfRule>
    <cfRule type="containsText" priority="2634" operator="containsText" dxfId="1" text="Not Met">
      <formula>NOT(ISERROR(SEARCH("Not Met",R359)))</formula>
    </cfRule>
  </conditionalFormatting>
  <conditionalFormatting sqref="R367:R382 R384:R417 R419:R424">
    <cfRule type="containsText" priority="2615" operator="containsText" dxfId="0" text="Met">
      <formula>NOT(ISERROR(SEARCH("Met",R367)))</formula>
    </cfRule>
  </conditionalFormatting>
  <conditionalFormatting sqref="R367:R382 R419:R424">
    <cfRule type="containsText" priority="2614" operator="containsText" dxfId="1" text="Not Met">
      <formula>NOT(ISERROR(SEARCH("Not Met",R367)))</formula>
    </cfRule>
  </conditionalFormatting>
  <conditionalFormatting sqref="R384:R417">
    <cfRule type="containsText" priority="2613" operator="containsText" dxfId="1" text="Not Met">
      <formula>NOT(ISERROR(SEARCH("Not Met",R384)))</formula>
    </cfRule>
  </conditionalFormatting>
  <conditionalFormatting sqref="R430">
    <cfRule type="containsText" priority="2621" operator="containsText" dxfId="1" text="Not Met">
      <formula>NOT(ISERROR(SEARCH("Not Met",R430)))</formula>
    </cfRule>
    <cfRule type="containsText" priority="2622" operator="containsText" dxfId="0" text="Met">
      <formula>NOT(ISERROR(SEARCH("Met",R430)))</formula>
    </cfRule>
  </conditionalFormatting>
  <conditionalFormatting sqref="R71:S71">
    <cfRule type="containsText" priority="2657" operator="containsText" dxfId="0" text="Met">
      <formula>NOT(ISERROR(SEARCH("Met",R71)))</formula>
    </cfRule>
    <cfRule type="containsText" priority="2656" operator="containsText" dxfId="1" text="Not Met">
      <formula>NOT(ISERROR(SEARCH("Not Met",R71)))</formula>
    </cfRule>
  </conditionalFormatting>
  <conditionalFormatting sqref="R148:S148">
    <cfRule type="containsText" priority="2701" operator="containsText" dxfId="1" text="Not Met">
      <formula>NOT(ISERROR(SEARCH("Not Met",R148)))</formula>
    </cfRule>
    <cfRule type="containsText" priority="2702" operator="containsText" dxfId="0" text="Met">
      <formula>NOT(ISERROR(SEARCH("Met",R148)))</formula>
    </cfRule>
  </conditionalFormatting>
  <conditionalFormatting sqref="R169:S171">
    <cfRule type="containsText" priority="2678" operator="containsText" dxfId="0" text="Met">
      <formula>NOT(ISERROR(SEARCH("Met",R169)))</formula>
    </cfRule>
    <cfRule type="containsText" priority="2677" operator="containsText" dxfId="1" text="Not Met">
      <formula>NOT(ISERROR(SEARCH("Not Met",R169)))</formula>
    </cfRule>
  </conditionalFormatting>
  <conditionalFormatting sqref="R351:S358">
    <cfRule type="containsText" priority="2641" operator="containsText" dxfId="0" text="Met">
      <formula>NOT(ISERROR(SEARCH("Met",R351)))</formula>
    </cfRule>
    <cfRule type="containsText" priority="2640" operator="containsText" dxfId="1" text="Not Met">
      <formula>NOT(ISERROR(SEARCH("Not Met",R351)))</formula>
    </cfRule>
  </conditionalFormatting>
  <conditionalFormatting sqref="R359:S359">
    <cfRule type="containsText" priority="2637" operator="containsText" dxfId="0" text="Met">
      <formula>NOT(ISERROR(SEARCH("Met",R359)))</formula>
    </cfRule>
    <cfRule type="containsText" priority="2636" operator="containsText" dxfId="1" text="Not Met">
      <formula>NOT(ISERROR(SEARCH("Not Met",R359)))</formula>
    </cfRule>
  </conditionalFormatting>
  <conditionalFormatting sqref="K244:S244 K247:S247 K249:S249 R347:T349 S77:S103 S119:S147 S172:S183 S185:S205 S294:S300 S309:S316 S319:S322 S334:S336 S367:S380 S383 S385:S387 S392:S394 S406:S408 S411 S413:S415 S418:S422 S425 S427:S434 S450:S455">
    <cfRule type="containsText" priority="2666" operator="containsText" dxfId="1" text="Not Met">
      <formula>NOT(ISERROR(SEARCH("Not Met",K77)))</formula>
    </cfRule>
  </conditionalFormatting>
  <conditionalFormatting sqref="R20:AA41 R54:U59 R60:S69 R72:S76 R111:AA118 R163:Y168 R250:Z256 R301:S301 R318:S318 R331:S331 R333:S333 R346:U346 R350:U350 R358:S358 R360:X366 R435:S440 R456:S457 U60 U72:U73 U75:U76 U124 U243:Z249 U301 U317:U328 U331 U456:U457 W127:W148 W185:W195 W271:W279 W301 W309:W328 W331 W346 W350 W427:W434 W441:W449 W456:W457 Y54:Y77 Y119:Y137 Y138:Z138 Y139:Y148 Y185:Y195 Y271:AA279 Y301 Y309:Y336 Y344:Y360 Y361:AA366 Y367:Y434 Y441:AA449 Y450:Z455 Y456:AA457 Z54:AA69 Z72:AA77 Z139:Z140 Z161:AA162 Z169:AA176 Z309:AA316 Z331:AA333 Z346:AA346 Z350:AA350 Z360:AA360">
    <cfRule type="containsText" priority="2644" operator="containsText" dxfId="1" text="Not Met">
      <formula>NOT(ISERROR(SEARCH("Not Met",R20)))</formula>
    </cfRule>
  </conditionalFormatting>
  <conditionalFormatting sqref="R54:U59 R60:S69 R72:S76 R250:Z256 R301:S301 R318:S318 R331:S331 R333:S333 R360:X366 R435:S440 U60 U124 W185:W195 W271:W279 Y119:Y137 Y139:Y148 Y185:Y195 Y309:Y336 Y344:Y360 Y361:AA366 Z139:Z140 Z360:AA360">
    <cfRule type="containsText" priority="2642" operator="containsText" dxfId="1" text="Not Met">
      <formula>NOT(ISERROR(SEARCH("Not Met",R54)))</formula>
    </cfRule>
  </conditionalFormatting>
  <conditionalFormatting sqref="R54:U59 R60:S69 R72:S76 R161:Y168 R250:Z256 R301:S301 R318:S318 R331:S331 R333:S333 R346:U346 R350:U350 R360:X366 R435:S440 U60 U124 W185:W195 W271:W279 W346 W350 Y119:Y137 Y138:Z138 Y139:Y148 Y185:Y195 Y309:Y336 Y344:Y434 Z139:Z140 Z331:AA333 Z360:AA366">
    <cfRule type="containsText" priority="2643" operator="containsText" dxfId="0" text="Met">
      <formula>NOT(ISERROR(SEARCH("Met",R54)))</formula>
    </cfRule>
  </conditionalFormatting>
  <conditionalFormatting sqref="R344:U345 R347:R349 R351">
    <cfRule type="containsText" priority="2718" operator="containsText" dxfId="1" text="Not Met">
      <formula>NOT(ISERROR(SEARCH("Not Met",R344)))</formula>
    </cfRule>
    <cfRule type="containsText" priority="2719" operator="containsText" dxfId="0" text="Met">
      <formula>NOT(ISERROR(SEARCH("Met",R344)))</formula>
    </cfRule>
  </conditionalFormatting>
  <conditionalFormatting sqref="R456:U457">
    <cfRule type="containsText" priority="2563" operator="containsText" dxfId="1" text="Not Met">
      <formula>NOT(ISERROR(SEARCH("Not Met",R456)))</formula>
    </cfRule>
    <cfRule type="containsText" priority="2564" operator="containsText" dxfId="0" text="Met">
      <formula>NOT(ISERROR(SEARCH("Met",R456)))</formula>
    </cfRule>
  </conditionalFormatting>
  <conditionalFormatting sqref="R161:Y162">
    <cfRule type="containsText" priority="3124" operator="containsText" dxfId="1" text="Not Met">
      <formula>NOT(ISERROR(SEARCH("Not Met",R161)))</formula>
    </cfRule>
  </conditionalFormatting>
  <conditionalFormatting sqref="R20:AA41 R54:U59 R60:S69 R72:S76 R111:AA118 R161:Y168 R250:Z256 R301:S301 R318:S318 R331:S331 R333:S333 R346:U346 R350:U350 R358:S358 R360:X366 R435:S440 R456:S457 U60 U72:U73 U75:U76 U124 U243:Z249 U301 U317:U328 U331 U456:U457 W127:W148 W185:W195 W271:W279 W301 W309:W328 W331 W346 W350 W427:W434 W441:W449 W456:W457 Y54:Y77 Y119:Y137 Y138:Z138 Y139:Y148 Y185:Y195 Y271:AA279 Y301 Y309:Y336 Y344:Y434 Y441:AA449 Y450:Z455 Y456:AA457 Z54:AA69 Z72:AA77 Z139:Z140 Z161:AA162 Z169:AA176 Z309:AA316 Z331:AA333 Z346:AA346 Z350:AA350 Z360:AA366">
    <cfRule type="containsText" priority="2645" operator="containsText" dxfId="0" text="Met">
      <formula>NOT(ISERROR(SEARCH("Met",R20)))</formula>
    </cfRule>
  </conditionalFormatting>
  <conditionalFormatting sqref="R20:AA41 R111:AA118 Y169:AA183 Y271:AA279 Z161:AA162">
    <cfRule type="containsText" priority="1790" operator="containsText" dxfId="0" text="Met">
      <formula>NOT(ISERROR(SEARCH("Met",R20)))</formula>
    </cfRule>
  </conditionalFormatting>
  <conditionalFormatting sqref="R20:AA41 R111:AA118 Y169:AA183 Y271:AA279 Z350:AA350">
    <cfRule type="containsText" priority="1789" operator="containsText" dxfId="1" text="Not Met">
      <formula>NOT(ISERROR(SEARCH("Not Met",R20)))</formula>
    </cfRule>
  </conditionalFormatting>
  <conditionalFormatting sqref="S77:S103">
    <cfRule type="containsText" priority="2667" operator="containsText" dxfId="0" text="Met">
      <formula>NOT(ISERROR(SEARCH("Met",S77)))</formula>
    </cfRule>
  </conditionalFormatting>
  <conditionalFormatting sqref="Q244:S244 Q247:S247 Q249:S249 R347:T349 S119:S147 S172:S183 S185:S205 S294:S300 S309:S316 S319:S322 S334:S336 S367:S380 S383 S385:S387 S392:S394 S406:S408 S411 S413:S415 S418:S422 S425 S427:S434 S450:S455">
    <cfRule type="containsText" priority="2668" operator="containsText" dxfId="0" text="Met">
      <formula>NOT(ISERROR(SEARCH("Met",Q119)))</formula>
    </cfRule>
  </conditionalFormatting>
  <conditionalFormatting sqref="T2:T5">
    <cfRule type="containsText" priority="2566" operator="containsText" dxfId="0" text="Met">
      <formula>NOT(ISERROR(SEARCH("Met",T2)))</formula>
    </cfRule>
    <cfRule type="containsText" priority="2565" operator="containsText" dxfId="1" text="Not Met">
      <formula>NOT(ISERROR(SEARCH("Not Met",T2)))</formula>
    </cfRule>
  </conditionalFormatting>
  <conditionalFormatting sqref="T5:T6">
    <cfRule type="containsText" priority="2567" operator="containsText" dxfId="1" text="Not Met">
      <formula>NOT(ISERROR(SEARCH("Not Met",T5)))</formula>
    </cfRule>
    <cfRule type="containsText" priority="2568" operator="containsText" dxfId="0" text="Met">
      <formula>NOT(ISERROR(SEARCH("Met",T5)))</formula>
    </cfRule>
  </conditionalFormatting>
  <conditionalFormatting sqref="T11">
    <cfRule type="containsText" priority="2551" operator="containsText" dxfId="1" text="Not Met">
      <formula>NOT(ISERROR(SEARCH("Not Met",T11)))</formula>
    </cfRule>
    <cfRule type="containsText" priority="2552" operator="containsText" dxfId="0" text="Met">
      <formula>NOT(ISERROR(SEARCH("Met",T11)))</formula>
    </cfRule>
  </conditionalFormatting>
  <conditionalFormatting sqref="T13:T14">
    <cfRule type="containsText" priority="2543" operator="containsText" dxfId="1" text="Not Met">
      <formula>NOT(ISERROR(SEARCH("Not Met",T13)))</formula>
    </cfRule>
    <cfRule type="containsText" priority="2544" operator="containsText" dxfId="0" text="Met">
      <formula>NOT(ISERROR(SEARCH("Met",T13)))</formula>
    </cfRule>
  </conditionalFormatting>
  <conditionalFormatting sqref="T16:T19">
    <cfRule type="containsText" priority="2555" operator="containsText" dxfId="1" text="Not Met">
      <formula>NOT(ISERROR(SEARCH("Not Met",T16)))</formula>
    </cfRule>
    <cfRule type="containsText" priority="2553" operator="containsText" dxfId="1" text="Not Met">
      <formula>NOT(ISERROR(SEARCH("Not Met",T16)))</formula>
    </cfRule>
    <cfRule type="containsText" priority="2554" operator="containsText" dxfId="0" text="Met">
      <formula>NOT(ISERROR(SEARCH("Met",T16)))</formula>
    </cfRule>
    <cfRule type="containsText" priority="2556" operator="containsText" dxfId="0" text="Met">
      <formula>NOT(ISERROR(SEARCH("Met",T16)))</formula>
    </cfRule>
  </conditionalFormatting>
  <conditionalFormatting sqref="T42:T48">
    <cfRule type="containsText" priority="2482" operator="containsText" dxfId="1" text="Not Met">
      <formula>NOT(ISERROR(SEARCH("Not Met",T42)))</formula>
    </cfRule>
    <cfRule type="containsText" priority="2483" operator="containsText" dxfId="0" text="Met">
      <formula>NOT(ISERROR(SEARCH("Met",T42)))</formula>
    </cfRule>
  </conditionalFormatting>
  <conditionalFormatting sqref="T42:T53">
    <cfRule type="containsText" priority="2484" operator="containsText" dxfId="1" text="Not Met">
      <formula>NOT(ISERROR(SEARCH("Not Met",T42)))</formula>
    </cfRule>
    <cfRule type="containsText" priority="2485" operator="containsText" dxfId="0" text="Met">
      <formula>NOT(ISERROR(SEARCH("Met",T42)))</formula>
    </cfRule>
  </conditionalFormatting>
  <conditionalFormatting sqref="T51">
    <cfRule type="containsText" priority="2521" operator="containsText" dxfId="1" text="Not Met">
      <formula>NOT(ISERROR(SEARCH("Not Met",T51)))</formula>
    </cfRule>
    <cfRule type="containsText" priority="2522" operator="containsText" dxfId="0" text="Met">
      <formula>NOT(ISERROR(SEARCH("Met",T51)))</formula>
    </cfRule>
  </conditionalFormatting>
  <conditionalFormatting sqref="T61">
    <cfRule type="containsText" priority="2462" operator="containsText" dxfId="1" text="Not Met">
      <formula>NOT(ISERROR(SEARCH("Not Met",T61)))</formula>
    </cfRule>
    <cfRule type="containsText" priority="2463" operator="containsText" dxfId="0" text="Met">
      <formula>NOT(ISERROR(SEARCH("Met",T61)))</formula>
    </cfRule>
  </conditionalFormatting>
  <conditionalFormatting sqref="T61:T74 T76:T79 T80:U81">
    <cfRule type="containsText" priority="2448" operator="containsText" dxfId="1" text="Not Met">
      <formula>NOT(ISERROR(SEARCH("Not Met",T61)))</formula>
    </cfRule>
    <cfRule type="containsText" priority="2449" operator="containsText" dxfId="0" text="Met">
      <formula>NOT(ISERROR(SEARCH("Met",T61)))</formula>
    </cfRule>
  </conditionalFormatting>
  <conditionalFormatting sqref="T69:T74 T76:T79 T80:U80 T81">
    <cfRule type="containsText" priority="2447" operator="containsText" dxfId="0" text="Met">
      <formula>NOT(ISERROR(SEARCH("Met",T69)))</formula>
    </cfRule>
    <cfRule type="containsText" priority="2446" operator="containsText" dxfId="1" text="Not Met">
      <formula>NOT(ISERROR(SEARCH("Not Met",T69)))</formula>
    </cfRule>
  </conditionalFormatting>
  <conditionalFormatting sqref="T69:T79 T81:T82">
    <cfRule type="containsText" priority="2442" operator="containsText" dxfId="1" text="Not Met">
      <formula>NOT(ISERROR(SEARCH("Not Met",T69)))</formula>
    </cfRule>
    <cfRule type="containsText" priority="2443" operator="containsText" dxfId="0" text="Met">
      <formula>NOT(ISERROR(SEARCH("Met",T69)))</formula>
    </cfRule>
  </conditionalFormatting>
  <conditionalFormatting sqref="R161:Y168 T75 T82">
    <cfRule type="containsText" priority="2440" operator="containsText" dxfId="1" text="Not Met">
      <formula>NOT(ISERROR(SEARCH("Not Met",R75)))</formula>
    </cfRule>
  </conditionalFormatting>
  <conditionalFormatting sqref="T75 T82">
    <cfRule type="containsText" priority="2441" operator="containsText" dxfId="0" text="Met">
      <formula>NOT(ISERROR(SEARCH("Met",T75)))</formula>
    </cfRule>
  </conditionalFormatting>
  <conditionalFormatting sqref="T83">
    <cfRule type="containsText" priority="2479" operator="containsText" dxfId="488" text="Not met">
      <formula>NOT(ISERROR(SEARCH("Not met",T83)))</formula>
    </cfRule>
  </conditionalFormatting>
  <conditionalFormatting sqref="T86:T88">
    <cfRule type="containsText" priority="2476" operator="containsText" dxfId="488" text="Not met">
      <formula>NOT(ISERROR(SEARCH("Not met",T86)))</formula>
    </cfRule>
  </conditionalFormatting>
  <conditionalFormatting sqref="T90:T110 T257:T270">
    <cfRule type="containsText" priority="2571" operator="containsText" dxfId="1" text="Not Met">
      <formula>NOT(ISERROR(SEARCH("Not Met",T90)))</formula>
    </cfRule>
    <cfRule type="containsText" priority="2572" operator="containsText" dxfId="0" text="Met">
      <formula>NOT(ISERROR(SEARCH("Met",T90)))</formula>
    </cfRule>
  </conditionalFormatting>
  <conditionalFormatting sqref="T104:T110">
    <cfRule type="containsText" priority="2570" operator="containsText" dxfId="0" text="Met">
      <formula>NOT(ISERROR(SEARCH("Met",T104)))</formula>
    </cfRule>
    <cfRule type="containsText" priority="2569" operator="containsText" dxfId="1" text="Not Met">
      <formula>NOT(ISERROR(SEARCH("Not Met",T104)))</formula>
    </cfRule>
  </conditionalFormatting>
  <conditionalFormatting sqref="T119">
    <cfRule type="containsText" priority="2500" operator="containsText" dxfId="1" text="Not Met">
      <formula>NOT(ISERROR(SEARCH("Not Met",T119)))</formula>
    </cfRule>
    <cfRule type="containsText" priority="2501" operator="containsText" dxfId="0" text="Met">
      <formula>NOT(ISERROR(SEARCH("Met",T119)))</formula>
    </cfRule>
  </conditionalFormatting>
  <conditionalFormatting sqref="T119:T127">
    <cfRule type="containsText" priority="2497" operator="containsText" dxfId="0" text="Met">
      <formula>NOT(ISERROR(SEARCH("Met",T119)))</formula>
    </cfRule>
    <cfRule type="containsText" priority="2496" operator="containsText" dxfId="1" text="Not Met">
      <formula>NOT(ISERROR(SEARCH("Not Met",T119)))</formula>
    </cfRule>
  </conditionalFormatting>
  <conditionalFormatting sqref="T131:T138">
    <cfRule type="containsText" priority="2502" operator="containsText" dxfId="1" text="Not Met">
      <formula>NOT(ISERROR(SEARCH("Not Met",T131)))</formula>
    </cfRule>
  </conditionalFormatting>
  <conditionalFormatting sqref="T131:T140">
    <cfRule type="containsText" priority="2503" operator="containsText" dxfId="0" text="Met">
      <formula>NOT(ISERROR(SEARCH("Met",T131)))</formula>
    </cfRule>
  </conditionalFormatting>
  <conditionalFormatting sqref="T139:T160">
    <cfRule type="containsText" priority="2514" operator="containsText" dxfId="1" text="Not Met">
      <formula>NOT(ISERROR(SEARCH("Not Met",T139)))</formula>
    </cfRule>
  </conditionalFormatting>
  <conditionalFormatting sqref="T141:T160">
    <cfRule type="containsText" priority="2516" operator="containsText" dxfId="0" text="Met">
      <formula>NOT(ISERROR(SEARCH("Met",T141)))</formula>
    </cfRule>
  </conditionalFormatting>
  <conditionalFormatting sqref="T143:T148">
    <cfRule type="containsText" priority="2511" operator="containsText" dxfId="0" text="Met">
      <formula>NOT(ISERROR(SEARCH("Met",T143)))</formula>
    </cfRule>
    <cfRule type="containsText" priority="2510" operator="containsText" dxfId="1" text="Not Met">
      <formula>NOT(ISERROR(SEARCH("Not Met",T143)))</formula>
    </cfRule>
  </conditionalFormatting>
  <conditionalFormatting sqref="T149:T160 T226:T242 T280:T308">
    <cfRule type="containsText" priority="2576" operator="containsText" dxfId="0" text="Met">
      <formula>NOT(ISERROR(SEARCH("Met",T149)))</formula>
    </cfRule>
    <cfRule type="containsText" priority="2575" operator="containsText" dxfId="1" text="Not Met">
      <formula>NOT(ISERROR(SEARCH("Not Met",T149)))</formula>
    </cfRule>
  </conditionalFormatting>
  <conditionalFormatting sqref="T169:T183">
    <cfRule type="containsText" priority="2466" operator="containsText" dxfId="1" text="Not Met">
      <formula>NOT(ISERROR(SEARCH("Not Met",T169)))</formula>
    </cfRule>
    <cfRule type="containsText" priority="2467" operator="containsText" dxfId="0" text="Met">
      <formula>NOT(ISERROR(SEARCH("Met",T169)))</formula>
    </cfRule>
  </conditionalFormatting>
  <conditionalFormatting sqref="T180">
    <cfRule type="containsText" priority="2464" operator="containsText" dxfId="1" text="Not Met">
      <formula>NOT(ISERROR(SEARCH("Not Met",T180)))</formula>
    </cfRule>
    <cfRule type="containsText" priority="2465" operator="containsText" dxfId="0" text="Met">
      <formula>NOT(ISERROR(SEARCH("Met",T180)))</formula>
    </cfRule>
  </conditionalFormatting>
  <conditionalFormatting sqref="T187">
    <cfRule type="containsText" priority="2508" operator="containsText" dxfId="1" text="Not Met">
      <formula>NOT(ISERROR(SEARCH("Not Met",T187)))</formula>
    </cfRule>
    <cfRule type="containsText" priority="2509" operator="containsText" dxfId="0" text="Met">
      <formula>NOT(ISERROR(SEARCH("Met",T187)))</formula>
    </cfRule>
  </conditionalFormatting>
  <conditionalFormatting sqref="T190:T195">
    <cfRule type="containsText" priority="2506" operator="containsText" dxfId="1" text="Not Met">
      <formula>NOT(ISERROR(SEARCH("Not Met",T190)))</formula>
    </cfRule>
    <cfRule type="containsText" priority="2507" operator="containsText" dxfId="0" text="Met">
      <formula>NOT(ISERROR(SEARCH("Met",T190)))</formula>
    </cfRule>
  </conditionalFormatting>
  <conditionalFormatting sqref="T204:T205">
    <cfRule type="containsText" priority="2524" operator="containsText" dxfId="0" text="Met">
      <formula>NOT(ISERROR(SEARCH("Met",T204)))</formula>
    </cfRule>
    <cfRule type="containsText" priority="2525" operator="containsText" dxfId="1" text="Not Met">
      <formula>NOT(ISERROR(SEARCH("Not Met",T204)))</formula>
    </cfRule>
    <cfRule type="containsText" priority="2528" operator="containsText" dxfId="0" text="Met">
      <formula>NOT(ISERROR(SEARCH("Met",T204)))</formula>
    </cfRule>
    <cfRule type="containsText" priority="2526" operator="containsText" dxfId="0" text="Met">
      <formula>NOT(ISERROR(SEARCH("Met",T204)))</formula>
    </cfRule>
    <cfRule type="containsText" priority="2531" operator="containsText" dxfId="1" text="Not Met">
      <formula>NOT(ISERROR(SEARCH("Not Met",T204)))</formula>
    </cfRule>
    <cfRule type="containsText" priority="2533" operator="containsText" dxfId="1" text="Not Met">
      <formula>NOT(ISERROR(SEARCH("Not Met",T204)))</formula>
    </cfRule>
    <cfRule type="containsText" priority="2530" operator="containsText" dxfId="0" text="Met">
      <formula>NOT(ISERROR(SEARCH("Met",T204)))</formula>
    </cfRule>
    <cfRule type="containsText" priority="2527" operator="containsText" dxfId="1" text="Not Met">
      <formula>NOT(ISERROR(SEARCH("Not Met",T204)))</formula>
    </cfRule>
    <cfRule type="containsText" priority="2529" operator="containsText" dxfId="1" text="Not Met">
      <formula>NOT(ISERROR(SEARCH("Not Met",T204)))</formula>
    </cfRule>
    <cfRule type="containsText" priority="2536" operator="containsText" dxfId="0" text="Met">
      <formula>NOT(ISERROR(SEARCH("Met",T204)))</formula>
    </cfRule>
    <cfRule type="containsText" priority="2535" operator="containsText" dxfId="1" text="Not Met">
      <formula>NOT(ISERROR(SEARCH("Not Met",T204)))</formula>
    </cfRule>
    <cfRule type="containsText" priority="2532" operator="containsText" dxfId="0" text="Met">
      <formula>NOT(ISERROR(SEARCH("Met",T204)))</formula>
    </cfRule>
    <cfRule type="containsText" priority="2534" operator="containsText" dxfId="0" text="Met">
      <formula>NOT(ISERROR(SEARCH("Met",T204)))</formula>
    </cfRule>
    <cfRule type="containsText" priority="2523" operator="containsText" dxfId="1" text="Not Met">
      <formula>NOT(ISERROR(SEARCH("Not Met",T204)))</formula>
    </cfRule>
  </conditionalFormatting>
  <conditionalFormatting sqref="T226:T242 T287:T293 T302:T308">
    <cfRule type="containsText" priority="2574" operator="containsText" dxfId="0" text="Met">
      <formula>NOT(ISERROR(SEARCH("Met",T226)))</formula>
    </cfRule>
  </conditionalFormatting>
  <conditionalFormatting sqref="T226:T242 T287:T293">
    <cfRule type="containsText" priority="2573" operator="containsText" dxfId="1" text="Not Met">
      <formula>NOT(ISERROR(SEARCH("Not Met",T226)))</formula>
    </cfRule>
  </conditionalFormatting>
  <conditionalFormatting sqref="T257:T279">
    <cfRule type="containsText" priority="2426" operator="containsText" dxfId="0" text="Met">
      <formula>NOT(ISERROR(SEARCH("Met",T257)))</formula>
    </cfRule>
    <cfRule type="containsText" priority="2425" operator="containsText" dxfId="1" text="Not Met">
      <formula>NOT(ISERROR(SEARCH("Not Met",T257)))</formula>
    </cfRule>
  </conditionalFormatting>
  <conditionalFormatting sqref="T271:T279">
    <cfRule type="containsText" priority="2423" operator="containsText" dxfId="1" text="Not Met">
      <formula>NOT(ISERROR(SEARCH("Not Met",T271)))</formula>
    </cfRule>
    <cfRule type="containsText" priority="2424" operator="containsText" dxfId="0" text="Met">
      <formula>NOT(ISERROR(SEARCH("Met",T271)))</formula>
    </cfRule>
  </conditionalFormatting>
  <conditionalFormatting sqref="T280:T286">
    <cfRule type="containsText" priority="2586" operator="containsText" dxfId="0" text="Met">
      <formula>NOT(ISERROR(SEARCH("Met",T280)))</formula>
    </cfRule>
    <cfRule type="containsText" priority="2585" operator="containsText" dxfId="1" text="Not Met">
      <formula>NOT(ISERROR(SEARCH("Not Met",T280)))</formula>
    </cfRule>
  </conditionalFormatting>
  <conditionalFormatting sqref="T302:T309">
    <cfRule type="containsText" priority="2431" operator="containsText" dxfId="1" text="Not Met">
      <formula>NOT(ISERROR(SEARCH("Not Met",T302)))</formula>
    </cfRule>
  </conditionalFormatting>
  <conditionalFormatting sqref="T309:T328">
    <cfRule type="containsText" priority="2428" operator="containsText" dxfId="0" text="Met">
      <formula>NOT(ISERROR(SEARCH("Met",T309)))</formula>
    </cfRule>
    <cfRule type="containsText" priority="2427" operator="containsText" dxfId="1" text="Not Met">
      <formula>NOT(ISERROR(SEARCH("Not Met",T309)))</formula>
    </cfRule>
  </conditionalFormatting>
  <conditionalFormatting sqref="T317:T328">
    <cfRule type="containsText" priority="2579" operator="containsText" dxfId="1" text="Not Met">
      <formula>NOT(ISERROR(SEARCH("Not Met",T317)))</formula>
    </cfRule>
    <cfRule type="containsText" priority="2580" operator="containsText" dxfId="0" text="Met">
      <formula>NOT(ISERROR(SEARCH("Met",T317)))</formula>
    </cfRule>
  </conditionalFormatting>
  <conditionalFormatting sqref="T337:T343">
    <cfRule type="containsText" priority="2486" operator="containsText" dxfId="1" text="Not Met">
      <formula>NOT(ISERROR(SEARCH("Not Met",T337)))</formula>
    </cfRule>
    <cfRule type="containsText" priority="2487" operator="containsText" dxfId="0" text="Met">
      <formula>NOT(ISERROR(SEARCH("Met",T337)))</formula>
    </cfRule>
  </conditionalFormatting>
  <conditionalFormatting sqref="T337:T345">
    <cfRule type="containsText" priority="2489" operator="containsText" dxfId="0" text="Met">
      <formula>NOT(ISERROR(SEARCH("Met",T337)))</formula>
    </cfRule>
    <cfRule type="containsText" priority="2488" operator="containsText" dxfId="1" text="Not Met">
      <formula>NOT(ISERROR(SEARCH("Not Met",T337)))</formula>
    </cfRule>
  </conditionalFormatting>
  <conditionalFormatting sqref="T351">
    <cfRule type="containsText" priority="2494" operator="containsText" dxfId="1" text="Not Met">
      <formula>NOT(ISERROR(SEARCH("Not Met",T351)))</formula>
    </cfRule>
    <cfRule type="containsText" priority="2495" operator="containsText" dxfId="0" text="Met">
      <formula>NOT(ISERROR(SEARCH("Met",T351)))</formula>
    </cfRule>
  </conditionalFormatting>
  <conditionalFormatting sqref="T351:T358">
    <cfRule type="containsText" priority="2609" operator="containsText" dxfId="1" text="Not Met">
      <formula>NOT(ISERROR(SEARCH("Not Met",T351)))</formula>
    </cfRule>
    <cfRule type="containsText" priority="2610" operator="containsText" dxfId="0" text="Met">
      <formula>NOT(ISERROR(SEARCH("Met",T351)))</formula>
    </cfRule>
  </conditionalFormatting>
  <conditionalFormatting sqref="T352:T358">
    <cfRule type="containsText" priority="2608" operator="containsText" dxfId="0" text="Met">
      <formula>NOT(ISERROR(SEARCH("Met",T352)))</formula>
    </cfRule>
    <cfRule type="containsText" priority="2607" operator="containsText" dxfId="1" text="Not Met">
      <formula>NOT(ISERROR(SEARCH("Not Met",T352)))</formula>
    </cfRule>
  </conditionalFormatting>
  <conditionalFormatting sqref="T358">
    <cfRule type="containsText" priority="2606" operator="containsText" dxfId="0" text="Met">
      <formula>NOT(ISERROR(SEARCH("Met",T358)))</formula>
    </cfRule>
    <cfRule type="containsText" priority="2605" operator="containsText" dxfId="1" text="Not Met">
      <formula>NOT(ISERROR(SEARCH("Not Met",T358)))</formula>
    </cfRule>
  </conditionalFormatting>
  <conditionalFormatting sqref="T358:T359">
    <cfRule type="containsText" priority="2602" operator="containsText" dxfId="0" text="Met">
      <formula>NOT(ISERROR(SEARCH("Met",T358)))</formula>
    </cfRule>
    <cfRule type="containsText" priority="2601" operator="containsText" dxfId="1" text="Not Met">
      <formula>NOT(ISERROR(SEARCH("Not Met",T358)))</formula>
    </cfRule>
  </conditionalFormatting>
  <conditionalFormatting sqref="T359">
    <cfRule type="containsText" priority="2599" operator="containsText" dxfId="1" text="Not Met">
      <formula>NOT(ISERROR(SEARCH("Not Met",T359)))</formula>
    </cfRule>
    <cfRule type="containsText" priority="2600" operator="containsText" dxfId="0" text="Met">
      <formula>NOT(ISERROR(SEARCH("Met",T359)))</formula>
    </cfRule>
  </conditionalFormatting>
  <conditionalFormatting sqref="T371:T382 T384:T417 T419:T424">
    <cfRule type="containsText" priority="2434" operator="containsText" dxfId="0" text="Met">
      <formula>NOT(ISERROR(SEARCH("Met",T371)))</formula>
    </cfRule>
  </conditionalFormatting>
  <conditionalFormatting sqref="T371:T382 T419:T424">
    <cfRule type="containsText" priority="2433" operator="containsText" dxfId="1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priority="2439" operator="containsText" dxfId="0" text="Met">
      <formula>NOT(ISERROR(SEARCH("Met",T381)))</formula>
    </cfRule>
    <cfRule type="containsText" priority="2438" operator="containsText" dxfId="1" text="Not Met">
      <formula>NOT(ISERROR(SEARCH("Not Met",T381)))</formula>
    </cfRule>
  </conditionalFormatting>
  <conditionalFormatting sqref="T384:T417">
    <cfRule type="containsText" priority="2432" operator="containsText" dxfId="1" text="Not Met">
      <formula>NOT(ISERROR(SEARCH("Not Met",T384)))</formula>
    </cfRule>
  </conditionalFormatting>
  <conditionalFormatting sqref="T402:T403 T405 T409:T410 T412 T426">
    <cfRule type="containsText" priority="2437" operator="containsText" dxfId="0" text="Met">
      <formula>NOT(ISERROR(SEARCH("Met",T402)))</formula>
    </cfRule>
    <cfRule type="containsText" priority="2436" operator="containsText" dxfId="1" text="Not Met">
      <formula>NOT(ISERROR(SEARCH("Not Met",T402)))</formula>
    </cfRule>
  </conditionalFormatting>
  <conditionalFormatting sqref="T430">
    <cfRule type="containsText" priority="2587" operator="containsText" dxfId="1" text="Not Met">
      <formula>NOT(ISERROR(SEARCH("Not Met",T430)))</formula>
    </cfRule>
    <cfRule type="containsText" priority="2588" operator="containsText" dxfId="0" text="Met">
      <formula>NOT(ISERROR(SEARCH("Met",T430)))</formula>
    </cfRule>
  </conditionalFormatting>
  <conditionalFormatting sqref="T435:T438 T440">
    <cfRule type="containsText" priority="2593" operator="containsText" dxfId="1" text="Not Met">
      <formula>NOT(ISERROR(SEARCH("Not Met",T435)))</formula>
    </cfRule>
    <cfRule type="containsText" priority="2592" operator="containsText" dxfId="0" text="Met">
      <formula>NOT(ISERROR(SEARCH("Met",T435)))</formula>
    </cfRule>
    <cfRule type="containsText" priority="2591" operator="containsText" dxfId="1" text="Not Met">
      <formula>NOT(ISERROR(SEARCH("Not Met",T435)))</formula>
    </cfRule>
  </conditionalFormatting>
  <conditionalFormatting sqref="T435:T438">
    <cfRule type="containsText" priority="2589" operator="containsText" dxfId="1" text="Not Met">
      <formula>NOT(ISERROR(SEARCH("Not Met",T435)))</formula>
    </cfRule>
    <cfRule type="containsText" priority="2590" operator="containsText" dxfId="0" text="Met">
      <formula>NOT(ISERROR(SEARCH("Met",T435)))</formula>
    </cfRule>
  </conditionalFormatting>
  <conditionalFormatting sqref="T440:T449">
    <cfRule type="containsText" priority="2493" operator="containsText" dxfId="0" text="Met">
      <formula>NOT(ISERROR(SEARCH("Met",T440)))</formula>
    </cfRule>
    <cfRule type="containsText" priority="2492" operator="containsText" dxfId="1" text="Not Met">
      <formula>NOT(ISERROR(SEARCH("Not Met",T440)))</formula>
    </cfRule>
  </conditionalFormatting>
  <conditionalFormatting sqref="T441:T449">
    <cfRule type="containsText" priority="2490" operator="containsText" dxfId="1" text="Not Met">
      <formula>NOT(ISERROR(SEARCH("Not Met",T441)))</formula>
    </cfRule>
    <cfRule type="containsText" priority="2491" operator="containsText" dxfId="0" text="Met">
      <formula>NOT(ISERROR(SEARCH("Met",T441)))</formula>
    </cfRule>
  </conditionalFormatting>
  <conditionalFormatting sqref="T456:T457">
    <cfRule type="containsText" priority="2559" operator="containsText" dxfId="1" text="Not Met">
      <formula>NOT(ISERROR(SEARCH("Not Met",T456)))</formula>
    </cfRule>
    <cfRule type="containsText" priority="2560" operator="containsText" dxfId="0" text="Met">
      <formula>NOT(ISERROR(SEARCH("Met",T456)))</formula>
    </cfRule>
    <cfRule type="containsText" priority="2561" operator="containsText" dxfId="1" text="Not Met">
      <formula>NOT(ISERROR(SEARCH("Not Met",T456)))</formula>
    </cfRule>
    <cfRule type="containsText" priority="2562" operator="containsText" dxfId="0" text="Met">
      <formula>NOT(ISERROR(SEARCH("Met",T456)))</formula>
    </cfRule>
  </conditionalFormatting>
  <conditionalFormatting sqref="T80:U80">
    <cfRule type="containsText" priority="2445" operator="containsText" dxfId="0" text="Met">
      <formula>NOT(ISERROR(SEARCH("Met",T80)))</formula>
    </cfRule>
    <cfRule type="containsText" priority="2444" operator="containsText" dxfId="1" text="Not Met">
      <formula>NOT(ISERROR(SEARCH("Not Met",T80)))</formula>
    </cfRule>
  </conditionalFormatting>
  <conditionalFormatting sqref="T184:U184">
    <cfRule type="containsText" priority="2471" operator="containsText" dxfId="0" text="Met">
      <formula>NOT(ISERROR(SEARCH("Met",T184)))</formula>
    </cfRule>
    <cfRule type="containsText" priority="2468" operator="containsText" dxfId="1" text="Not Met">
      <formula>NOT(ISERROR(SEARCH("Not Met",T184)))</formula>
    </cfRule>
    <cfRule type="containsText" priority="2469" operator="containsText" dxfId="0" text="Met">
      <formula>NOT(ISERROR(SEARCH("Met",T184)))</formula>
    </cfRule>
    <cfRule type="containsText" priority="2470" operator="containsText" dxfId="1" text="Not Met">
      <formula>NOT(ISERROR(SEARCH("Not Met",T184)))</formula>
    </cfRule>
  </conditionalFormatting>
  <conditionalFormatting sqref="T196:U205">
    <cfRule type="containsText" priority="2538" operator="containsText" dxfId="0" text="Met">
      <formula>NOT(ISERROR(SEARCH("Met",T196)))</formula>
    </cfRule>
    <cfRule type="containsText" priority="2537" operator="containsText" dxfId="1" text="Not Met">
      <formula>NOT(ISERROR(SEARCH("Not Met",T196)))</formula>
    </cfRule>
  </conditionalFormatting>
  <conditionalFormatting sqref="T317:U328">
    <cfRule type="containsText" priority="2582" operator="containsText" dxfId="0" text="Met">
      <formula>NOT(ISERROR(SEARCH("Met",T317)))</formula>
    </cfRule>
    <cfRule type="containsText" priority="2581" operator="containsText" dxfId="1" text="Not Met">
      <formula>NOT(ISERROR(SEARCH("Not Met",T317)))</formula>
    </cfRule>
  </conditionalFormatting>
  <conditionalFormatting sqref="T367:U370">
    <cfRule type="containsText" priority="2474" operator="containsText" dxfId="1" text="Not Met">
      <formula>NOT(ISERROR(SEARCH("Not Met",T367)))</formula>
    </cfRule>
    <cfRule type="containsText" priority="2475" operator="containsText" dxfId="0" text="Met">
      <formula>NOT(ISERROR(SEARCH("Met",T367)))</formula>
    </cfRule>
  </conditionalFormatting>
  <conditionalFormatting sqref="T11:V11">
    <cfRule type="containsText" priority="2301" operator="containsText" dxfId="1" text="Not Met">
      <formula>NOT(ISERROR(SEARCH("Not Met",T11)))</formula>
    </cfRule>
    <cfRule type="containsText" priority="2302" operator="containsText" dxfId="0" text="Met">
      <formula>NOT(ISERROR(SEARCH("Met",T11)))</formula>
    </cfRule>
  </conditionalFormatting>
  <conditionalFormatting sqref="U6:U15">
    <cfRule type="containsText" priority="2557" operator="containsText" dxfId="1" text="Not Met">
      <formula>NOT(ISERROR(SEARCH("Not Met",U6)))</formula>
    </cfRule>
    <cfRule type="containsText" priority="2558" operator="containsText" dxfId="0" text="Met">
      <formula>NOT(ISERROR(SEARCH("Met",U6)))</formula>
    </cfRule>
  </conditionalFormatting>
  <conditionalFormatting sqref="U66 U74 U77:U78 U84:U86 U88 U90 U92 U95 U121 U126 U131 U134 U140 U144:U145 U147:U148 U174 U176 U190:U192 U194:U195 U310:U312 U315:U316 U330 U332:U333 U336 U348:U349 U351:U354 U371 U373:U375 U377 U386 U390 U393 U397 U405:U408 U410 U412:U414 U418 U420:U421 U455">
    <cfRule type="containsText" priority="2455" operator="containsText" dxfId="0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priority="2454" operator="containsText" dxfId="1" text="Not Met">
      <formula>NOT(ISERROR(SEARCH("Not Met",U66)))</formula>
    </cfRule>
  </conditionalFormatting>
  <conditionalFormatting sqref="T347:U349 U66:U70 U72:U79 U81:U103 U119:U121 U126:U148 U169:U183 U185:U195 U309:V316 U330:U336 U351:U359 U371:U379 U384:U387 U389:U390 U392:U401 U403:U408 U410:U415 U417:U418 U420:U421 U426:U440 U450:U455">
    <cfRule type="containsText" priority="2457" operator="containsText" dxfId="0" text="Met">
      <formula>NOT(ISERROR(SEARCH("Met",T66)))</formula>
    </cfRule>
    <cfRule type="containsText" priority="2456" operator="containsText" dxfId="1" text="Not Met">
      <formula>NOT(ISERROR(SEARCH("Not Met",T66)))</formula>
    </cfRule>
  </conditionalFormatting>
  <conditionalFormatting sqref="U100:V100 X100">
    <cfRule type="containsText" priority="2396" operator="containsText" dxfId="0" text="Met">
      <formula>NOT(ISERROR(SEARCH("Met",U100)))</formula>
    </cfRule>
    <cfRule type="containsText" priority="2395" operator="containsText" dxfId="1" text="Not Met">
      <formula>NOT(ISERROR(SEARCH("Not Met",U100)))</formula>
    </cfRule>
  </conditionalFormatting>
  <conditionalFormatting sqref="U121:V121 V125">
    <cfRule type="containsText" priority="2212" operator="containsText" dxfId="1" text="Not Met">
      <formula>NOT(ISERROR(SEARCH("Not Met",U121)))</formula>
    </cfRule>
  </conditionalFormatting>
  <conditionalFormatting sqref="U294:V299 X294:X299">
    <cfRule type="containsText" priority="2410" operator="containsText" dxfId="0" text="Met">
      <formula>NOT(ISERROR(SEARCH("Met",U294)))</formula>
    </cfRule>
    <cfRule type="containsText" priority="2409" operator="containsText" dxfId="1" text="Not Met">
      <formula>NOT(ISERROR(SEARCH("Not Met",U294)))</formula>
    </cfRule>
  </conditionalFormatting>
  <conditionalFormatting sqref="U299:V299 X299">
    <cfRule type="containsText" priority="2408" operator="containsText" dxfId="0" text="Met">
      <formula>NOT(ISERROR(SEARCH("Met",U299)))</formula>
    </cfRule>
    <cfRule type="containsText" priority="2407" operator="containsText" dxfId="1" text="Not Met">
      <formula>NOT(ISERROR(SEARCH("Not Met",U299)))</formula>
    </cfRule>
  </conditionalFormatting>
  <conditionalFormatting sqref="U351:V354">
    <cfRule type="containsText" priority="2218" operator="containsText" dxfId="1" text="Not Met">
      <formula>NOT(ISERROR(SEARCH("Not Met",U351)))</formula>
    </cfRule>
  </conditionalFormatting>
  <conditionalFormatting sqref="U428:V431 U433:V434 X428:X431 X433:X434">
    <cfRule type="containsText" priority="2374" operator="containsText" dxfId="1" text="Not Met">
      <formula>NOT(ISERROR(SEARCH("Not Met",U428)))</formula>
    </cfRule>
    <cfRule type="containsText" priority="2375" operator="containsText" dxfId="0" text="Met">
      <formula>NOT(ISERROR(SEARCH("Met",U428)))</formula>
    </cfRule>
  </conditionalFormatting>
  <conditionalFormatting sqref="U70:X70 U437:X437 V71:X71 V356:W356 V358:W359 W78:W100 W119:W121 W125:W148 W169:W183 W294:W296 W330:W336 W348:W349 W351:W354 W367:W380 W385:W386 W390:W401 W403:W408 W410:W415 W417:W422 W441:W457">
    <cfRule type="containsText" priority="2139" operator="containsText" dxfId="1" text="Not Met">
      <formula>NOT(ISERROR(SEARCH("Not Met",U70)))</formula>
    </cfRule>
    <cfRule type="containsText" priority="2140" operator="containsText" dxfId="0" text="Met">
      <formula>NOT(ISERROR(SEARCH("Met",U70)))</formula>
    </cfRule>
  </conditionalFormatting>
  <conditionalFormatting sqref="U301:Y301">
    <cfRule type="containsText" priority="2414" operator="containsText" dxfId="0" text="Met">
      <formula>NOT(ISERROR(SEARCH("Met",U301)))</formula>
    </cfRule>
    <cfRule type="containsText" priority="2413" operator="containsText" dxfId="1" text="Not Met">
      <formula>NOT(ISERROR(SEARCH("Not Met",U301)))</formula>
    </cfRule>
  </conditionalFormatting>
  <conditionalFormatting sqref="V2:V5">
    <cfRule type="containsText" priority="2189" operator="containsText" dxfId="1" text="Not Met">
      <formula>NOT(ISERROR(SEARCH("Not Met",V2)))</formula>
    </cfRule>
    <cfRule type="containsText" priority="2190" operator="containsText" dxfId="0" text="Met">
      <formula>NOT(ISERROR(SEARCH("Met",V2)))</formula>
    </cfRule>
  </conditionalFormatting>
  <conditionalFormatting sqref="V5:V6">
    <cfRule type="containsText" priority="2191" operator="containsText" dxfId="1" text="Not Met">
      <formula>NOT(ISERROR(SEARCH("Not Met",V5)))</formula>
    </cfRule>
    <cfRule type="containsText" priority="2192" operator="containsText" dxfId="0" text="Met">
      <formula>NOT(ISERROR(SEARCH("Met",V5)))</formula>
    </cfRule>
  </conditionalFormatting>
  <conditionalFormatting sqref="V7:V15 W12:Y15">
    <cfRule type="containsText" priority="2311" operator="containsText" dxfId="1" text="Not Met">
      <formula>NOT(ISERROR(SEARCH("Not Met",V7)))</formula>
    </cfRule>
    <cfRule type="containsText" priority="2312" operator="containsText" dxfId="0" text="Met">
      <formula>NOT(ISERROR(SEARCH("Met",V7)))</formula>
    </cfRule>
  </conditionalFormatting>
  <conditionalFormatting sqref="V16:V19">
    <cfRule type="containsText" priority="2300" operator="containsText" dxfId="0" text="Met">
      <formula>NOT(ISERROR(SEARCH("Met",V16)))</formula>
    </cfRule>
    <cfRule type="containsText" priority="2299" operator="containsText" dxfId="1" text="Not Met">
      <formula>NOT(ISERROR(SEARCH("Not Met",V16)))</formula>
    </cfRule>
    <cfRule type="containsText" priority="2298" operator="containsText" dxfId="0" text="Met">
      <formula>NOT(ISERROR(SEARCH("Met",V16)))</formula>
    </cfRule>
    <cfRule type="containsText" priority="2297" operator="containsText" dxfId="1" text="Not Met">
      <formula>NOT(ISERROR(SEARCH("Not Met",V16)))</formula>
    </cfRule>
  </conditionalFormatting>
  <conditionalFormatting sqref="V42:V48 X42:X48">
    <cfRule type="containsText" priority="2196" operator="containsText" dxfId="0" text="Met">
      <formula>NOT(ISERROR(SEARCH("Met",V42)))</formula>
    </cfRule>
    <cfRule type="containsText" priority="2195" operator="containsText" dxfId="1" text="Not Met">
      <formula>NOT(ISERROR(SEARCH("Not Met",V42)))</formula>
    </cfRule>
  </conditionalFormatting>
  <conditionalFormatting sqref="V42:V53">
    <cfRule type="containsText" priority="2172" operator="containsText" dxfId="0" text="Met">
      <formula>NOT(ISERROR(SEARCH("Met",V42)))</formula>
    </cfRule>
    <cfRule type="containsText" priority="2171" operator="containsText" dxfId="1" text="Not Met">
      <formula>NOT(ISERROR(SEARCH("Not Met",V42)))</formula>
    </cfRule>
  </conditionalFormatting>
  <conditionalFormatting sqref="V51">
    <cfRule type="containsText" priority="2176" operator="containsText" dxfId="0" text="Met">
      <formula>NOT(ISERROR(SEARCH("Met",V51)))</formula>
    </cfRule>
    <cfRule type="containsText" priority="2175" operator="containsText" dxfId="1" text="Not Met">
      <formula>NOT(ISERROR(SEARCH("Not Met",V51)))</formula>
    </cfRule>
  </conditionalFormatting>
  <conditionalFormatting sqref="V78:V89">
    <cfRule type="containsText" priority="2152" operator="containsText" dxfId="488" text="Not met">
      <formula>NOT(ISERROR(SEARCH("Not met",V78)))</formula>
    </cfRule>
  </conditionalFormatting>
  <conditionalFormatting sqref="V90:V100">
    <cfRule type="containsText" priority="2386" operator="containsText" dxfId="0" text="Met">
      <formula>NOT(ISERROR(SEARCH("Met",V90)))</formula>
    </cfRule>
    <cfRule type="containsText" priority="2384" operator="containsText" dxfId="1" text="Not Met">
      <formula>NOT(ISERROR(SEARCH("Not Met",V90)))</formula>
    </cfRule>
  </conditionalFormatting>
  <conditionalFormatting sqref="V104:V110 X104:X110">
    <cfRule type="containsText" priority="2197" operator="containsText" dxfId="1" text="Not Met">
      <formula>NOT(ISERROR(SEARCH("Not Met",V104)))</formula>
    </cfRule>
    <cfRule type="containsText" priority="2198" operator="containsText" dxfId="0" text="Met">
      <formula>NOT(ISERROR(SEARCH("Met",V104)))</formula>
    </cfRule>
    <cfRule type="containsText" priority="2199" operator="containsText" dxfId="1" text="Not Met">
      <formula>NOT(ISERROR(SEARCH("Not Met",V104)))</formula>
    </cfRule>
    <cfRule type="containsText" priority="2200" operator="containsText" dxfId="0" text="Met">
      <formula>NOT(ISERROR(SEARCH("Met",V104)))</formula>
    </cfRule>
  </conditionalFormatting>
  <conditionalFormatting sqref="U126:V126 V119:V120 V122:W124 X119:X126">
    <cfRule type="containsText" priority="2214" operator="containsText" dxfId="1" text="Not Met">
      <formula>NOT(ISERROR(SEARCH("Not Met",U119)))</formula>
    </cfRule>
  </conditionalFormatting>
  <conditionalFormatting sqref="V119:V121 V125:V126">
    <cfRule type="containsText" priority="2213" operator="containsText" dxfId="0" text="Met">
      <formula>NOT(ISERROR(SEARCH("Met",V119)))</formula>
    </cfRule>
  </conditionalFormatting>
  <conditionalFormatting sqref="V122:V124">
    <cfRule type="containsText" priority="2201" operator="containsText" dxfId="0" text="Met">
      <formula>NOT(ISERROR(SEARCH("Met",V122)))</formula>
    </cfRule>
  </conditionalFormatting>
  <conditionalFormatting sqref="V127">
    <cfRule type="containsText" priority="2021" operator="containsText" dxfId="0" text="Met">
      <formula>NOT(ISERROR(SEARCH("Met",V127)))</formula>
    </cfRule>
    <cfRule type="containsText" priority="2020" operator="containsText" dxfId="1" text="Not Met">
      <formula>NOT(ISERROR(SEARCH("Not Met",V127)))</formula>
    </cfRule>
  </conditionalFormatting>
  <conditionalFormatting sqref="V132:V138">
    <cfRule type="containsText" priority="2012" operator="containsText" dxfId="1" text="Not Met">
      <formula>NOT(ISERROR(SEARCH("Not Met",V132)))</formula>
    </cfRule>
  </conditionalFormatting>
  <conditionalFormatting sqref="V132:V140">
    <cfRule type="containsText" priority="2013" operator="containsText" dxfId="0" text="Met">
      <formula>NOT(ISERROR(SEARCH("Met",V132)))</formula>
    </cfRule>
  </conditionalFormatting>
  <conditionalFormatting sqref="V139:V140">
    <cfRule type="containsText" priority="2057" operator="containsText" dxfId="1" text="Not Met">
      <formula>NOT(ISERROR(SEARCH("Not Met",V139)))</formula>
    </cfRule>
  </conditionalFormatting>
  <conditionalFormatting sqref="V142:V160">
    <cfRule type="containsText" priority="2043" operator="containsText" dxfId="0" text="Met">
      <formula>NOT(ISERROR(SEARCH("Met",V142)))</formula>
    </cfRule>
    <cfRule type="containsText" priority="2042" operator="containsText" dxfId="1" text="Not Met">
      <formula>NOT(ISERROR(SEARCH("Not Met",V142)))</formula>
    </cfRule>
  </conditionalFormatting>
  <conditionalFormatting sqref="V149:V160">
    <cfRule type="containsText" priority="2353" operator="containsText" dxfId="0" text="Met">
      <formula>NOT(ISERROR(SEARCH("Met",V149)))</formula>
    </cfRule>
    <cfRule type="containsText" priority="2352" operator="containsText" dxfId="1" text="Not Met">
      <formula>NOT(ISERROR(SEARCH("Not Met",V149)))</formula>
    </cfRule>
  </conditionalFormatting>
  <conditionalFormatting sqref="V169:V184 X181:X184">
    <cfRule type="containsText" priority="2144" operator="containsText" dxfId="0" text="Met">
      <formula>NOT(ISERROR(SEARCH("Met",V169)))</formula>
    </cfRule>
    <cfRule type="containsText" priority="2143" operator="containsText" dxfId="1" text="Not Met">
      <formula>NOT(ISERROR(SEARCH("Not Met",V169)))</formula>
    </cfRule>
  </conditionalFormatting>
  <conditionalFormatting sqref="V180">
    <cfRule type="containsText" priority="2141" operator="containsText" dxfId="1" text="Not Met">
      <formula>NOT(ISERROR(SEARCH("Not Met",V180)))</formula>
    </cfRule>
    <cfRule type="containsText" priority="2142" operator="containsText" dxfId="0" text="Met">
      <formula>NOT(ISERROR(SEARCH("Met",V180)))</formula>
    </cfRule>
  </conditionalFormatting>
  <conditionalFormatting sqref="V187">
    <cfRule type="containsText" priority="2036" operator="containsText" dxfId="1" text="Not Met">
      <formula>NOT(ISERROR(SEARCH("Not Met",V187)))</formula>
    </cfRule>
    <cfRule type="containsText" priority="2037" operator="containsText" dxfId="0" text="Met">
      <formula>NOT(ISERROR(SEARCH("Met",V187)))</formula>
    </cfRule>
  </conditionalFormatting>
  <conditionalFormatting sqref="V190:V195">
    <cfRule type="containsText" priority="2029" operator="containsText" dxfId="0" text="Met">
      <formula>NOT(ISERROR(SEARCH("Met",V190)))</formula>
    </cfRule>
    <cfRule type="containsText" priority="2028" operator="containsText" dxfId="1" text="Not Met">
      <formula>NOT(ISERROR(SEARCH("Not Met",V190)))</formula>
    </cfRule>
  </conditionalFormatting>
  <conditionalFormatting sqref="V196:V203 V206:V242 X196:X199 X202:X242">
    <cfRule type="containsText" priority="2275" operator="containsText" dxfId="1" text="Not Met">
      <formula>NOT(ISERROR(SEARCH("Not Met",V196)))</formula>
    </cfRule>
  </conditionalFormatting>
  <conditionalFormatting sqref="V196:V204">
    <cfRule type="containsText" priority="2274" operator="containsText" dxfId="0" text="Met">
      <formula>NOT(ISERROR(SEARCH("Met",V196)))</formula>
    </cfRule>
  </conditionalFormatting>
  <conditionalFormatting sqref="V204">
    <cfRule type="containsText" priority="2262" operator="containsText" dxfId="0" text="Met">
      <formula>NOT(ISERROR(SEARCH("Met",V204)))</formula>
    </cfRule>
    <cfRule type="containsText" priority="2263" operator="containsText" dxfId="1" text="Not Met">
      <formula>NOT(ISERROR(SEARCH("Not Met",V204)))</formula>
    </cfRule>
    <cfRule type="containsText" priority="2264" operator="containsText" dxfId="0" text="Met">
      <formula>NOT(ISERROR(SEARCH("Met",V204)))</formula>
    </cfRule>
    <cfRule type="containsText" priority="2265" operator="containsText" dxfId="1" text="Not Met">
      <formula>NOT(ISERROR(SEARCH("Not Met",V204)))</formula>
    </cfRule>
    <cfRule type="containsText" priority="2266" operator="containsText" dxfId="0" text="Met">
      <formula>NOT(ISERROR(SEARCH("Met",V204)))</formula>
    </cfRule>
    <cfRule type="containsText" priority="2267" operator="containsText" dxfId="1" text="Not Met">
      <formula>NOT(ISERROR(SEARCH("Not Met",V204)))</formula>
    </cfRule>
    <cfRule type="containsText" priority="2268" operator="containsText" dxfId="0" text="Met">
      <formula>NOT(ISERROR(SEARCH("Met",V204)))</formula>
    </cfRule>
    <cfRule type="containsText" priority="2269" operator="containsText" dxfId="1" text="Not Met">
      <formula>NOT(ISERROR(SEARCH("Not Met",V204)))</formula>
    </cfRule>
    <cfRule type="containsText" priority="2270" operator="containsText" dxfId="0" text="Met">
      <formula>NOT(ISERROR(SEARCH("Met",V204)))</formula>
    </cfRule>
    <cfRule type="containsText" priority="2271" operator="containsText" dxfId="1" text="Not Met">
      <formula>NOT(ISERROR(SEARCH("Not Met",V204)))</formula>
    </cfRule>
    <cfRule type="containsText" priority="2272" operator="containsText" dxfId="0" text="Met">
      <formula>NOT(ISERROR(SEARCH("Met",V204)))</formula>
    </cfRule>
    <cfRule type="containsText" priority="2273" operator="containsText" dxfId="1" text="Not Met">
      <formula>NOT(ISERROR(SEARCH("Not Met",V204)))</formula>
    </cfRule>
    <cfRule type="containsText" priority="2261" operator="containsText" dxfId="1" text="Not Met">
      <formula>NOT(ISERROR(SEARCH("Not Met",V204)))</formula>
    </cfRule>
  </conditionalFormatting>
  <conditionalFormatting sqref="V204:V205">
    <cfRule type="containsText" priority="2257" operator="containsText" dxfId="1" text="Not Met">
      <formula>NOT(ISERROR(SEARCH("Not Met",V204)))</formula>
    </cfRule>
  </conditionalFormatting>
  <conditionalFormatting sqref="V204:V225">
    <cfRule type="containsText" priority="2258" operator="containsText" dxfId="0" text="Met">
      <formula>NOT(ISERROR(SEARCH("Met",V204)))</formula>
    </cfRule>
  </conditionalFormatting>
  <conditionalFormatting sqref="V205">
    <cfRule type="containsText" priority="2248" operator="containsText" dxfId="0" text="Met">
      <formula>NOT(ISERROR(SEARCH("Met",V205)))</formula>
    </cfRule>
    <cfRule type="containsText" priority="2243" operator="containsText" dxfId="1" text="Not Met">
      <formula>NOT(ISERROR(SEARCH("Not Met",V205)))</formula>
    </cfRule>
    <cfRule type="containsText" priority="2244" operator="containsText" dxfId="0" text="Met">
      <formula>NOT(ISERROR(SEARCH("Met",V205)))</formula>
    </cfRule>
    <cfRule type="containsText" priority="2245" operator="containsText" dxfId="1" text="Not Met">
      <formula>NOT(ISERROR(SEARCH("Not Met",V205)))</formula>
    </cfRule>
    <cfRule type="containsText" priority="2247" operator="containsText" dxfId="1" text="Not Met">
      <formula>NOT(ISERROR(SEARCH("Not Met",V205)))</formula>
    </cfRule>
    <cfRule type="containsText" priority="2246" operator="containsText" dxfId="0" text="Met">
      <formula>NOT(ISERROR(SEARCH("Met",V205)))</formula>
    </cfRule>
    <cfRule type="containsText" priority="2256" operator="containsText" dxfId="0" text="Met">
      <formula>NOT(ISERROR(SEARCH("Met",V205)))</formula>
    </cfRule>
    <cfRule type="containsText" priority="2255" operator="containsText" dxfId="1" text="Not Met">
      <formula>NOT(ISERROR(SEARCH("Not Met",V205)))</formula>
    </cfRule>
    <cfRule type="containsText" priority="2254" operator="containsText" dxfId="0" text="Met">
      <formula>NOT(ISERROR(SEARCH("Met",V205)))</formula>
    </cfRule>
    <cfRule type="containsText" priority="2253" operator="containsText" dxfId="1" text="Not Met">
      <formula>NOT(ISERROR(SEARCH("Not Met",V205)))</formula>
    </cfRule>
    <cfRule type="containsText" priority="2252" operator="containsText" dxfId="0" text="Met">
      <formula>NOT(ISERROR(SEARCH("Met",V205)))</formula>
    </cfRule>
    <cfRule type="containsText" priority="2251" operator="containsText" dxfId="1" text="Not Met">
      <formula>NOT(ISERROR(SEARCH("Not Met",V205)))</formula>
    </cfRule>
    <cfRule type="containsText" priority="2250" operator="containsText" dxfId="0" text="Met">
      <formula>NOT(ISERROR(SEARCH("Met",V205)))</formula>
    </cfRule>
    <cfRule type="containsText" priority="2249" operator="containsText" dxfId="1" text="Not Met">
      <formula>NOT(ISERROR(SEARCH("Not Met",V205)))</formula>
    </cfRule>
  </conditionalFormatting>
  <conditionalFormatting sqref="V226:V242">
    <cfRule type="containsText" priority="2344" operator="containsText" dxfId="1" text="Not Met">
      <formula>NOT(ISERROR(SEARCH("Not Met",V226)))</formula>
    </cfRule>
    <cfRule type="containsText" priority="2343" operator="containsText" dxfId="0" text="Met">
      <formula>NOT(ISERROR(SEARCH("Met",V226)))</formula>
    </cfRule>
    <cfRule type="containsText" priority="2345" operator="containsText" dxfId="0" text="Met">
      <formula>NOT(ISERROR(SEARCH("Met",V226)))</formula>
    </cfRule>
  </conditionalFormatting>
  <conditionalFormatting sqref="V257:V270 X257:X270">
    <cfRule type="containsText" priority="2337" operator="containsText" dxfId="0" text="Met">
      <formula>NOT(ISERROR(SEARCH("Met",V257)))</formula>
    </cfRule>
    <cfRule type="containsText" priority="2336" operator="containsText" dxfId="1" text="Not Met">
      <formula>NOT(ISERROR(SEARCH("Not Met",V257)))</formula>
    </cfRule>
    <cfRule type="containsText" priority="2335" operator="containsText" dxfId="0" text="Met">
      <formula>NOT(ISERROR(SEARCH("Met",V257)))</formula>
    </cfRule>
    <cfRule type="containsText" priority="2334" operator="containsText" dxfId="1" text="Not Met">
      <formula>NOT(ISERROR(SEARCH("Not Met",V257)))</formula>
    </cfRule>
  </conditionalFormatting>
  <conditionalFormatting sqref="V280:V286 X280:X286">
    <cfRule type="containsText" priority="2422" operator="containsText" dxfId="0" text="Met">
      <formula>NOT(ISERROR(SEARCH("Met",V280)))</formula>
    </cfRule>
    <cfRule type="containsText" priority="2421" operator="containsText" dxfId="1" text="Not Met">
      <formula>NOT(ISERROR(SEARCH("Not Met",V280)))</formula>
    </cfRule>
  </conditionalFormatting>
  <conditionalFormatting sqref="V280:V293">
    <cfRule type="containsText" priority="2333" operator="containsText" dxfId="0" text="Met">
      <formula>NOT(ISERROR(SEARCH("Met",V280)))</formula>
    </cfRule>
    <cfRule type="containsText" priority="2332" operator="containsText" dxfId="1" text="Not Met">
      <formula>NOT(ISERROR(SEARCH("Not Met",V280)))</formula>
    </cfRule>
  </conditionalFormatting>
  <conditionalFormatting sqref="V287:V293">
    <cfRule type="containsText" priority="2331" operator="containsText" dxfId="0" text="Met">
      <formula>NOT(ISERROR(SEARCH("Met",V287)))</formula>
    </cfRule>
    <cfRule type="containsText" priority="2330" operator="containsText" dxfId="1" text="Not Met">
      <formula>NOT(ISERROR(SEARCH("Not Met",V287)))</formula>
    </cfRule>
  </conditionalFormatting>
  <conditionalFormatting sqref="V300:V301 X300:X301">
    <cfRule type="containsText" priority="2415" operator="containsText" dxfId="1" text="Not Met">
      <formula>NOT(ISERROR(SEARCH("Not Met",V300)))</formula>
    </cfRule>
    <cfRule type="containsText" priority="2416" operator="containsText" dxfId="0" text="Met">
      <formula>NOT(ISERROR(SEARCH("Met",V300)))</formula>
    </cfRule>
  </conditionalFormatting>
  <conditionalFormatting sqref="V301:V308">
    <cfRule type="containsText" priority="2324" operator="containsText" dxfId="1" text="Not Met">
      <formula>NOT(ISERROR(SEARCH("Not Met",V301)))</formula>
    </cfRule>
    <cfRule type="containsText" priority="2325" operator="containsText" dxfId="0" text="Met">
      <formula>NOT(ISERROR(SEARCH("Met",V301)))</formula>
    </cfRule>
  </conditionalFormatting>
  <conditionalFormatting sqref="V302:V308">
    <cfRule type="containsText" priority="2322" operator="containsText" dxfId="1" text="Not Met">
      <formula>NOT(ISERROR(SEARCH("Not Met",V302)))</formula>
    </cfRule>
    <cfRule type="containsText" priority="2323" operator="containsText" dxfId="0" text="Met">
      <formula>NOT(ISERROR(SEARCH("Met",V302)))</formula>
    </cfRule>
  </conditionalFormatting>
  <conditionalFormatting sqref="V317:V328">
    <cfRule type="containsText" priority="2369" operator="containsText" dxfId="0" text="Met">
      <formula>NOT(ISERROR(SEARCH("Met",V317)))</formula>
    </cfRule>
    <cfRule type="containsText" priority="2370" operator="containsText" dxfId="1" text="Not Met">
      <formula>NOT(ISERROR(SEARCH("Not Met",V317)))</formula>
    </cfRule>
    <cfRule type="containsText" priority="2371" operator="containsText" dxfId="0" text="Met">
      <formula>NOT(ISERROR(SEARCH("Met",V317)))</formula>
    </cfRule>
    <cfRule type="containsText" priority="2368" operator="containsText" dxfId="1" text="Not Met">
      <formula>NOT(ISERROR(SEARCH("Not Met",V317)))</formula>
    </cfRule>
    <cfRule type="containsText" priority="2367" operator="containsText" dxfId="0" text="Met">
      <formula>NOT(ISERROR(SEARCH("Met",V317)))</formula>
    </cfRule>
  </conditionalFormatting>
  <conditionalFormatting sqref="V317:V330 V332:V336 X317:X330 X332:X336">
    <cfRule type="containsText" priority="2216" operator="containsText" dxfId="1" text="Not Met">
      <formula>NOT(ISERROR(SEARCH("Not Met",V317)))</formula>
    </cfRule>
  </conditionalFormatting>
  <conditionalFormatting sqref="V329:V330 X329:X330">
    <cfRule type="containsText" priority="2215" operator="containsText" dxfId="0" text="Met">
      <formula>NOT(ISERROR(SEARCH("Met",V329)))</formula>
    </cfRule>
  </conditionalFormatting>
  <conditionalFormatting sqref="V332:V351">
    <cfRule type="containsText" priority="2184" operator="containsText" dxfId="0" text="Met">
      <formula>NOT(ISERROR(SEARCH("Met",V332)))</formula>
    </cfRule>
  </conditionalFormatting>
  <conditionalFormatting sqref="V337:V343">
    <cfRule type="containsText" priority="2183" operator="containsText" dxfId="1" text="Not Met">
      <formula>NOT(ISERROR(SEARCH("Not Met",V337)))</formula>
    </cfRule>
    <cfRule type="containsText" priority="2182" operator="containsText" dxfId="0" text="Met">
      <formula>NOT(ISERROR(SEARCH("Met",V337)))</formula>
    </cfRule>
    <cfRule type="containsText" priority="2181" operator="containsText" dxfId="1" text="Not Met">
      <formula>NOT(ISERROR(SEARCH("Not Met",V337)))</formula>
    </cfRule>
  </conditionalFormatting>
  <conditionalFormatting sqref="U356:V356 U358:V359 V352:V354 X352:X359">
    <cfRule type="containsText" priority="2403" operator="containsText" dxfId="1" text="Not Met">
      <formula>NOT(ISERROR(SEARCH("Not Met",U352)))</formula>
    </cfRule>
    <cfRule type="containsText" priority="2404" operator="containsText" dxfId="0" text="Met">
      <formula>NOT(ISERROR(SEARCH("Met",U352)))</formula>
    </cfRule>
  </conditionalFormatting>
  <conditionalFormatting sqref="V367:V382 V384:V417 V419:V424">
    <cfRule type="containsText" priority="2130" operator="containsText" dxfId="0" text="Met">
      <formula>NOT(ISERROR(SEARCH("Met",V367)))</formula>
    </cfRule>
  </conditionalFormatting>
  <conditionalFormatting sqref="V367:V382 V419:V424">
    <cfRule type="containsText" priority="2129" operator="containsText" dxfId="1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priority="2134" operator="containsText" dxfId="0" text="Met">
      <formula>NOT(ISERROR(SEARCH("Met",V381)))</formula>
    </cfRule>
    <cfRule type="containsText" priority="2133" operator="containsText" dxfId="1" text="Not Met">
      <formula>NOT(ISERROR(SEARCH("Not Met",V381)))</formula>
    </cfRule>
  </conditionalFormatting>
  <conditionalFormatting sqref="V384:V417">
    <cfRule type="containsText" priority="2128" operator="containsText" dxfId="1" text="Not Met">
      <formula>NOT(ISERROR(SEARCH("Not Met",V384)))</formula>
    </cfRule>
  </conditionalFormatting>
  <conditionalFormatting sqref="V426">
    <cfRule type="containsText" priority="2132" operator="containsText" dxfId="0" text="Met">
      <formula>NOT(ISERROR(SEARCH("Met",V426)))</formula>
    </cfRule>
    <cfRule type="containsText" priority="2131" operator="containsText" dxfId="1" text="Not Met">
      <formula>NOT(ISERROR(SEARCH("Not Met",V426)))</formula>
    </cfRule>
  </conditionalFormatting>
  <conditionalFormatting sqref="V428:V431 X428:X431">
    <cfRule type="containsText" priority="2373" operator="containsText" dxfId="0" text="Met">
      <formula>NOT(ISERROR(SEARCH("Met",V428)))</formula>
    </cfRule>
    <cfRule type="containsText" priority="2372" operator="containsText" dxfId="1" text="Not Met">
      <formula>NOT(ISERROR(SEARCH("Not Met",V428)))</formula>
    </cfRule>
  </conditionalFormatting>
  <conditionalFormatting sqref="V450:V457 X450:X457">
    <cfRule type="containsText" priority="2316" operator="containsText" dxfId="1" text="Not Met">
      <formula>NOT(ISERROR(SEARCH("Not Met",V450)))</formula>
    </cfRule>
  </conditionalFormatting>
  <conditionalFormatting sqref="V450:V457">
    <cfRule type="containsText" priority="2315" operator="containsText" dxfId="0" text="Met">
      <formula>NOT(ISERROR(SEARCH("Met",V450)))</formula>
    </cfRule>
  </conditionalFormatting>
  <conditionalFormatting sqref="V70:X70 V71 W78 W80 W85:W86 W88 W90:W91 W95 W100 W119:W121 W125:W126 W174 W183 W296 W330 W332:W336 W348:W349 W351:W354 W356 W358:W359 W374:W375 W377 W380 W385:W386 W394 W400 W407:W408 W410 W420:W421 W437 W450 W455 X71">
    <cfRule type="containsText" priority="2137" operator="containsText" dxfId="1" text="Not Met">
      <formula>NOT(ISERROR(SEARCH("Not Met",V70)))</formula>
    </cfRule>
    <cfRule type="containsText" priority="2138" operator="containsText" dxfId="0" text="Met">
      <formula>NOT(ISERROR(SEARCH("Met",V70)))</formula>
    </cfRule>
  </conditionalFormatting>
  <conditionalFormatting sqref="V355:X355 V357:X357">
    <cfRule type="containsText" priority="2406" operator="containsText" dxfId="0" text="Met">
      <formula>NOT(ISERROR(SEARCH("Met",V355)))</formula>
    </cfRule>
    <cfRule type="containsText" priority="2405" operator="containsText" dxfId="1" text="Not Met">
      <formula>NOT(ISERROR(SEARCH("Not Met",V355)))</formula>
    </cfRule>
  </conditionalFormatting>
  <conditionalFormatting sqref="V101:Y103">
    <cfRule type="containsText" priority="2399" operator="containsText" dxfId="1" text="Not Met">
      <formula>NOT(ISERROR(SEARCH("Not Met",V101)))</formula>
    </cfRule>
    <cfRule type="containsText" priority="2400" operator="containsText" dxfId="0" text="Met">
      <formula>NOT(ISERROR(SEARCH("Met",V101)))</formula>
    </cfRule>
  </conditionalFormatting>
  <conditionalFormatting sqref="V458:Y485">
    <cfRule type="containsText" priority="1907" operator="containsText" dxfId="0" text="Met">
      <formula>NOT(ISERROR(SEARCH("Met",V458)))</formula>
    </cfRule>
    <cfRule type="containsText" priority="1906" operator="containsText" dxfId="1" text="Not Met">
      <formula>NOT(ISERROR(SEARCH("Not Met",V458)))</formula>
    </cfRule>
  </conditionalFormatting>
  <conditionalFormatting sqref="W389">
    <cfRule type="containsText" priority="2124" operator="containsText" dxfId="1" text="Not Met">
      <formula>NOT(ISERROR(SEARCH("Not Met",W389)))</formula>
    </cfRule>
    <cfRule type="containsText" priority="2125" operator="containsText" dxfId="0" text="Met">
      <formula>NOT(ISERROR(SEARCH("Met",W389)))</formula>
    </cfRule>
    <cfRule type="containsText" priority="2126" operator="containsText" dxfId="1" text="Not Met">
      <formula>NOT(ISERROR(SEARCH("Not Met",W389)))</formula>
    </cfRule>
    <cfRule type="containsText" priority="2127" operator="containsText" dxfId="0" text="Met">
      <formula>NOT(ISERROR(SEARCH("Met",W389)))</formula>
    </cfRule>
  </conditionalFormatting>
  <conditionalFormatting sqref="W309:X328">
    <cfRule type="containsText" priority="2364" operator="containsText" dxfId="1" text="Not Met">
      <formula>NOT(ISERROR(SEARCH("Not Met",W309)))</formula>
    </cfRule>
    <cfRule type="containsText" priority="2365" operator="containsText" dxfId="0" text="Met">
      <formula>NOT(ISERROR(SEARCH("Met",W309)))</formula>
    </cfRule>
  </conditionalFormatting>
  <conditionalFormatting sqref="X2:X5">
    <cfRule type="containsText" priority="2185" operator="containsText" dxfId="1" text="Not Met">
      <formula>NOT(ISERROR(SEARCH("Not Met",X2)))</formula>
    </cfRule>
    <cfRule type="containsText" priority="2186" operator="containsText" dxfId="0" text="Met">
      <formula>NOT(ISERROR(SEARCH("Met",X2)))</formula>
    </cfRule>
  </conditionalFormatting>
  <conditionalFormatting sqref="X5:X10">
    <cfRule type="containsText" priority="2187" operator="containsText" dxfId="1" text="Not Met">
      <formula>NOT(ISERROR(SEARCH("Not Met",X5)))</formula>
    </cfRule>
    <cfRule type="containsText" priority="2188" operator="containsText" dxfId="0" text="Met">
      <formula>NOT(ISERROR(SEARCH("Met",X5)))</formula>
    </cfRule>
  </conditionalFormatting>
  <conditionalFormatting sqref="X42:X53">
    <cfRule type="containsText" priority="2166" operator="containsText" dxfId="0" text="Met">
      <formula>NOT(ISERROR(SEARCH("Met",X42)))</formula>
    </cfRule>
    <cfRule type="containsText" priority="2165" operator="containsText" dxfId="1" text="Not Met">
      <formula>NOT(ISERROR(SEARCH("Not Met",X42)))</formula>
    </cfRule>
  </conditionalFormatting>
  <conditionalFormatting sqref="X51">
    <cfRule type="containsText" priority="2169" operator="containsText" dxfId="1" text="Not Met">
      <formula>NOT(ISERROR(SEARCH("Not Met",X51)))</formula>
    </cfRule>
    <cfRule type="containsText" priority="2170" operator="containsText" dxfId="0" text="Met">
      <formula>NOT(ISERROR(SEARCH("Met",X51)))</formula>
    </cfRule>
  </conditionalFormatting>
  <conditionalFormatting sqref="X78:X89">
    <cfRule type="containsText" priority="2147" operator="containsText" dxfId="488" text="Not met">
      <formula>NOT(ISERROR(SEARCH("Not met",X78)))</formula>
    </cfRule>
  </conditionalFormatting>
  <conditionalFormatting sqref="X90:X100">
    <cfRule type="containsText" priority="2381" operator="containsText" dxfId="1" text="Not Met">
      <formula>NOT(ISERROR(SEARCH("Not Met",X90)))</formula>
    </cfRule>
    <cfRule type="containsText" priority="2383" operator="containsText" dxfId="0" text="Met">
      <formula>NOT(ISERROR(SEARCH("Met",X90)))</formula>
    </cfRule>
  </conditionalFormatting>
  <conditionalFormatting sqref="X119:X126">
    <cfRule type="containsText" priority="2204" operator="containsText" dxfId="1" text="Not Met">
      <formula>NOT(ISERROR(SEARCH("Not Met",X119)))</formula>
    </cfRule>
    <cfRule type="containsText" priority="2205" operator="containsText" dxfId="0" text="Met">
      <formula>NOT(ISERROR(SEARCH("Met",X119)))</formula>
    </cfRule>
  </conditionalFormatting>
  <conditionalFormatting sqref="X119:X127">
    <cfRule type="containsText" priority="2018" operator="containsText" dxfId="1" text="Not Met">
      <formula>NOT(ISERROR(SEARCH("Not Met",X119)))</formula>
    </cfRule>
    <cfRule type="containsText" priority="2019" operator="containsText" dxfId="0" text="Met">
      <formula>NOT(ISERROR(SEARCH("Met",X119)))</formula>
    </cfRule>
  </conditionalFormatting>
  <conditionalFormatting sqref="X132:X137">
    <cfRule type="containsText" priority="2011" operator="containsText" dxfId="0" text="Met">
      <formula>NOT(ISERROR(SEARCH("Met",X132)))</formula>
    </cfRule>
    <cfRule type="containsText" priority="2010" operator="containsText" dxfId="1" text="Not Met">
      <formula>NOT(ISERROR(SEARCH("Not Met",X132)))</formula>
    </cfRule>
  </conditionalFormatting>
  <conditionalFormatting sqref="X138:X140">
    <cfRule type="containsText" priority="2051" operator="containsText" dxfId="0" text="Met">
      <formula>NOT(ISERROR(SEARCH("Met",X138)))</formula>
    </cfRule>
  </conditionalFormatting>
  <conditionalFormatting sqref="X139:X140">
    <cfRule type="containsText" priority="2052" operator="containsText" dxfId="1" text="Not Met">
      <formula>NOT(ISERROR(SEARCH("Not Met",X139)))</formula>
    </cfRule>
  </conditionalFormatting>
  <conditionalFormatting sqref="X142:X160">
    <cfRule type="containsText" priority="2044" operator="containsText" dxfId="1" text="Not Met">
      <formula>NOT(ISERROR(SEARCH("Not Met",X142)))</formula>
    </cfRule>
    <cfRule type="containsText" priority="2045" operator="containsText" dxfId="0" text="Met">
      <formula>NOT(ISERROR(SEARCH("Met",X142)))</formula>
    </cfRule>
  </conditionalFormatting>
  <conditionalFormatting sqref="X149:X160">
    <cfRule type="containsText" priority="2348" operator="containsText" dxfId="1" text="Not Met">
      <formula>NOT(ISERROR(SEARCH("Not Met",X149)))</formula>
    </cfRule>
    <cfRule type="containsText" priority="2349" operator="containsText" dxfId="0" text="Met">
      <formula>NOT(ISERROR(SEARCH("Met",X149)))</formula>
    </cfRule>
  </conditionalFormatting>
  <conditionalFormatting sqref="X169:X176">
    <cfRule type="containsText" priority="2159" operator="containsText" dxfId="1" text="Not Met">
      <formula>NOT(ISERROR(SEARCH("Not Met",X169)))</formula>
    </cfRule>
    <cfRule type="containsText" priority="2160" operator="containsText" dxfId="0" text="Met">
      <formula>NOT(ISERROR(SEARCH("Met",X169)))</formula>
    </cfRule>
  </conditionalFormatting>
  <conditionalFormatting sqref="X187">
    <cfRule type="containsText" priority="2035" operator="containsText" dxfId="0" text="Met">
      <formula>NOT(ISERROR(SEARCH("Met",X187)))</formula>
    </cfRule>
    <cfRule type="containsText" priority="2034" operator="containsText" dxfId="1" text="Not Met">
      <formula>NOT(ISERROR(SEARCH("Not Met",X187)))</formula>
    </cfRule>
  </conditionalFormatting>
  <conditionalFormatting sqref="X190:X195">
    <cfRule type="containsText" priority="2026" operator="containsText" dxfId="1" text="Not Met">
      <formula>NOT(ISERROR(SEARCH("Not Met",X190)))</formula>
    </cfRule>
    <cfRule type="containsText" priority="2027" operator="containsText" dxfId="0" text="Met">
      <formula>NOT(ISERROR(SEARCH("Met",X190)))</formula>
    </cfRule>
  </conditionalFormatting>
  <conditionalFormatting sqref="X196:X225">
    <cfRule type="containsText" priority="2242" operator="containsText" dxfId="0" text="Met">
      <formula>NOT(ISERROR(SEARCH("Met",X196)))</formula>
    </cfRule>
  </conditionalFormatting>
  <conditionalFormatting sqref="X200:X201">
    <cfRule type="containsText" priority="2232" operator="containsText" dxfId="0" text="Met">
      <formula>NOT(ISERROR(SEARCH("Met",X200)))</formula>
    </cfRule>
    <cfRule type="containsText" priority="2231" operator="containsText" dxfId="1" text="Not Met">
      <formula>NOT(ISERROR(SEARCH("Not Met",X200)))</formula>
    </cfRule>
    <cfRule type="containsText" priority="2230" operator="containsText" dxfId="0" text="Met">
      <formula>NOT(ISERROR(SEARCH("Met",X200)))</formula>
    </cfRule>
    <cfRule type="containsText" priority="2229" operator="containsText" dxfId="1" text="Not Met">
      <formula>NOT(ISERROR(SEARCH("Not Met",X200)))</formula>
    </cfRule>
    <cfRule type="containsText" priority="2228" operator="containsText" dxfId="0" text="Met">
      <formula>NOT(ISERROR(SEARCH("Met",X200)))</formula>
    </cfRule>
    <cfRule type="containsText" priority="2227" operator="containsText" dxfId="1" text="Not Met">
      <formula>NOT(ISERROR(SEARCH("Not Met",X200)))</formula>
    </cfRule>
    <cfRule type="containsText" priority="2240" operator="containsText" dxfId="0" text="Met">
      <formula>NOT(ISERROR(SEARCH("Met",X200)))</formula>
    </cfRule>
    <cfRule type="containsText" priority="2239" operator="containsText" dxfId="1" text="Not Met">
      <formula>NOT(ISERROR(SEARCH("Not Met",X200)))</formula>
    </cfRule>
    <cfRule type="containsText" priority="2238" operator="containsText" dxfId="0" text="Met">
      <formula>NOT(ISERROR(SEARCH("Met",X200)))</formula>
    </cfRule>
    <cfRule type="containsText" priority="2237" operator="containsText" dxfId="1" text="Not Met">
      <formula>NOT(ISERROR(SEARCH("Not Met",X200)))</formula>
    </cfRule>
    <cfRule type="containsText" priority="2236" operator="containsText" dxfId="0" text="Met">
      <formula>NOT(ISERROR(SEARCH("Met",X200)))</formula>
    </cfRule>
    <cfRule type="containsText" priority="2235" operator="containsText" dxfId="1" text="Not Met">
      <formula>NOT(ISERROR(SEARCH("Not Met",X200)))</formula>
    </cfRule>
    <cfRule type="containsText" priority="2234" operator="containsText" dxfId="0" text="Met">
      <formula>NOT(ISERROR(SEARCH("Met",X200)))</formula>
    </cfRule>
    <cfRule type="containsText" priority="2233" operator="containsText" dxfId="1" text="Not Met">
      <formula>NOT(ISERROR(SEARCH("Not Met",X200)))</formula>
    </cfRule>
  </conditionalFormatting>
  <conditionalFormatting sqref="X226:X242">
    <cfRule type="containsText" priority="2339" operator="containsText" dxfId="0" text="Met">
      <formula>NOT(ISERROR(SEARCH("Met",X226)))</formula>
    </cfRule>
    <cfRule type="containsText" priority="2340" operator="containsText" dxfId="1" text="Not Met">
      <formula>NOT(ISERROR(SEARCH("Not Met",X226)))</formula>
    </cfRule>
    <cfRule type="containsText" priority="2341" operator="containsText" dxfId="0" text="Met">
      <formula>NOT(ISERROR(SEARCH("Met",X226)))</formula>
    </cfRule>
  </conditionalFormatting>
  <conditionalFormatting sqref="X280:X293">
    <cfRule type="containsText" priority="2328" operator="containsText" dxfId="1" text="Not Met">
      <formula>NOT(ISERROR(SEARCH("Not Met",X280)))</formula>
    </cfRule>
    <cfRule type="containsText" priority="2329" operator="containsText" dxfId="0" text="Met">
      <formula>NOT(ISERROR(SEARCH("Met",X280)))</formula>
    </cfRule>
  </conditionalFormatting>
  <conditionalFormatting sqref="X287:X293">
    <cfRule type="containsText" priority="2326" operator="containsText" dxfId="1" text="Not Met">
      <formula>NOT(ISERROR(SEARCH("Not Met",X287)))</formula>
    </cfRule>
    <cfRule type="containsText" priority="2327" operator="containsText" dxfId="0" text="Met">
      <formula>NOT(ISERROR(SEARCH("Met",X287)))</formula>
    </cfRule>
  </conditionalFormatting>
  <conditionalFormatting sqref="X301:X308">
    <cfRule type="containsText" priority="2320" operator="containsText" dxfId="1" text="Not Met">
      <formula>NOT(ISERROR(SEARCH("Not Met",X301)))</formula>
    </cfRule>
    <cfRule type="containsText" priority="2321" operator="containsText" dxfId="0" text="Met">
      <formula>NOT(ISERROR(SEARCH("Met",X301)))</formula>
    </cfRule>
  </conditionalFormatting>
  <conditionalFormatting sqref="X302:X308">
    <cfRule type="containsText" priority="2318" operator="containsText" dxfId="1" text="Not Met">
      <formula>NOT(ISERROR(SEARCH("Not Met",X302)))</formula>
    </cfRule>
    <cfRule type="containsText" priority="2319" operator="containsText" dxfId="0" text="Met">
      <formula>NOT(ISERROR(SEARCH("Met",X302)))</formula>
    </cfRule>
  </conditionalFormatting>
  <conditionalFormatting sqref="X317:X328">
    <cfRule type="containsText" priority="2361" operator="containsText" dxfId="0" text="Met">
      <formula>NOT(ISERROR(SEARCH("Met",X317)))</formula>
    </cfRule>
    <cfRule type="containsText" priority="2362" operator="containsText" dxfId="1" text="Not Met">
      <formula>NOT(ISERROR(SEARCH("Not Met",X317)))</formula>
    </cfRule>
    <cfRule type="containsText" priority="2363" operator="containsText" dxfId="0" text="Met">
      <formula>NOT(ISERROR(SEARCH("Met",X317)))</formula>
    </cfRule>
  </conditionalFormatting>
  <conditionalFormatting sqref="X332:X345">
    <cfRule type="containsText" priority="2180" operator="containsText" dxfId="0" text="Met">
      <formula>NOT(ISERROR(SEARCH("Met",X332)))</formula>
    </cfRule>
  </conditionalFormatting>
  <conditionalFormatting sqref="X337:X343">
    <cfRule type="containsText" priority="2177" operator="containsText" dxfId="1" text="Not Met">
      <formula>NOT(ISERROR(SEARCH("Not Met",X337)))</formula>
    </cfRule>
    <cfRule type="containsText" priority="2178" operator="containsText" dxfId="0" text="Met">
      <formula>NOT(ISERROR(SEARCH("Met",X337)))</formula>
    </cfRule>
    <cfRule type="containsText" priority="2179" operator="containsText" dxfId="1" text="Not Met">
      <formula>NOT(ISERROR(SEARCH("Not Met",X337)))</formula>
    </cfRule>
  </conditionalFormatting>
  <conditionalFormatting sqref="X344:X351">
    <cfRule type="containsText" priority="2221" operator="containsText" dxfId="0" text="Met">
      <formula>NOT(ISERROR(SEARCH("Met",X344)))</formula>
    </cfRule>
  </conditionalFormatting>
  <conditionalFormatting sqref="R346:W346 R350:W350 X344:X359">
    <cfRule type="containsText" priority="2226" operator="containsText" dxfId="1" text="Not Met">
      <formula>NOT(ISERROR(SEARCH("Not Met",R344)))</formula>
    </cfRule>
  </conditionalFormatting>
  <conditionalFormatting sqref="V344:V345 V347:V349 X344:X345 X347:X349 X351">
    <cfRule type="containsText" priority="2220" operator="containsText" dxfId="1" text="Not Met">
      <formula>NOT(ISERROR(SEARCH("Not Met",V344)))</formula>
    </cfRule>
  </conditionalFormatting>
  <conditionalFormatting sqref="X347:X349">
    <cfRule type="containsText" priority="2219" operator="containsText" dxfId="0" text="Met">
      <formula>NOT(ISERROR(SEARCH("Met",X347)))</formula>
    </cfRule>
  </conditionalFormatting>
  <conditionalFormatting sqref="X351">
    <cfRule type="containsText" priority="2217" operator="containsText" dxfId="0" text="Met">
      <formula>NOT(ISERROR(SEARCH("Met",X351)))</formula>
    </cfRule>
  </conditionalFormatting>
  <conditionalFormatting sqref="V352:V354 X352:X359">
    <cfRule type="containsText" priority="2402" operator="containsText" dxfId="0" text="Met">
      <formula>NOT(ISERROR(SEARCH("Met",V352)))</formula>
    </cfRule>
  </conditionalFormatting>
  <conditionalFormatting sqref="X367:X377">
    <cfRule type="containsText" priority="2145" operator="containsText" dxfId="1" text="Not Met">
      <formula>NOT(ISERROR(SEARCH("Not Met",X367)))</formula>
    </cfRule>
    <cfRule type="containsText" priority="2146" operator="containsText" dxfId="0" text="Met">
      <formula>NOT(ISERROR(SEARCH("Met",X367)))</formula>
    </cfRule>
  </conditionalFormatting>
  <conditionalFormatting sqref="V427:W434 X378:X434">
    <cfRule type="containsText" priority="2376" operator="containsText" dxfId="1" text="Not Met">
      <formula>NOT(ISERROR(SEARCH("Not Met",V378)))</formula>
    </cfRule>
    <cfRule type="containsText" priority="2377" operator="containsText" dxfId="0" text="Met">
      <formula>NOT(ISERROR(SEARCH("Met",V378)))</formula>
    </cfRule>
  </conditionalFormatting>
  <conditionalFormatting sqref="V433:V440 X433:X437">
    <cfRule type="containsText" priority="2356" operator="containsText" dxfId="1" text="Not Met">
      <formula>NOT(ISERROR(SEARCH("Not Met",V433)))</formula>
    </cfRule>
    <cfRule type="containsText" priority="2357" operator="containsText" dxfId="0" text="Met">
      <formula>NOT(ISERROR(SEARCH("Met",V433)))</formula>
    </cfRule>
  </conditionalFormatting>
  <conditionalFormatting sqref="X450:X457">
    <cfRule type="containsText" priority="2313" operator="containsText" dxfId="0" text="Met">
      <formula>NOT(ISERROR(SEARCH("Met",X450)))</formula>
    </cfRule>
  </conditionalFormatting>
  <conditionalFormatting sqref="X200:Y201">
    <cfRule type="containsText" priority="2241" operator="containsText" dxfId="1" text="Not Met">
      <formula>NOT(ISERROR(SEARCH("Not Met",X200)))</formula>
    </cfRule>
  </conditionalFormatting>
  <conditionalFormatting sqref="X438:Y440">
    <cfRule type="containsText" priority="2359" operator="containsText" dxfId="0" text="Met">
      <formula>NOT(ISERROR(SEARCH("Met",X438)))</formula>
    </cfRule>
    <cfRule type="containsText" priority="2358" operator="containsText" dxfId="1" text="Not Met">
      <formula>NOT(ISERROR(SEARCH("Not Met",X438)))</formula>
    </cfRule>
  </conditionalFormatting>
  <conditionalFormatting sqref="X138:Z138">
    <cfRule type="containsText" priority="2050" operator="containsText" dxfId="1" text="Not Met">
      <formula>NOT(ISERROR(SEARCH("Not Met",X138)))</formula>
    </cfRule>
  </conditionalFormatting>
  <conditionalFormatting sqref="Y54:Y100 Y199 Y202:Y205 Y367:Y437">
    <cfRule type="containsText" priority="2157" operator="containsText" dxfId="1" text="Not Met">
      <formula>NOT(ISERROR(SEARCH("Not Met",Y54)))</formula>
    </cfRule>
  </conditionalFormatting>
  <conditionalFormatting sqref="Y54:Y100 Y199 Y202:Y205 Y435:Y437">
    <cfRule type="containsText" priority="2158" operator="containsText" dxfId="0" text="Met">
      <formula>NOT(ISERROR(SEARCH("Met",Y54)))</formula>
    </cfRule>
  </conditionalFormatting>
  <conditionalFormatting sqref="Y294:Z296">
    <cfRule type="containsText" priority="1951" operator="containsText" dxfId="0" text="Met">
      <formula>NOT(ISERROR(SEARCH("Met",Y294)))</formula>
    </cfRule>
    <cfRule type="containsText" priority="1950" operator="containsText" dxfId="1" text="Not Met">
      <formula>NOT(ISERROR(SEARCH("Not Met",Y294)))</formula>
    </cfRule>
  </conditionalFormatting>
  <conditionalFormatting sqref="Z2:Z5">
    <cfRule type="containsText" priority="2076" operator="containsText" dxfId="1" text="Not Met">
      <formula>NOT(ISERROR(SEARCH("Not Met",Z2)))</formula>
    </cfRule>
    <cfRule type="containsText" priority="2077" operator="containsText" dxfId="0" text="Met">
      <formula>NOT(ISERROR(SEARCH("Met",Z2)))</formula>
    </cfRule>
  </conditionalFormatting>
  <conditionalFormatting sqref="Z5:Z6">
    <cfRule type="containsText" priority="2078" operator="containsText" dxfId="1" text="Not Met">
      <formula>NOT(ISERROR(SEARCH("Not Met",Z5)))</formula>
    </cfRule>
    <cfRule type="containsText" priority="2079" operator="containsText" dxfId="0" text="Met">
      <formula>NOT(ISERROR(SEARCH("Met",Z5)))</formula>
    </cfRule>
  </conditionalFormatting>
  <conditionalFormatting sqref="Z7:Z15">
    <cfRule type="containsText" priority="2074" operator="containsText" dxfId="1" text="Not Met">
      <formula>NOT(ISERROR(SEARCH("Not Met",Z7)))</formula>
    </cfRule>
    <cfRule type="containsText" priority="2075" operator="containsText" dxfId="0" text="Met">
      <formula>NOT(ISERROR(SEARCH("Met",Z7)))</formula>
    </cfRule>
  </conditionalFormatting>
  <conditionalFormatting sqref="Z11">
    <cfRule type="containsText" priority="2073" operator="containsText" dxfId="0" text="Met">
      <formula>NOT(ISERROR(SEARCH("Met",Z11)))</formula>
    </cfRule>
    <cfRule type="containsText" priority="2072" operator="containsText" dxfId="1" text="Not Met">
      <formula>NOT(ISERROR(SEARCH("Not Met",Z11)))</formula>
    </cfRule>
  </conditionalFormatting>
  <conditionalFormatting sqref="Z16:Z19">
    <cfRule type="containsText" priority="2071" operator="containsText" dxfId="0" text="Met">
      <formula>NOT(ISERROR(SEARCH("Met",Z16)))</formula>
    </cfRule>
    <cfRule type="containsText" priority="2070" operator="containsText" dxfId="1" text="Not Met">
      <formula>NOT(ISERROR(SEARCH("Not Met",Z16)))</formula>
    </cfRule>
    <cfRule type="containsText" priority="2069" operator="containsText" dxfId="0" text="Met">
      <formula>NOT(ISERROR(SEARCH("Met",Z16)))</formula>
    </cfRule>
    <cfRule type="containsText" priority="2068" operator="containsText" dxfId="1" text="Not Met">
      <formula>NOT(ISERROR(SEARCH("Not Met",Z16)))</formula>
    </cfRule>
  </conditionalFormatting>
  <conditionalFormatting sqref="Z42:Z48">
    <cfRule type="containsText" priority="1977" operator="containsText" dxfId="0" text="Met">
      <formula>NOT(ISERROR(SEARCH("Met",Z42)))</formula>
    </cfRule>
    <cfRule type="containsText" priority="1976" operator="containsText" dxfId="1" text="Not Met">
      <formula>NOT(ISERROR(SEARCH("Not Met",Z42)))</formula>
    </cfRule>
  </conditionalFormatting>
  <conditionalFormatting sqref="Z42:Z53">
    <cfRule type="containsText" priority="1871" operator="containsText" dxfId="0" text="Met">
      <formula>NOT(ISERROR(SEARCH("Met",Z42)))</formula>
    </cfRule>
    <cfRule type="containsText" priority="1870" operator="containsText" dxfId="1" text="Not Met">
      <formula>NOT(ISERROR(SEARCH("Not Met",Z42)))</formula>
    </cfRule>
  </conditionalFormatting>
  <conditionalFormatting sqref="Z51">
    <cfRule type="containsText" priority="1874" operator="containsText" dxfId="1" text="Not Met">
      <formula>NOT(ISERROR(SEARCH("Not Met",Z51)))</formula>
    </cfRule>
    <cfRule type="containsText" priority="1875" operator="containsText" dxfId="0" text="Met">
      <formula>NOT(ISERROR(SEARCH("Met",Z51)))</formula>
    </cfRule>
  </conditionalFormatting>
  <conditionalFormatting sqref="Z70:AA70 Z71 Z385:AA387 Z406:AA408 Z411:AA411 AA78 AA84:AA86 AA88 AA119:AA121 AA126 AA131 AA134 AA145 AA148 AA165 AA168 AA190:AA192 AA194:AA195 AA245 AA247 AA298 AA300 AA319 AA324 AA335:AA336 AA344:AA345 AA348:AA349 AA351:AA354 AA374:AA377 AA380 AA383 AA399 AA402 AA413 AA420 AA425:AA427 AA429:AA431 AA433:AA434 AA437 AA440 AA455 AA459 AA468 AA472:AA473 AA477 AA479 AA482">
    <cfRule type="containsText" priority="1818" operator="containsText" dxfId="1" text="Not Met">
      <formula>NOT(ISERROR(SEARCH("Not Met",Z70)))</formula>
    </cfRule>
    <cfRule type="containsText" priority="1819" operator="containsText" dxfId="0" text="Met">
      <formula>NOT(ISERROR(SEARCH("Met",Z70)))</formula>
    </cfRule>
  </conditionalFormatting>
  <conditionalFormatting sqref="Z71 AA351:AA354 AA425:AA427 AA429:AA431 AA433:AA434 AA437 AA440">
    <cfRule type="containsText" priority="1816" operator="containsText" dxfId="1" text="Not Met">
      <formula>NOT(ISERROR(SEARCH("Not Met",Z71)))</formula>
    </cfRule>
    <cfRule type="containsText" priority="1817" operator="containsText" dxfId="0" text="Met">
      <formula>NOT(ISERROR(SEARCH("Met",Z71)))</formula>
    </cfRule>
  </conditionalFormatting>
  <conditionalFormatting sqref="Z78:Z89">
    <cfRule type="containsText" priority="1826" operator="containsText" dxfId="488" text="Not met">
      <formula>NOT(ISERROR(SEARCH("Not met",Z78)))</formula>
    </cfRule>
  </conditionalFormatting>
  <conditionalFormatting sqref="Z90:Z103">
    <cfRule type="containsText" priority="1900" operator="containsText" dxfId="1" text="Not Met">
      <formula>NOT(ISERROR(SEARCH("Not Met",Z90)))</formula>
    </cfRule>
    <cfRule type="containsText" priority="1901" operator="containsText" dxfId="0" text="Met">
      <formula>NOT(ISERROR(SEARCH("Met",Z90)))</formula>
    </cfRule>
  </conditionalFormatting>
  <conditionalFormatting sqref="Z90:Z110">
    <cfRule type="containsText" priority="1903" operator="containsText" dxfId="0" text="Met">
      <formula>NOT(ISERROR(SEARCH("Met",Z90)))</formula>
    </cfRule>
    <cfRule type="containsText" priority="1902" operator="containsText" dxfId="1" text="Not Met">
      <formula>NOT(ISERROR(SEARCH("Not Met",Z90)))</formula>
    </cfRule>
  </conditionalFormatting>
  <conditionalFormatting sqref="Z104:Z110">
    <cfRule type="containsText" priority="1980" operator="containsText" dxfId="1" text="Not Met">
      <formula>NOT(ISERROR(SEARCH("Not Met",Z104)))</formula>
    </cfRule>
    <cfRule type="containsText" priority="1981" operator="containsText" dxfId="0" text="Met">
      <formula>NOT(ISERROR(SEARCH("Met",Z104)))</formula>
    </cfRule>
  </conditionalFormatting>
  <conditionalFormatting sqref="Z119:Z120 Z126:Z127">
    <cfRule type="containsText" priority="2009" operator="containsText" dxfId="1" text="Not Met">
      <formula>NOT(ISERROR(SEARCH("Not Met",Z119)))</formula>
    </cfRule>
  </conditionalFormatting>
  <conditionalFormatting sqref="Z119:Z121 Z125:Z126">
    <cfRule type="containsText" priority="2008" operator="containsText" dxfId="0" text="Met">
      <formula>NOT(ISERROR(SEARCH("Met",Z119)))</formula>
    </cfRule>
  </conditionalFormatting>
  <conditionalFormatting sqref="Z121:Z125">
    <cfRule type="containsText" priority="2007" operator="containsText" dxfId="1" text="Not Met">
      <formula>NOT(ISERROR(SEARCH("Not Met",Z121)))</formula>
    </cfRule>
  </conditionalFormatting>
  <conditionalFormatting sqref="Z122:Z124">
    <cfRule type="containsText" priority="2006" operator="containsText" dxfId="0" text="Met">
      <formula>NOT(ISERROR(SEARCH("Met",Z122)))</formula>
    </cfRule>
  </conditionalFormatting>
  <conditionalFormatting sqref="Z127">
    <cfRule type="containsText" priority="2025" operator="containsText" dxfId="0" text="Met">
      <formula>NOT(ISERROR(SEARCH("Met",Z127)))</formula>
    </cfRule>
  </conditionalFormatting>
  <conditionalFormatting sqref="Z132:Z137">
    <cfRule type="containsText" priority="2017" operator="containsText" dxfId="0" text="Met">
      <formula>NOT(ISERROR(SEARCH("Met",Z132)))</formula>
    </cfRule>
    <cfRule type="containsText" priority="2016" operator="containsText" dxfId="1" text="Not Met">
      <formula>NOT(ISERROR(SEARCH("Not Met",Z132)))</formula>
    </cfRule>
  </conditionalFormatting>
  <conditionalFormatting sqref="Z142:Z155">
    <cfRule type="containsText" priority="2049" operator="containsText" dxfId="0" text="Met">
      <formula>NOT(ISERROR(SEARCH("Met",Z142)))</formula>
    </cfRule>
    <cfRule type="containsText" priority="2048" operator="containsText" dxfId="1" text="Not Met">
      <formula>NOT(ISERROR(SEARCH("Not Met",Z142)))</formula>
    </cfRule>
  </conditionalFormatting>
  <conditionalFormatting sqref="Z149:Z160">
    <cfRule type="containsText" priority="2087" operator="containsText" dxfId="0" text="Met">
      <formula>NOT(ISERROR(SEARCH("Met",Z149)))</formula>
    </cfRule>
    <cfRule type="containsText" priority="2086" operator="containsText" dxfId="1" text="Not Met">
      <formula>NOT(ISERROR(SEARCH("Not Met",Z149)))</formula>
    </cfRule>
  </conditionalFormatting>
  <conditionalFormatting sqref="Z156:Z160">
    <cfRule type="containsText" priority="2091" operator="containsText" dxfId="0" text="Met">
      <formula>NOT(ISERROR(SEARCH("Met",Z156)))</formula>
    </cfRule>
    <cfRule type="containsText" priority="2090" operator="containsText" dxfId="1" text="Not Met">
      <formula>NOT(ISERROR(SEARCH("Not Met",Z156)))</formula>
    </cfRule>
  </conditionalFormatting>
  <conditionalFormatting sqref="Z164:Z166">
    <cfRule type="containsText" priority="1972" operator="containsText" dxfId="1" text="Not Met">
      <formula>NOT(ISERROR(SEARCH("Not Met",Z164)))</formula>
    </cfRule>
    <cfRule type="containsText" priority="1973" operator="containsText" dxfId="0" text="Met">
      <formula>NOT(ISERROR(SEARCH("Met",Z164)))</formula>
    </cfRule>
  </conditionalFormatting>
  <conditionalFormatting sqref="Z184">
    <cfRule type="containsText" priority="1843" operator="containsText" dxfId="1" text="Not Met">
      <formula>NOT(ISERROR(SEARCH("Not Met",Z184)))</formula>
    </cfRule>
    <cfRule type="containsText" priority="1844" operator="containsText" dxfId="0" text="Met">
      <formula>NOT(ISERROR(SEARCH("Met",Z184)))</formula>
    </cfRule>
  </conditionalFormatting>
  <conditionalFormatting sqref="Z187">
    <cfRule type="containsText" priority="2041" operator="containsText" dxfId="0" text="Met">
      <formula>NOT(ISERROR(SEARCH("Met",Z187)))</formula>
    </cfRule>
    <cfRule type="containsText" priority="2040" operator="containsText" dxfId="1" text="Not Met">
      <formula>NOT(ISERROR(SEARCH("Not Met",Z187)))</formula>
    </cfRule>
  </conditionalFormatting>
  <conditionalFormatting sqref="Z190:Z195">
    <cfRule type="containsText" priority="2033" operator="containsText" dxfId="0" text="Met">
      <formula>NOT(ISERROR(SEARCH("Met",Z190)))</formula>
    </cfRule>
  </conditionalFormatting>
  <conditionalFormatting sqref="Z190:Z199 Z202:Z242">
    <cfRule type="containsText" priority="2000" operator="containsText" dxfId="1" text="Not Met">
      <formula>NOT(ISERROR(SEARCH("Not Met",Z190)))</formula>
    </cfRule>
  </conditionalFormatting>
  <conditionalFormatting sqref="Z196:Z225">
    <cfRule type="containsText" priority="1999" operator="containsText" dxfId="0" text="Met">
      <formula>NOT(ISERROR(SEARCH("Met",Z196)))</formula>
    </cfRule>
  </conditionalFormatting>
  <conditionalFormatting sqref="Z200:Z201">
    <cfRule type="containsText" priority="1985" operator="containsText" dxfId="0" text="Met">
      <formula>NOT(ISERROR(SEARCH("Met",Z200)))</formula>
    </cfRule>
    <cfRule type="containsText" priority="1987" operator="containsText" dxfId="0" text="Met">
      <formula>NOT(ISERROR(SEARCH("Met",Z200)))</formula>
    </cfRule>
    <cfRule type="containsText" priority="1988" operator="containsText" dxfId="1" text="Not Met">
      <formula>NOT(ISERROR(SEARCH("Not Met",Z200)))</formula>
    </cfRule>
    <cfRule type="containsText" priority="1996" operator="containsText" dxfId="1" text="Not Met">
      <formula>NOT(ISERROR(SEARCH("Not Met",Z200)))</formula>
    </cfRule>
    <cfRule type="containsText" priority="1995" operator="containsText" dxfId="0" text="Met">
      <formula>NOT(ISERROR(SEARCH("Met",Z200)))</formula>
    </cfRule>
    <cfRule type="containsText" priority="1994" operator="containsText" dxfId="1" text="Not Met">
      <formula>NOT(ISERROR(SEARCH("Not Met",Z200)))</formula>
    </cfRule>
    <cfRule type="containsText" priority="1993" operator="containsText" dxfId="0" text="Met">
      <formula>NOT(ISERROR(SEARCH("Met",Z200)))</formula>
    </cfRule>
    <cfRule type="containsText" priority="1989" operator="containsText" dxfId="0" text="Met">
      <formula>NOT(ISERROR(SEARCH("Met",Z200)))</formula>
    </cfRule>
    <cfRule type="containsText" priority="1991" operator="containsText" dxfId="0" text="Met">
      <formula>NOT(ISERROR(SEARCH("Met",Z200)))</formula>
    </cfRule>
    <cfRule type="containsText" priority="1992" operator="containsText" dxfId="1" text="Not Met">
      <formula>NOT(ISERROR(SEARCH("Not Met",Z200)))</formula>
    </cfRule>
    <cfRule type="containsText" priority="1998" operator="containsText" dxfId="1" text="Not Met">
      <formula>NOT(ISERROR(SEARCH("Not Met",Z200)))</formula>
    </cfRule>
    <cfRule type="containsText" priority="1997" operator="containsText" dxfId="0" text="Met">
      <formula>NOT(ISERROR(SEARCH("Met",Z200)))</formula>
    </cfRule>
    <cfRule type="containsText" priority="1984" operator="containsText" dxfId="1" text="Not Met">
      <formula>NOT(ISERROR(SEARCH("Not Met",Z200)))</formula>
    </cfRule>
    <cfRule type="containsText" priority="1986" operator="containsText" dxfId="1" text="Not Met">
      <formula>NOT(ISERROR(SEARCH("Not Met",Z200)))</formula>
    </cfRule>
    <cfRule type="containsText" priority="1990" operator="containsText" dxfId="1" text="Not Met">
      <formula>NOT(ISERROR(SEARCH("Not Met",Z200)))</formula>
    </cfRule>
  </conditionalFormatting>
  <conditionalFormatting sqref="Z226:Z242">
    <cfRule type="containsText" priority="2102" operator="containsText" dxfId="1" text="Not Met">
      <formula>NOT(ISERROR(SEARCH("Not Met",Z226)))</formula>
    </cfRule>
    <cfRule type="containsText" priority="2103" operator="containsText" dxfId="0" text="Met">
      <formula>NOT(ISERROR(SEARCH("Met",Z226)))</formula>
    </cfRule>
    <cfRule type="containsText" priority="2101" operator="containsText" dxfId="0" text="Met">
      <formula>NOT(ISERROR(SEARCH("Met",Z226)))</formula>
    </cfRule>
  </conditionalFormatting>
  <conditionalFormatting sqref="Z257:Z270 Z287:Z293">
    <cfRule type="containsText" priority="2098" operator="containsText" dxfId="1" text="Not Met">
      <formula>NOT(ISERROR(SEARCH("Not Met",Z257)))</formula>
    </cfRule>
    <cfRule type="containsText" priority="2099" operator="containsText" dxfId="0" text="Met">
      <formula>NOT(ISERROR(SEARCH("Met",Z257)))</formula>
    </cfRule>
  </conditionalFormatting>
  <conditionalFormatting sqref="Z257:Z270">
    <cfRule type="containsText" priority="2097" operator="containsText" dxfId="0" text="Met">
      <formula>NOT(ISERROR(SEARCH("Met",Z257)))</formula>
    </cfRule>
    <cfRule type="containsText" priority="2096" operator="containsText" dxfId="1" text="Not Met">
      <formula>NOT(ISERROR(SEARCH("Not Met",Z257)))</formula>
    </cfRule>
  </conditionalFormatting>
  <conditionalFormatting sqref="Z280:Z286">
    <cfRule type="containsText" priority="2080" operator="containsText" dxfId="1" text="Not Met">
      <formula>NOT(ISERROR(SEARCH("Not Met",Z280)))</formula>
    </cfRule>
    <cfRule type="containsText" priority="2081" operator="containsText" dxfId="0" text="Met">
      <formula>NOT(ISERROR(SEARCH("Met",Z280)))</formula>
    </cfRule>
  </conditionalFormatting>
  <conditionalFormatting sqref="Z280:Z293">
    <cfRule type="containsText" priority="2082" operator="containsText" dxfId="1" text="Not Met">
      <formula>NOT(ISERROR(SEARCH("Not Met",Z280)))</formula>
    </cfRule>
    <cfRule type="containsText" priority="2083" operator="containsText" dxfId="0" text="Met">
      <formula>NOT(ISERROR(SEARCH("Met",Z280)))</formula>
    </cfRule>
  </conditionalFormatting>
  <conditionalFormatting sqref="Z296">
    <cfRule type="containsText" priority="1955" operator="containsText" dxfId="0" text="Met">
      <formula>NOT(ISERROR(SEARCH("Met",Z296)))</formula>
    </cfRule>
    <cfRule type="containsText" priority="1954" operator="containsText" dxfId="1" text="Not Met">
      <formula>NOT(ISERROR(SEARCH("Not Met",Z296)))</formula>
    </cfRule>
  </conditionalFormatting>
  <conditionalFormatting sqref="Z297:Z308">
    <cfRule type="containsText" priority="1965" operator="containsText" dxfId="0" text="Met">
      <formula>NOT(ISERROR(SEARCH("Met",Z297)))</formula>
    </cfRule>
    <cfRule type="containsText" priority="1964" operator="containsText" dxfId="1" text="Not Met">
      <formula>NOT(ISERROR(SEARCH("Not Met",Z297)))</formula>
    </cfRule>
  </conditionalFormatting>
  <conditionalFormatting sqref="Z301">
    <cfRule type="containsText" priority="1960" operator="containsText" dxfId="1" text="Not Met">
      <formula>NOT(ISERROR(SEARCH("Not Met",Z301)))</formula>
    </cfRule>
    <cfRule type="containsText" priority="1963" operator="containsText" dxfId="0" text="Met">
      <formula>NOT(ISERROR(SEARCH("Met",Z301)))</formula>
    </cfRule>
    <cfRule type="containsText" priority="1962" operator="containsText" dxfId="1" text="Not Met">
      <formula>NOT(ISERROR(SEARCH("Not Met",Z301)))</formula>
    </cfRule>
    <cfRule type="containsText" priority="1961" operator="containsText" dxfId="0" text="Met">
      <formula>NOT(ISERROR(SEARCH("Met",Z301)))</formula>
    </cfRule>
  </conditionalFormatting>
  <conditionalFormatting sqref="Z302:Z308">
    <cfRule type="containsText" priority="2094" operator="containsText" dxfId="1" text="Not Met">
      <formula>NOT(ISERROR(SEARCH("Not Met",Z302)))</formula>
    </cfRule>
    <cfRule type="containsText" priority="2095" operator="containsText" dxfId="0" text="Met">
      <formula>NOT(ISERROR(SEARCH("Met",Z302)))</formula>
    </cfRule>
  </conditionalFormatting>
  <conditionalFormatting sqref="Z317:Z328">
    <cfRule type="containsText" priority="1920" operator="containsText" dxfId="1" text="Not Met">
      <formula>NOT(ISERROR(SEARCH("Not Met",Z317)))</formula>
    </cfRule>
    <cfRule type="containsText" priority="1917" operator="containsText" dxfId="0" text="Met">
      <formula>NOT(ISERROR(SEARCH("Met",Z317)))</formula>
    </cfRule>
    <cfRule type="containsText" priority="1918" operator="containsText" dxfId="1" text="Not Met">
      <formula>NOT(ISERROR(SEARCH("Not Met",Z317)))</formula>
    </cfRule>
    <cfRule type="containsText" priority="1919" operator="containsText" dxfId="0" text="Met">
      <formula>NOT(ISERROR(SEARCH("Met",Z317)))</formula>
    </cfRule>
    <cfRule type="containsText" priority="1916" operator="containsText" dxfId="1" text="Not Met">
      <formula>NOT(ISERROR(SEARCH("Not Met",Z317)))</formula>
    </cfRule>
  </conditionalFormatting>
  <conditionalFormatting sqref="Z317:Z330">
    <cfRule type="containsText" priority="1921" operator="containsText" dxfId="0" text="Met">
      <formula>NOT(ISERROR(SEARCH("Met",Z317)))</formula>
    </cfRule>
  </conditionalFormatting>
  <conditionalFormatting sqref="Z334:Z345">
    <cfRule type="containsText" priority="1842" operator="containsText" dxfId="0" text="Met">
      <formula>NOT(ISERROR(SEARCH("Met",Z334)))</formula>
    </cfRule>
  </conditionalFormatting>
  <conditionalFormatting sqref="Z337:Z343">
    <cfRule type="containsText" priority="1840" operator="containsText" dxfId="0" text="Met">
      <formula>NOT(ISERROR(SEARCH("Met",Z337)))</formula>
    </cfRule>
    <cfRule type="containsText" priority="1839" operator="containsText" dxfId="1" text="Not Met">
      <formula>NOT(ISERROR(SEARCH("Not Met",Z337)))</formula>
    </cfRule>
    <cfRule type="containsText" priority="1841" operator="containsText" dxfId="1" text="Not Met">
      <formula>NOT(ISERROR(SEARCH("Not Met",Z337)))</formula>
    </cfRule>
  </conditionalFormatting>
  <conditionalFormatting sqref="Z344:Z345 Z347:Z349">
    <cfRule type="containsText" priority="2004" operator="containsText" dxfId="1" text="Not Met">
      <formula>NOT(ISERROR(SEARCH("Not Met",Z344)))</formula>
    </cfRule>
  </conditionalFormatting>
  <conditionalFormatting sqref="Z351">
    <cfRule type="containsText" priority="2003" operator="containsText" dxfId="1" text="Not Met">
      <formula>NOT(ISERROR(SEARCH("Not Met",Z351)))</formula>
    </cfRule>
  </conditionalFormatting>
  <conditionalFormatting sqref="Z351:Z355 Z357:Z359">
    <cfRule type="containsText" priority="1931" operator="containsText" dxfId="0" text="Met">
      <formula>NOT(ISERROR(SEARCH("Met",Z351)))</formula>
    </cfRule>
  </conditionalFormatting>
  <conditionalFormatting sqref="Z352:Z354 Z358:Z359">
    <cfRule type="containsText" priority="1928" operator="containsText" dxfId="1" text="Not Met">
      <formula>NOT(ISERROR(SEARCH("Not Met",Z352)))</formula>
    </cfRule>
    <cfRule type="containsText" priority="1929" operator="containsText" dxfId="0" text="Met">
      <formula>NOT(ISERROR(SEARCH("Met",Z352)))</formula>
    </cfRule>
  </conditionalFormatting>
  <conditionalFormatting sqref="Z352:Z355 Z357:Z359">
    <cfRule type="containsText" priority="1930" operator="containsText" dxfId="1" text="Not Met">
      <formula>NOT(ISERROR(SEARCH("Not Met",Z352)))</formula>
    </cfRule>
  </conditionalFormatting>
  <conditionalFormatting sqref="Z367:Z377">
    <cfRule type="containsText" priority="1835" operator="containsText" dxfId="1" text="Not Met">
      <formula>NOT(ISERROR(SEARCH("Not Met",Z367)))</formula>
    </cfRule>
    <cfRule type="containsText" priority="1836" operator="containsText" dxfId="0" text="Met">
      <formula>NOT(ISERROR(SEARCH("Met",Z367)))</formula>
    </cfRule>
    <cfRule type="containsText" priority="1833" operator="containsText" dxfId="1" text="Not Met">
      <formula>NOT(ISERROR(SEARCH("Not Met",Z367)))</formula>
    </cfRule>
    <cfRule type="containsText" priority="1834" operator="containsText" dxfId="0" text="Met">
      <formula>NOT(ISERROR(SEARCH("Met",Z367)))</formula>
    </cfRule>
  </conditionalFormatting>
  <conditionalFormatting sqref="Z367:Z380">
    <cfRule type="containsText" priority="1837" operator="containsText" dxfId="1" text="Not Met">
      <formula>NOT(ISERROR(SEARCH("Not Met",Z367)))</formula>
    </cfRule>
    <cfRule type="containsText" priority="1838" operator="containsText" dxfId="0" text="Met">
      <formula>NOT(ISERROR(SEARCH("Met",Z367)))</formula>
    </cfRule>
  </conditionalFormatting>
  <conditionalFormatting sqref="Z392:Z394 Z397:Z401 Z404">
    <cfRule type="containsText" priority="1863" operator="containsText" dxfId="0" text="Met">
      <formula>NOT(ISERROR(SEARCH("Met",Z392)))</formula>
    </cfRule>
    <cfRule type="containsText" priority="1859" operator="containsText" dxfId="1" text="Not Met">
      <formula>NOT(ISERROR(SEARCH("Not Met",Z392)))</formula>
    </cfRule>
  </conditionalFormatting>
  <conditionalFormatting sqref="Z413:Z415 Z419:Z422">
    <cfRule type="containsText" priority="1861" operator="containsText" dxfId="0" text="Met">
      <formula>NOT(ISERROR(SEARCH("Met",Z413)))</formula>
    </cfRule>
    <cfRule type="containsText" priority="1860" operator="containsText" dxfId="1" text="Not Met">
      <formula>NOT(ISERROR(SEARCH("Not Met",Z413)))</formula>
    </cfRule>
  </conditionalFormatting>
  <conditionalFormatting sqref="Z417">
    <cfRule type="containsText" priority="1858" operator="containsText" dxfId="0" text="Met">
      <formula>NOT(ISERROR(SEARCH("Met",Z417)))</formula>
    </cfRule>
    <cfRule type="containsText" priority="1857" operator="containsText" dxfId="1" text="Not Met">
      <formula>NOT(ISERROR(SEARCH("Not Met",Z417)))</formula>
    </cfRule>
  </conditionalFormatting>
  <conditionalFormatting sqref="Z430">
    <cfRule type="containsText" priority="1910" operator="containsText" dxfId="1" text="Not Met">
      <formula>NOT(ISERROR(SEARCH("Not Met",Z430)))</formula>
    </cfRule>
    <cfRule type="containsText" priority="1911" operator="containsText" dxfId="0" text="Met">
      <formula>NOT(ISERROR(SEARCH("Met",Z430)))</formula>
    </cfRule>
  </conditionalFormatting>
  <conditionalFormatting sqref="Z458:Z465">
    <cfRule type="containsText" priority="1893" operator="containsText" dxfId="0" text="Met">
      <formula>NOT(ISERROR(SEARCH("Met",Z458)))</formula>
    </cfRule>
    <cfRule type="containsText" priority="1892" operator="containsText" dxfId="1" text="Not Met">
      <formula>NOT(ISERROR(SEARCH("Not Met",Z458)))</formula>
    </cfRule>
  </conditionalFormatting>
  <conditionalFormatting sqref="Z467">
    <cfRule type="containsText" priority="1891" operator="containsText" dxfId="0" text="Met">
      <formula>NOT(ISERROR(SEARCH("Met",Z467)))</formula>
    </cfRule>
    <cfRule type="containsText" priority="1890" operator="containsText" dxfId="1" text="Not Met">
      <formula>NOT(ISERROR(SEARCH("Not Met",Z467)))</formula>
    </cfRule>
  </conditionalFormatting>
  <conditionalFormatting sqref="Z470:Z481">
    <cfRule type="containsText" priority="1885" operator="containsText" dxfId="0" text="Met">
      <formula>NOT(ISERROR(SEARCH("Met",Z470)))</formula>
    </cfRule>
    <cfRule type="containsText" priority="1884" operator="containsText" dxfId="1" text="Not Met">
      <formula>NOT(ISERROR(SEARCH("Not Met",Z470)))</formula>
    </cfRule>
  </conditionalFormatting>
  <conditionalFormatting sqref="Z484:Z485">
    <cfRule type="containsText" priority="1882" operator="containsText" dxfId="1" text="Not Met">
      <formula>NOT(ISERROR(SEARCH("Not Met",Z484)))</formula>
    </cfRule>
    <cfRule type="containsText" priority="1883" operator="containsText" dxfId="0" text="Met">
      <formula>NOT(ISERROR(SEARCH("Met",Z484)))</formula>
    </cfRule>
  </conditionalFormatting>
  <conditionalFormatting sqref="U243:AA249 Y441:AA457 Z54:AA77 Z346:AA350 AA78:AA89 AA119:AA148 AA163:AA168 AA185:AA205 AA294:AA300 AA317:AA324 AA334:AA336 AA344:AA345 AA351:AA357 AA367:AA378 AA380 AA383:AA387 AA391:AA402 AA404:AA409 AA411:AA415 AA419:AA420 AA425:AA440 AA458:AA485">
    <cfRule type="containsText" priority="1821" operator="containsText" dxfId="0" text="Met">
      <formula>NOT(ISERROR(SEARCH("Met",U54)))</formula>
    </cfRule>
  </conditionalFormatting>
  <conditionalFormatting sqref="U243:AA249 Y441:AA457 Z54:AA77 AA78:AA89 AA119:AA148 AA163:AA168 AA185:AA205 AA294:AA300 AA317:AA324 AA334:AA336 AA344:AA345 AA347:AA349 AA351:AA357 AA367:AA378 AA380 AA383:AA387 AA391:AA402 AA404:AA409 AA411:AA415 AA419:AA420 AA425:AA440 AA458:AA485">
    <cfRule type="containsText" priority="1820" operator="containsText" dxfId="1" text="Not Met">
      <formula>NOT(ISERROR(SEARCH("Not Met",U54)))</formula>
    </cfRule>
  </conditionalFormatting>
  <conditionalFormatting sqref="Z161:AA162 Z309:AA316 Z346:AA346">
    <cfRule type="containsText" priority="1787" operator="containsText" dxfId="1" text="Not Met">
      <formula>NOT(ISERROR(SEARCH("Not Met",Z161)))</formula>
    </cfRule>
  </conditionalFormatting>
  <conditionalFormatting sqref="Z309:AA316">
    <cfRule type="containsText" priority="1788" operator="containsText" dxfId="0" text="Met">
      <formula>NOT(ISERROR(SEARCH("Met",Z309)))</formula>
    </cfRule>
  </conditionalFormatting>
  <conditionalFormatting sqref="Z329:AA333 Z334:Z336">
    <cfRule type="containsText" priority="2005" operator="containsText" dxfId="1" text="Not Met">
      <formula>NOT(ISERROR(SEARCH("Not Met",Z329)))</formula>
    </cfRule>
  </conditionalFormatting>
  <conditionalFormatting sqref="Z70:AB70">
    <cfRule type="containsText" priority="1375" operator="containsText" dxfId="1" text="Not Met">
      <formula>NOT(ISERROR(SEARCH("Not Met",Z70)))</formula>
    </cfRule>
    <cfRule type="containsText" priority="1376" operator="containsText" dxfId="0" text="Met">
      <formula>NOT(ISERROR(SEARCH("Met",Z70)))</formula>
    </cfRule>
  </conditionalFormatting>
  <conditionalFormatting sqref="AA2:AA4 AA6:AA10 AA12:AA15 AA49:AA50 AA52:AA53 AA422">
    <cfRule type="containsText" priority="1809" operator="containsText" dxfId="0" text="Met">
      <formula>NOT(ISERROR(SEARCH("Met",AA2)))</formula>
    </cfRule>
    <cfRule type="containsText" priority="1808" operator="containsText" dxfId="1" text="Not Met">
      <formula>NOT(ISERROR(SEARCH("Not Met",AA2)))</formula>
    </cfRule>
  </conditionalFormatting>
  <conditionalFormatting sqref="AA78 AA84:AA86 AA88 AA119:AA121 AA126 AA131 AA134 AA145 AA148 AA190:AA192 AA194:AA195 AA245 AA247 AA383 AA385:AA387 AA399 AA402 AA406:AA408 AA411 AA413 AA420 AA455">
    <cfRule type="containsText" priority="1610" operator="containsText" dxfId="0" text="Met">
      <formula>NOT(ISERROR(SEARCH("Met",AA78)))</formula>
    </cfRule>
    <cfRule type="containsText" priority="1609" operator="containsText" dxfId="1" text="Not Met">
      <formula>NOT(ISERROR(SEARCH("Not Met",AA78)))</formula>
    </cfRule>
  </conditionalFormatting>
  <conditionalFormatting sqref="AA165 AA168 AA335:AA336 AA344:AA345 AA348:AA349 AA380">
    <cfRule type="containsText" priority="1612" operator="containsText" dxfId="0" text="Met">
      <formula>NOT(ISERROR(SEARCH("Met",AA165)))</formula>
    </cfRule>
    <cfRule type="containsText" priority="1611" operator="containsText" dxfId="1" text="Not Met">
      <formula>NOT(ISERROR(SEARCH("Not Met",AA165)))</formula>
    </cfRule>
  </conditionalFormatting>
  <conditionalFormatting sqref="AA298:AB298 AA300:AB300">
    <cfRule type="containsText" priority="1147" operator="containsText" dxfId="1" text="Not Met">
      <formula>NOT(ISERROR(SEARCH("Not Met",AA298)))</formula>
    </cfRule>
    <cfRule type="containsText" priority="1148" operator="containsText" dxfId="0" text="Met">
      <formula>NOT(ISERROR(SEARCH("Met",AA298)))</formula>
    </cfRule>
  </conditionalFormatting>
  <conditionalFormatting sqref="AA319:AB319 AA324:AB324">
    <cfRule type="containsText" priority="1135" operator="containsText" dxfId="1" text="Not Met">
      <formula>NOT(ISERROR(SEARCH("Not Met",AA319)))</formula>
    </cfRule>
    <cfRule type="containsText" priority="1136" operator="containsText" dxfId="0" text="Met">
      <formula>NOT(ISERROR(SEARCH("Met",AA319)))</formula>
    </cfRule>
  </conditionalFormatting>
  <conditionalFormatting sqref="AA374:AB377">
    <cfRule type="containsText" priority="1067" operator="containsText" dxfId="1" text="Not Met">
      <formula>NOT(ISERROR(SEARCH("Not Met",AA374)))</formula>
    </cfRule>
    <cfRule type="containsText" priority="1068" operator="containsText" dxfId="0" text="Met">
      <formula>NOT(ISERROR(SEARCH("Met",AA374)))</formula>
    </cfRule>
  </conditionalFormatting>
  <conditionalFormatting sqref="AA459:AB459 AA468:AB468">
    <cfRule type="containsText" priority="1054" operator="containsText" dxfId="0" text="Met">
      <formula>NOT(ISERROR(SEARCH("Met",AA459)))</formula>
    </cfRule>
    <cfRule type="containsText" priority="1053" operator="containsText" dxfId="1" text="Not Met">
      <formula>NOT(ISERROR(SEARCH("Not Met",AA459)))</formula>
    </cfRule>
  </conditionalFormatting>
  <conditionalFormatting sqref="AA472:AB473 AA477:AB477 AA479:AB479 AB482">
    <cfRule type="containsText" priority="1044" operator="containsText" dxfId="0" text="Met">
      <formula>NOT(ISERROR(SEARCH("Met",AA472)))</formula>
    </cfRule>
    <cfRule type="containsText" priority="1043" operator="containsText" dxfId="1" text="Not Met">
      <formula>NOT(ISERROR(SEARCH("Not Met",AA472)))</formula>
    </cfRule>
  </conditionalFormatting>
  <conditionalFormatting sqref="AB2:AB5">
    <cfRule type="containsText" priority="1440" operator="containsText" dxfId="0" text="Met">
      <formula>NOT(ISERROR(SEARCH("Met",AB2)))</formula>
    </cfRule>
    <cfRule type="containsText" priority="1439" operator="containsText" dxfId="1" text="Not Met">
      <formula>NOT(ISERROR(SEARCH("Not Met",AB2)))</formula>
    </cfRule>
  </conditionalFormatting>
  <conditionalFormatting sqref="AB5:AB6">
    <cfRule type="containsText" priority="1441" operator="containsText" dxfId="1" text="Not Met">
      <formula>NOT(ISERROR(SEARCH("Not Met",AB5)))</formula>
    </cfRule>
    <cfRule type="containsText" priority="1442" operator="containsText" dxfId="0" text="Met">
      <formula>NOT(ISERROR(SEARCH("Met",AB5)))</formula>
    </cfRule>
  </conditionalFormatting>
  <conditionalFormatting sqref="AB7:AB12">
    <cfRule type="containsText" priority="1426" operator="containsText" dxfId="0" text="Met">
      <formula>NOT(ISERROR(SEARCH("Met",AB7)))</formula>
    </cfRule>
    <cfRule type="containsText" priority="1425" operator="containsText" dxfId="1" text="Not Met">
      <formula>NOT(ISERROR(SEARCH("Not Met",AB7)))</formula>
    </cfRule>
  </conditionalFormatting>
  <conditionalFormatting sqref="AB11">
    <cfRule type="containsText" priority="1424" operator="containsText" dxfId="0" text="Met">
      <formula>NOT(ISERROR(SEARCH("Met",AB11)))</formula>
    </cfRule>
    <cfRule type="containsText" priority="1423" operator="containsText" dxfId="1" text="Not Met">
      <formula>NOT(ISERROR(SEARCH("Not Met",AB11)))</formula>
    </cfRule>
  </conditionalFormatting>
  <conditionalFormatting sqref="AB12">
    <cfRule type="containsText" priority="1434" operator="containsText" dxfId="0" text="Met">
      <formula>NOT(ISERROR(SEARCH("Met",AB12)))</formula>
    </cfRule>
    <cfRule type="containsText" priority="1433" operator="containsText" dxfId="1" text="Not Met">
      <formula>NOT(ISERROR(SEARCH("Not Met",AB12)))</formula>
    </cfRule>
  </conditionalFormatting>
  <conditionalFormatting sqref="AB15:AB19">
    <cfRule type="containsText" priority="1430" operator="containsText" dxfId="0" text="Met">
      <formula>NOT(ISERROR(SEARCH("Met",AB15)))</formula>
    </cfRule>
    <cfRule type="containsText" priority="1429" operator="containsText" dxfId="1" text="Not Met">
      <formula>NOT(ISERROR(SEARCH("Not Met",AB15)))</formula>
    </cfRule>
    <cfRule type="containsText" priority="1428" operator="containsText" dxfId="0" text="Met">
      <formula>NOT(ISERROR(SEARCH("Met",AB15)))</formula>
    </cfRule>
    <cfRule type="containsText" priority="1427" operator="containsText" dxfId="1" text="Not Met">
      <formula>NOT(ISERROR(SEARCH("Not Met",AB15)))</formula>
    </cfRule>
  </conditionalFormatting>
  <conditionalFormatting sqref="AB34:AB41">
    <cfRule type="containsText" priority="1406" operator="containsText" dxfId="0" text="Met">
      <formula>NOT(ISERROR(SEARCH("Met",AB34)))</formula>
    </cfRule>
    <cfRule type="containsText" priority="1405" operator="containsText" dxfId="1" text="Not Met">
      <formula>NOT(ISERROR(SEARCH("Not Met",AB34)))</formula>
    </cfRule>
    <cfRule type="containsText" priority="1404" operator="containsText" dxfId="0" text="Met">
      <formula>NOT(ISERROR(SEARCH("Met",AB34)))</formula>
    </cfRule>
    <cfRule type="containsText" priority="1403" operator="containsText" dxfId="1" text="Not Met">
      <formula>NOT(ISERROR(SEARCH("Not Met",AB34)))</formula>
    </cfRule>
  </conditionalFormatting>
  <conditionalFormatting sqref="AB34:AB48">
    <cfRule type="containsText" priority="1400" operator="containsText" dxfId="0" text="Met">
      <formula>NOT(ISERROR(SEARCH("Met",AB34)))</formula>
    </cfRule>
    <cfRule type="containsText" priority="1399" operator="containsText" dxfId="1" text="Not Met">
      <formula>NOT(ISERROR(SEARCH("Not Met",AB34)))</formula>
    </cfRule>
  </conditionalFormatting>
  <conditionalFormatting sqref="AB42:AB70">
    <cfRule type="containsText" priority="1371" operator="containsText" dxfId="1" text="Not Met">
      <formula>NOT(ISERROR(SEARCH("Not Met",AB42)))</formula>
    </cfRule>
    <cfRule type="containsText" priority="1372" operator="containsText" dxfId="0" text="Met">
      <formula>NOT(ISERROR(SEARCH("Met",AB42)))</formula>
    </cfRule>
  </conditionalFormatting>
  <conditionalFormatting sqref="AB51">
    <cfRule type="containsText" priority="1392" operator="containsText" dxfId="0" text="Met">
      <formula>NOT(ISERROR(SEARCH("Met",AB51)))</formula>
    </cfRule>
    <cfRule type="containsText" priority="1391" operator="containsText" dxfId="1" text="Not Met">
      <formula>NOT(ISERROR(SEARCH("Not Met",AB51)))</formula>
    </cfRule>
  </conditionalFormatting>
  <conditionalFormatting sqref="AB54:AB69">
    <cfRule type="containsText" priority="1370" operator="containsText" dxfId="0" text="Met">
      <formula>NOT(ISERROR(SEARCH("Met",AB54)))</formula>
    </cfRule>
    <cfRule type="containsText" priority="1369" operator="containsText" dxfId="1" text="Not Met">
      <formula>NOT(ISERROR(SEARCH("Not Met",AB54)))</formula>
    </cfRule>
    <cfRule type="containsText" priority="1367" operator="containsText" dxfId="1" text="Not Met">
      <formula>NOT(ISERROR(SEARCH("Not Met",AB54)))</formula>
    </cfRule>
    <cfRule type="containsText" priority="1368" operator="containsText" dxfId="0" text="Met">
      <formula>NOT(ISERROR(SEARCH("Met",AB54)))</formula>
    </cfRule>
  </conditionalFormatting>
  <conditionalFormatting sqref="AB70:AB71">
    <cfRule type="containsText" priority="1378" operator="containsText" dxfId="0" text="Met">
      <formula>NOT(ISERROR(SEARCH("Met",AB70)))</formula>
    </cfRule>
    <cfRule type="containsText" priority="1377" operator="containsText" dxfId="1" text="Not Met">
      <formula>NOT(ISERROR(SEARCH("Not Met",AB70)))</formula>
    </cfRule>
  </conditionalFormatting>
  <conditionalFormatting sqref="AB72:AB77">
    <cfRule type="containsText" priority="1357" operator="containsText" dxfId="1" text="Not Met">
      <formula>NOT(ISERROR(SEARCH("Not Met",AB72)))</formula>
    </cfRule>
    <cfRule type="containsText" priority="1356" operator="containsText" dxfId="0" text="Met">
      <formula>NOT(ISERROR(SEARCH("Met",AB72)))</formula>
    </cfRule>
    <cfRule type="containsText" priority="1355" operator="containsText" dxfId="1" text="Not Met">
      <formula>NOT(ISERROR(SEARCH("Not Met",AB72)))</formula>
    </cfRule>
    <cfRule type="containsText" priority="1358" operator="containsText" dxfId="0" text="Met">
      <formula>NOT(ISERROR(SEARCH("Met",AB72)))</formula>
    </cfRule>
    <cfRule type="containsText" priority="1359" operator="containsText" dxfId="1" text="Not Met">
      <formula>NOT(ISERROR(SEARCH("Not Met",AB72)))</formula>
    </cfRule>
    <cfRule type="containsText" priority="1360" operator="containsText" dxfId="0" text="Met">
      <formula>NOT(ISERROR(SEARCH("Met",AB72)))</formula>
    </cfRule>
  </conditionalFormatting>
  <conditionalFormatting sqref="AB78:AB81">
    <cfRule type="containsText" priority="1354" operator="containsText" dxfId="488" text="Not met">
      <formula>NOT(ISERROR(SEARCH("Not met",AB78)))</formula>
    </cfRule>
  </conditionalFormatting>
  <conditionalFormatting sqref="AB83:AB89">
    <cfRule type="containsText" priority="1352" operator="containsText" dxfId="488" text="Not met">
      <formula>NOT(ISERROR(SEARCH("Not met",AB83)))</formula>
    </cfRule>
  </conditionalFormatting>
  <conditionalFormatting sqref="AB104">
    <cfRule type="containsText" priority="1017" operator="containsText" dxfId="1" text="Not Met">
      <formula>NOT(ISERROR(SEARCH("Not Met",AB104)))</formula>
    </cfRule>
    <cfRule type="containsText" priority="1018" operator="containsText" dxfId="0" text="Met">
      <formula>NOT(ISERROR(SEARCH("Met",AB104)))</formula>
    </cfRule>
  </conditionalFormatting>
  <conditionalFormatting sqref="AB104:AB110">
    <cfRule type="containsText" priority="1019" operator="containsText" dxfId="1" text="Not Met">
      <formula>NOT(ISERROR(SEARCH("Not Met",AB104)))</formula>
    </cfRule>
    <cfRule type="containsText" priority="1020" operator="containsText" dxfId="0" text="Met">
      <formula>NOT(ISERROR(SEARCH("Met",AB104)))</formula>
    </cfRule>
  </conditionalFormatting>
  <conditionalFormatting sqref="AB105:AB110">
    <cfRule type="containsText" priority="1310" operator="containsText" dxfId="0" text="Met">
      <formula>NOT(ISERROR(SEARCH("Met",AB105)))</formula>
    </cfRule>
    <cfRule type="containsText" priority="1309" operator="containsText" dxfId="1" text="Not Met">
      <formula>NOT(ISERROR(SEARCH("Not Met",AB105)))</formula>
    </cfRule>
  </conditionalFormatting>
  <conditionalFormatting sqref="AB127:AB160">
    <cfRule type="containsText" priority="1287" operator="containsText" dxfId="1" text="Not Met">
      <formula>NOT(ISERROR(SEARCH("Not Met",AB127)))</formula>
    </cfRule>
    <cfRule type="containsText" priority="1288" operator="containsText" dxfId="0" text="Met">
      <formula>NOT(ISERROR(SEARCH("Met",AB127)))</formula>
    </cfRule>
  </conditionalFormatting>
  <conditionalFormatting sqref="AB149:AB159">
    <cfRule type="containsText" priority="1286" operator="containsText" dxfId="0" text="Met">
      <formula>NOT(ISERROR(SEARCH("Met",AB149)))</formula>
    </cfRule>
    <cfRule type="containsText" priority="1285" operator="containsText" dxfId="1" text="Not Met">
      <formula>NOT(ISERROR(SEARCH("Not Met",AB149)))</formula>
    </cfRule>
  </conditionalFormatting>
  <conditionalFormatting sqref="AB160">
    <cfRule type="containsText" priority="1292" operator="containsText" dxfId="0" text="Met">
      <formula>NOT(ISERROR(SEARCH("Met",AB160)))</formula>
    </cfRule>
    <cfRule type="containsText" priority="1291" operator="containsText" dxfId="1" text="Not Met">
      <formula>NOT(ISERROR(SEARCH("Not Met",AB160)))</formula>
    </cfRule>
  </conditionalFormatting>
  <conditionalFormatting sqref="AB169:AB176">
    <cfRule type="containsText" priority="1276" operator="containsText" dxfId="0" text="Met">
      <formula>NOT(ISERROR(SEARCH("Met",AB169)))</formula>
    </cfRule>
    <cfRule type="containsText" priority="1275" operator="containsText" dxfId="1" text="Not Met">
      <formula>NOT(ISERROR(SEARCH("Not Met",AB169)))</formula>
    </cfRule>
    <cfRule type="containsText" priority="1274" operator="containsText" dxfId="0" text="Met">
      <formula>NOT(ISERROR(SEARCH("Met",AB169)))</formula>
    </cfRule>
    <cfRule type="containsText" priority="1273" operator="containsText" dxfId="1" text="Not Met">
      <formula>NOT(ISERROR(SEARCH("Not Met",AB169)))</formula>
    </cfRule>
    <cfRule type="containsText" priority="1272" operator="containsText" dxfId="0" text="Met">
      <formula>NOT(ISERROR(SEARCH("Met",AB169)))</formula>
    </cfRule>
    <cfRule type="containsText" priority="1271" operator="containsText" dxfId="1" text="Not Met">
      <formula>NOT(ISERROR(SEARCH("Not Met",AB169)))</formula>
    </cfRule>
  </conditionalFormatting>
  <conditionalFormatting sqref="AB185:AB204">
    <cfRule type="containsText" priority="1256" operator="containsText" dxfId="0" text="Met">
      <formula>NOT(ISERROR(SEARCH("Met",AB185)))</formula>
    </cfRule>
    <cfRule type="containsText" priority="1255" operator="containsText" dxfId="1" text="Not Met">
      <formula>NOT(ISERROR(SEARCH("Not Met",AB185)))</formula>
    </cfRule>
  </conditionalFormatting>
  <conditionalFormatting sqref="AB204">
    <cfRule type="containsText" priority="1250" operator="containsText" dxfId="0" text="Met">
      <formula>NOT(ISERROR(SEARCH("Met",AB204)))</formula>
    </cfRule>
    <cfRule type="containsText" priority="1251" operator="containsText" dxfId="1" text="Not Met">
      <formula>NOT(ISERROR(SEARCH("Not Met",AB204)))</formula>
    </cfRule>
    <cfRule type="containsText" priority="1245" operator="containsText" dxfId="1" text="Not Met">
      <formula>NOT(ISERROR(SEARCH("Not Met",AB204)))</formula>
    </cfRule>
    <cfRule type="containsText" priority="1246" operator="containsText" dxfId="0" text="Met">
      <formula>NOT(ISERROR(SEARCH("Met",AB204)))</formula>
    </cfRule>
    <cfRule type="containsText" priority="1247" operator="containsText" dxfId="1" text="Not Met">
      <formula>NOT(ISERROR(SEARCH("Not Met",AB204)))</formula>
    </cfRule>
    <cfRule type="containsText" priority="1248" operator="containsText" dxfId="0" text="Met">
      <formula>NOT(ISERROR(SEARCH("Met",AB204)))</formula>
    </cfRule>
    <cfRule type="containsText" priority="1249" operator="containsText" dxfId="1" text="Not Met">
      <formula>NOT(ISERROR(SEARCH("Not Met",AB204)))</formula>
    </cfRule>
    <cfRule type="containsText" priority="1254" operator="containsText" dxfId="0" text="Met">
      <formula>NOT(ISERROR(SEARCH("Met",AB204)))</formula>
    </cfRule>
    <cfRule type="containsText" priority="1253" operator="containsText" dxfId="1" text="Not Met">
      <formula>NOT(ISERROR(SEARCH("Not Met",AB204)))</formula>
    </cfRule>
    <cfRule type="containsText" priority="1252" operator="containsText" dxfId="0" text="Met">
      <formula>NOT(ISERROR(SEARCH("Met",AB204)))</formula>
    </cfRule>
    <cfRule type="containsText" priority="1244" operator="containsText" dxfId="0" text="Met">
      <formula>NOT(ISERROR(SEARCH("Met",AB204)))</formula>
    </cfRule>
    <cfRule type="containsText" priority="1243" operator="containsText" dxfId="1" text="Not Met">
      <formula>NOT(ISERROR(SEARCH("Not Met",AB204)))</formula>
    </cfRule>
  </conditionalFormatting>
  <conditionalFormatting sqref="AB204:AB225">
    <cfRule type="containsText" priority="1240" operator="containsText" dxfId="0" text="Met">
      <formula>NOT(ISERROR(SEARCH("Met",AB204)))</formula>
    </cfRule>
    <cfRule type="containsText" priority="1239" operator="containsText" dxfId="1" text="Not Met">
      <formula>NOT(ISERROR(SEARCH("Not Met",AB204)))</formula>
    </cfRule>
  </conditionalFormatting>
  <conditionalFormatting sqref="AB205">
    <cfRule type="containsText" priority="1229" operator="containsText" dxfId="1" text="Not Met">
      <formula>NOT(ISERROR(SEARCH("Not Met",AB205)))</formula>
    </cfRule>
    <cfRule type="containsText" priority="1225" operator="containsText" dxfId="1" text="Not Met">
      <formula>NOT(ISERROR(SEARCH("Not Met",AB205)))</formula>
    </cfRule>
    <cfRule type="containsText" priority="1226" operator="containsText" dxfId="0" text="Met">
      <formula>NOT(ISERROR(SEARCH("Met",AB205)))</formula>
    </cfRule>
    <cfRule type="containsText" priority="1227" operator="containsText" dxfId="1" text="Not Met">
      <formula>NOT(ISERROR(SEARCH("Not Met",AB205)))</formula>
    </cfRule>
    <cfRule type="containsText" priority="1228" operator="containsText" dxfId="0" text="Met">
      <formula>NOT(ISERROR(SEARCH("Met",AB205)))</formula>
    </cfRule>
    <cfRule type="containsText" priority="1238" operator="containsText" dxfId="0" text="Met">
      <formula>NOT(ISERROR(SEARCH("Met",AB205)))</formula>
    </cfRule>
    <cfRule type="containsText" priority="1237" operator="containsText" dxfId="1" text="Not Met">
      <formula>NOT(ISERROR(SEARCH("Not Met",AB205)))</formula>
    </cfRule>
    <cfRule type="containsText" priority="1236" operator="containsText" dxfId="0" text="Met">
      <formula>NOT(ISERROR(SEARCH("Met",AB205)))</formula>
    </cfRule>
    <cfRule type="containsText" priority="1235" operator="containsText" dxfId="1" text="Not Met">
      <formula>NOT(ISERROR(SEARCH("Not Met",AB205)))</formula>
    </cfRule>
    <cfRule type="containsText" priority="1234" operator="containsText" dxfId="0" text="Met">
      <formula>NOT(ISERROR(SEARCH("Met",AB205)))</formula>
    </cfRule>
    <cfRule type="containsText" priority="1233" operator="containsText" dxfId="1" text="Not Met">
      <formula>NOT(ISERROR(SEARCH("Not Met",AB205)))</formula>
    </cfRule>
    <cfRule type="containsText" priority="1232" operator="containsText" dxfId="0" text="Met">
      <formula>NOT(ISERROR(SEARCH("Met",AB205)))</formula>
    </cfRule>
    <cfRule type="containsText" priority="1231" operator="containsText" dxfId="1" text="Not Met">
      <formula>NOT(ISERROR(SEARCH("Not Met",AB205)))</formula>
    </cfRule>
    <cfRule type="containsText" priority="1230" operator="containsText" dxfId="0" text="Met">
      <formula>NOT(ISERROR(SEARCH("Met",AB205)))</formula>
    </cfRule>
  </conditionalFormatting>
  <conditionalFormatting sqref="AB206:AB225">
    <cfRule type="containsText" priority="1260" operator="containsText" dxfId="0" text="Met">
      <formula>NOT(ISERROR(SEARCH("Met",AB206)))</formula>
    </cfRule>
    <cfRule type="containsText" priority="1259" operator="containsText" dxfId="1" text="Not Met">
      <formula>NOT(ISERROR(SEARCH("Not Met",AB206)))</formula>
    </cfRule>
  </conditionalFormatting>
  <conditionalFormatting sqref="AB226:AB230 AB236:AB242">
    <cfRule type="containsText" priority="1202" operator="containsText" dxfId="0" text="Met">
      <formula>NOT(ISERROR(SEARCH("Met",AB226)))</formula>
    </cfRule>
    <cfRule type="containsText" priority="1201" operator="containsText" dxfId="1" text="Not Met">
      <formula>NOT(ISERROR(SEARCH("Not Met",AB226)))</formula>
    </cfRule>
  </conditionalFormatting>
  <conditionalFormatting sqref="AB226:AB242">
    <cfRule type="containsText" priority="1197" operator="containsText" dxfId="1" text="Not Met">
      <formula>NOT(ISERROR(SEARCH("Not Met",AB226)))</formula>
    </cfRule>
    <cfRule type="containsText" priority="1198" operator="containsText" dxfId="0" text="Met">
      <formula>NOT(ISERROR(SEARCH("Met",AB226)))</formula>
    </cfRule>
  </conditionalFormatting>
  <conditionalFormatting sqref="AB231:AB235">
    <cfRule type="containsText" priority="1195" operator="containsText" dxfId="1" text="Not Met">
      <formula>NOT(ISERROR(SEARCH("Not Met",AB231)))</formula>
    </cfRule>
    <cfRule type="containsText" priority="1196" operator="containsText" dxfId="0" text="Met">
      <formula>NOT(ISERROR(SEARCH("Met",AB231)))</formula>
    </cfRule>
  </conditionalFormatting>
  <conditionalFormatting sqref="AB243:AB249">
    <cfRule type="containsText" priority="1188" operator="containsText" dxfId="0" text="Met">
      <formula>NOT(ISERROR(SEARCH("Met",AB243)))</formula>
    </cfRule>
    <cfRule type="containsText" priority="1187" operator="containsText" dxfId="1" text="Not Met">
      <formula>NOT(ISERROR(SEARCH("Not Met",AB243)))</formula>
    </cfRule>
  </conditionalFormatting>
  <conditionalFormatting sqref="AB245:AB249">
    <cfRule type="containsText" priority="1186" operator="containsText" dxfId="0" text="Met">
      <formula>NOT(ISERROR(SEARCH("Met",AB245)))</formula>
    </cfRule>
    <cfRule type="containsText" priority="1185" operator="containsText" dxfId="1" text="Not Met">
      <formula>NOT(ISERROR(SEARCH("Not Met",AB245)))</formula>
    </cfRule>
  </conditionalFormatting>
  <conditionalFormatting sqref="AB245:AB256">
    <cfRule type="containsText" priority="1180" operator="containsText" dxfId="0" text="Met">
      <formula>NOT(ISERROR(SEARCH("Met",AB245)))</formula>
    </cfRule>
    <cfRule type="containsText" priority="1179" operator="containsText" dxfId="1" text="Not Met">
      <formula>NOT(ISERROR(SEARCH("Not Met",AB245)))</formula>
    </cfRule>
  </conditionalFormatting>
  <conditionalFormatting sqref="AB246 AB248:AB249">
    <cfRule type="containsText" priority="1189" operator="containsText" dxfId="1" text="Not Met">
      <formula>NOT(ISERROR(SEARCH("Not Met",AB246)))</formula>
    </cfRule>
    <cfRule type="containsText" priority="1190" operator="containsText" dxfId="0" text="Met">
      <formula>NOT(ISERROR(SEARCH("Met",AB246)))</formula>
    </cfRule>
  </conditionalFormatting>
  <conditionalFormatting sqref="AB250:AB256">
    <cfRule type="containsText" priority="1178" operator="containsText" dxfId="0" text="Met">
      <formula>NOT(ISERROR(SEARCH("Met",AB250)))</formula>
    </cfRule>
    <cfRule type="containsText" priority="1177" operator="containsText" dxfId="1" text="Not Met">
      <formula>NOT(ISERROR(SEARCH("Not Met",AB250)))</formula>
    </cfRule>
  </conditionalFormatting>
  <conditionalFormatting sqref="AB250:AB270">
    <cfRule type="containsText" priority="1174" operator="containsText" dxfId="0" text="Met">
      <formula>NOT(ISERROR(SEARCH("Met",AB250)))</formula>
    </cfRule>
    <cfRule type="containsText" priority="1173" operator="containsText" dxfId="1" text="Not Met">
      <formula>NOT(ISERROR(SEARCH("Not Met",AB250)))</formula>
    </cfRule>
  </conditionalFormatting>
  <conditionalFormatting sqref="AB257:AB273">
    <cfRule type="containsText" priority="1166" operator="containsText" dxfId="0" text="Met">
      <formula>NOT(ISERROR(SEARCH("Met",AB257)))</formula>
    </cfRule>
    <cfRule type="containsText" priority="1165" operator="containsText" dxfId="1" text="Not Met">
      <formula>NOT(ISERROR(SEARCH("Not Met",AB257)))</formula>
    </cfRule>
  </conditionalFormatting>
  <conditionalFormatting sqref="AB273:AB275 AB277:AB286">
    <cfRule type="containsText" priority="1164" operator="containsText" dxfId="0" text="Met">
      <formula>NOT(ISERROR(SEARCH("Met",AB273)))</formula>
    </cfRule>
    <cfRule type="containsText" priority="1163" operator="containsText" dxfId="1" text="Not Met">
      <formula>NOT(ISERROR(SEARCH("Not Met",AB273)))</formula>
    </cfRule>
  </conditionalFormatting>
  <conditionalFormatting sqref="AB275:AB278">
    <cfRule type="containsText" priority="1160" operator="containsText" dxfId="0" text="Met">
      <formula>NOT(ISERROR(SEARCH("Met",AB275)))</formula>
    </cfRule>
    <cfRule type="containsText" priority="1159" operator="containsText" dxfId="1" text="Not Met">
      <formula>NOT(ISERROR(SEARCH("Not Met",AB275)))</formula>
    </cfRule>
  </conditionalFormatting>
  <conditionalFormatting sqref="AB280:AB286">
    <cfRule type="containsText" priority="1341" operator="containsText" dxfId="1" text="Not Met">
      <formula>NOT(ISERROR(SEARCH("Not Met",AB280)))</formula>
    </cfRule>
    <cfRule type="containsText" priority="1342" operator="containsText" dxfId="0" text="Met">
      <formula>NOT(ISERROR(SEARCH("Met",AB280)))</formula>
    </cfRule>
    <cfRule type="containsText" priority="1344" operator="containsText" dxfId="0" text="Met">
      <formula>NOT(ISERROR(SEARCH("Met",AB280)))</formula>
    </cfRule>
    <cfRule type="containsText" priority="1343" operator="containsText" dxfId="1" text="Not Met">
      <formula>NOT(ISERROR(SEARCH("Not Met",AB280)))</formula>
    </cfRule>
  </conditionalFormatting>
  <conditionalFormatting sqref="AB287:AB293">
    <cfRule type="containsText" priority="1155" operator="containsText" dxfId="1" text="Not Met">
      <formula>NOT(ISERROR(SEARCH("Not Met",AB287)))</formula>
    </cfRule>
    <cfRule type="containsText" priority="1156" operator="containsText" dxfId="0" text="Met">
      <formula>NOT(ISERROR(SEARCH("Met",AB287)))</formula>
    </cfRule>
  </conditionalFormatting>
  <conditionalFormatting sqref="AB287:AB300">
    <cfRule type="containsText" priority="1150" operator="containsText" dxfId="0" text="Met">
      <formula>NOT(ISERROR(SEARCH("Met",AB287)))</formula>
    </cfRule>
    <cfRule type="containsText" priority="1149" operator="containsText" dxfId="1" text="Not Met">
      <formula>NOT(ISERROR(SEARCH("Not Met",AB287)))</formula>
    </cfRule>
  </conditionalFormatting>
  <conditionalFormatting sqref="AB298 AB300">
    <cfRule type="containsText" priority="1146" operator="containsText" dxfId="0" text="Met">
      <formula>NOT(ISERROR(SEARCH("Met",AB298)))</formula>
    </cfRule>
    <cfRule type="containsText" priority="1145" operator="containsText" dxfId="1" text="Not Met">
      <formula>NOT(ISERROR(SEARCH("Not Met",AB298)))</formula>
    </cfRule>
  </conditionalFormatting>
  <conditionalFormatting sqref="AB317:AB324">
    <cfRule type="containsText" priority="1138" operator="containsText" dxfId="0" text="Met">
      <formula>NOT(ISERROR(SEARCH("Met",AB317)))</formula>
    </cfRule>
    <cfRule type="containsText" priority="1137" operator="containsText" dxfId="1" text="Not Met">
      <formula>NOT(ISERROR(SEARCH("Not Met",AB317)))</formula>
    </cfRule>
  </conditionalFormatting>
  <conditionalFormatting sqref="AB319">
    <cfRule type="containsText" priority="1134" operator="containsText" dxfId="0" text="Met">
      <formula>NOT(ISERROR(SEARCH("Met",AB319)))</formula>
    </cfRule>
    <cfRule type="containsText" priority="1133" operator="containsText" dxfId="1" text="Not Met">
      <formula>NOT(ISERROR(SEARCH("Not Met",AB319)))</formula>
    </cfRule>
  </conditionalFormatting>
  <conditionalFormatting sqref="AB324:AB326">
    <cfRule type="containsText" priority="1132" operator="containsText" dxfId="0" text="Met">
      <formula>NOT(ISERROR(SEARCH("Met",AB324)))</formula>
    </cfRule>
    <cfRule type="containsText" priority="1131" operator="containsText" dxfId="1" text="Not Met">
      <formula>NOT(ISERROR(SEARCH("Not Met",AB324)))</formula>
    </cfRule>
  </conditionalFormatting>
  <conditionalFormatting sqref="AB325:AB326">
    <cfRule type="containsText" priority="1130" operator="containsText" dxfId="0" text="Met">
      <formula>NOT(ISERROR(SEARCH("Met",AB325)))</formula>
    </cfRule>
    <cfRule type="containsText" priority="1129" operator="containsText" dxfId="1" text="Not Met">
      <formula>NOT(ISERROR(SEARCH("Not Met",AB325)))</formula>
    </cfRule>
    <cfRule type="containsText" priority="1128" operator="containsText" dxfId="0" text="Met">
      <formula>NOT(ISERROR(SEARCH("Met",AB325)))</formula>
    </cfRule>
    <cfRule type="containsText" priority="1127" operator="containsText" dxfId="1" text="Not Met">
      <formula>NOT(ISERROR(SEARCH("Not Met",AB325)))</formula>
    </cfRule>
  </conditionalFormatting>
  <conditionalFormatting sqref="AB328">
    <cfRule type="containsText" priority="1126" operator="containsText" dxfId="0" text="Met">
      <formula>NOT(ISERROR(SEARCH("Met",AB328)))</formula>
    </cfRule>
    <cfRule type="containsText" priority="1125" operator="containsText" dxfId="1" text="Not Met">
      <formula>NOT(ISERROR(SEARCH("Not Met",AB328)))</formula>
    </cfRule>
    <cfRule type="containsText" priority="1123" operator="containsText" dxfId="1" text="Not Met">
      <formula>NOT(ISERROR(SEARCH("Not Met",AB328)))</formula>
    </cfRule>
    <cfRule type="containsText" priority="1122" operator="containsText" dxfId="0" text="Met">
      <formula>NOT(ISERROR(SEARCH("Met",AB328)))</formula>
    </cfRule>
    <cfRule type="containsText" priority="1124" operator="containsText" dxfId="0" text="Met">
      <formula>NOT(ISERROR(SEARCH("Met",AB328)))</formula>
    </cfRule>
    <cfRule type="containsText" priority="1121" operator="containsText" dxfId="1" text="Not Met">
      <formula>NOT(ISERROR(SEARCH("Not Met",AB328)))</formula>
    </cfRule>
  </conditionalFormatting>
  <conditionalFormatting sqref="AB337:AB343">
    <cfRule type="containsText" priority="1108" operator="containsText" dxfId="0" text="Met">
      <formula>NOT(ISERROR(SEARCH("Met",AB337)))</formula>
    </cfRule>
    <cfRule type="containsText" priority="1105" operator="containsText" dxfId="1" text="Not Met">
      <formula>NOT(ISERROR(SEARCH("Not Met",AB337)))</formula>
    </cfRule>
    <cfRule type="containsText" priority="1106" operator="containsText" dxfId="0" text="Met">
      <formula>NOT(ISERROR(SEARCH("Met",AB337)))</formula>
    </cfRule>
    <cfRule type="containsText" priority="1107" operator="containsText" dxfId="1" text="Not Met">
      <formula>NOT(ISERROR(SEARCH("Not Met",AB337)))</formula>
    </cfRule>
  </conditionalFormatting>
  <conditionalFormatting sqref="AB352:AB354">
    <cfRule type="containsText" priority="1096" operator="containsText" dxfId="0" text="Met">
      <formula>NOT(ISERROR(SEARCH("Met",AB352)))</formula>
    </cfRule>
    <cfRule type="containsText" priority="1095" operator="containsText" dxfId="1" text="Not Met">
      <formula>NOT(ISERROR(SEARCH("Not Met",AB352)))</formula>
    </cfRule>
  </conditionalFormatting>
  <conditionalFormatting sqref="AB352:AB357">
    <cfRule type="containsText" priority="1098" operator="containsText" dxfId="0" text="Met">
      <formula>NOT(ISERROR(SEARCH("Met",AB352)))</formula>
    </cfRule>
    <cfRule type="containsText" priority="1097" operator="containsText" dxfId="1" text="Not Met">
      <formula>NOT(ISERROR(SEARCH("Not Met",AB352)))</formula>
    </cfRule>
  </conditionalFormatting>
  <conditionalFormatting sqref="AB358">
    <cfRule type="containsText" priority="1089" operator="containsText" dxfId="1" text="Not Met">
      <formula>NOT(ISERROR(SEARCH("Not Met",AB358)))</formula>
    </cfRule>
    <cfRule type="containsText" priority="1090" operator="containsText" dxfId="0" text="Met">
      <formula>NOT(ISERROR(SEARCH("Met",AB358)))</formula>
    </cfRule>
    <cfRule type="containsText" priority="1091" operator="containsText" dxfId="1" text="Not Met">
      <formula>NOT(ISERROR(SEARCH("Not Met",AB358)))</formula>
    </cfRule>
    <cfRule type="containsText" priority="1092" operator="containsText" dxfId="0" text="Met">
      <formula>NOT(ISERROR(SEARCH("Met",AB358)))</formula>
    </cfRule>
  </conditionalFormatting>
  <conditionalFormatting sqref="AB367:AB378">
    <cfRule type="containsText" priority="1070" operator="containsText" dxfId="0" text="Met">
      <formula>NOT(ISERROR(SEARCH("Met",AB367)))</formula>
    </cfRule>
    <cfRule type="containsText" priority="1069" operator="containsText" dxfId="1" text="Not Met">
      <formula>NOT(ISERROR(SEARCH("Not Met",AB367)))</formula>
    </cfRule>
  </conditionalFormatting>
  <conditionalFormatting sqref="AB374:AB377">
    <cfRule type="containsText" priority="1066" operator="containsText" dxfId="0" text="Met">
      <formula>NOT(ISERROR(SEARCH("Met",AB374)))</formula>
    </cfRule>
    <cfRule type="containsText" priority="1065" operator="containsText" dxfId="1" text="Not Met">
      <formula>NOT(ISERROR(SEARCH("Not Met",AB374)))</formula>
    </cfRule>
  </conditionalFormatting>
  <conditionalFormatting sqref="AB378">
    <cfRule type="containsText" priority="1335" operator="containsText" dxfId="1" text="Not Met">
      <formula>NOT(ISERROR(SEARCH("Not Met",AB378)))</formula>
    </cfRule>
    <cfRule type="containsText" priority="1336" operator="containsText" dxfId="0" text="Met">
      <formula>NOT(ISERROR(SEARCH("Met",AB378)))</formula>
    </cfRule>
    <cfRule type="containsText" priority="1333" operator="containsText" dxfId="1" text="Not Met">
      <formula>NOT(ISERROR(SEARCH("Not Met",AB378)))</formula>
    </cfRule>
    <cfRule type="containsText" priority="1334" operator="containsText" dxfId="0" text="Met">
      <formula>NOT(ISERROR(SEARCH("Met",AB378)))</formula>
    </cfRule>
  </conditionalFormatting>
  <conditionalFormatting sqref="AB380:AB381">
    <cfRule type="containsText" priority="1327" operator="containsText" dxfId="1" text="Not Met">
      <formula>NOT(ISERROR(SEARCH("Not Met",AB380)))</formula>
    </cfRule>
    <cfRule type="containsText" priority="1328" operator="containsText" dxfId="0" text="Met">
      <formula>NOT(ISERROR(SEARCH("Met",AB380)))</formula>
    </cfRule>
    <cfRule type="containsText" priority="1329" operator="containsText" dxfId="1" text="Not Met">
      <formula>NOT(ISERROR(SEARCH("Not Met",AB380)))</formula>
    </cfRule>
    <cfRule type="containsText" priority="1330" operator="containsText" dxfId="0" text="Met">
      <formula>NOT(ISERROR(SEARCH("Met",AB380)))</formula>
    </cfRule>
  </conditionalFormatting>
  <conditionalFormatting sqref="AB380:AB391 AB396:AB397 AB399:AB411 AB413:AB414 AB417 AB419 AB424:AB425">
    <cfRule type="containsText" priority="1323" operator="containsText" dxfId="1" text="Not Met">
      <formula>NOT(ISERROR(SEARCH("Not Met",AB380)))</formula>
    </cfRule>
    <cfRule type="containsText" priority="1324" operator="containsText" dxfId="0" text="Met">
      <formula>NOT(ISERROR(SEARCH("Met",AB380)))</formula>
    </cfRule>
  </conditionalFormatting>
  <conditionalFormatting sqref="AB430">
    <cfRule type="containsText" priority="1062" operator="containsText" dxfId="0" text="Met">
      <formula>NOT(ISERROR(SEARCH("Met",AB430)))</formula>
    </cfRule>
    <cfRule type="containsText" priority="1061" operator="containsText" dxfId="1" text="Not Met">
      <formula>NOT(ISERROR(SEARCH("Not Met",AB430)))</formula>
    </cfRule>
  </conditionalFormatting>
  <conditionalFormatting sqref="AB458:AB466 AB468:AB471">
    <cfRule type="containsText" priority="1056" operator="containsText" dxfId="0" text="Met">
      <formula>NOT(ISERROR(SEARCH("Met",AB458)))</formula>
    </cfRule>
    <cfRule type="containsText" priority="1055" operator="containsText" dxfId="1" text="Not Met">
      <formula>NOT(ISERROR(SEARCH("Not Met",AB458)))</formula>
    </cfRule>
  </conditionalFormatting>
  <conditionalFormatting sqref="AB467:AB468">
    <cfRule type="containsText" priority="1050" operator="containsText" dxfId="0" text="Met">
      <formula>NOT(ISERROR(SEARCH("Met",AB467)))</formula>
    </cfRule>
    <cfRule type="containsText" priority="1049" operator="containsText" dxfId="1" text="Not Met">
      <formula>NOT(ISERROR(SEARCH("Not Met",AB467)))</formula>
    </cfRule>
  </conditionalFormatting>
  <conditionalFormatting sqref="AB472:AB473">
    <cfRule type="containsText" priority="1041" operator="containsText" dxfId="1" text="Not Met">
      <formula>NOT(ISERROR(SEARCH("Not Met",AB472)))</formula>
    </cfRule>
    <cfRule type="containsText" priority="1042" operator="containsText" dxfId="0" text="Met">
      <formula>NOT(ISERROR(SEARCH("Met",AB472)))</formula>
    </cfRule>
  </conditionalFormatting>
  <conditionalFormatting sqref="AA482:AB482 AB472:AB480">
    <cfRule type="containsText" priority="1046" operator="containsText" dxfId="0" text="Met">
      <formula>NOT(ISERROR(SEARCH("Met",AA472)))</formula>
    </cfRule>
    <cfRule type="containsText" priority="1045" operator="containsText" dxfId="1" text="Not Met">
      <formula>NOT(ISERROR(SEARCH("Not Met",AA472)))</formula>
    </cfRule>
  </conditionalFormatting>
  <conditionalFormatting sqref="AB481:AB482">
    <cfRule type="containsText" priority="1039" operator="containsText" dxfId="1" text="Not Met">
      <formula>NOT(ISERROR(SEARCH("Not Met",AB481)))</formula>
    </cfRule>
    <cfRule type="containsText" priority="1040" operator="containsText" dxfId="0" text="Met">
      <formula>NOT(ISERROR(SEARCH("Met",AB481)))</formula>
    </cfRule>
  </conditionalFormatting>
  <conditionalFormatting sqref="AB484:AB485">
    <cfRule type="containsText" priority="1047" operator="containsText" dxfId="1" text="Not Met">
      <formula>NOT(ISERROR(SEARCH("Not Met",AB484)))</formula>
    </cfRule>
    <cfRule type="containsText" priority="1048" operator="containsText" dxfId="0" text="Met">
      <formula>NOT(ISERROR(SEARCH("Met",AB484)))</formula>
    </cfRule>
  </conditionalFormatting>
  <conditionalFormatting sqref="AA327:AC327 AC2:AC4 AC6:AC10 AC12:AC14 AC49:AC50 AC52:AC53 AC78 AC177:AC183 AC390 AC392:AC395 AC397:AC402 AC418">
    <cfRule type="containsText" priority="1015" operator="containsText" dxfId="1" text="Not Met">
      <formula>NOT(ISERROR(SEARCH("Not Met",AA2)))</formula>
    </cfRule>
    <cfRule type="containsText" priority="1016" operator="containsText" dxfId="0" text="Met">
      <formula>NOT(ISERROR(SEARCH("Met",AA2)))</formula>
    </cfRule>
  </conditionalFormatting>
  <conditionalFormatting sqref="AC70:AC71 AC80:AC89 AC119:AC148 AC161:AC168 AC185:AC205 AC243:AC249 AC271:AC275 AC277:AC279 AC294:AC300 AC317:AC324 AC329:AC330 AC332:AC336 AC352:AC359 AC367:AC381 AC384:AC388 AC405:AC409 AC412:AC416 AC420:AC423 AC426:AC440 AC450:AC455 AC458:AC492 AC494:AC499">
    <cfRule type="containsText" priority="1013" operator="containsText" dxfId="1" text="Not Met">
      <formula>NOT(ISERROR(SEARCH("Not Met",AC70)))</formula>
    </cfRule>
    <cfRule type="containsText" priority="1014" operator="containsText" dxfId="0" text="Met">
      <formula>NOT(ISERROR(SEARCH("Met",AC70)))</formula>
    </cfRule>
  </conditionalFormatting>
  <conditionalFormatting sqref="AA359:AC359 AB352:AC354 AB459:AC459 AB477:AC477 AB479:AC479 AC70:AC71 AC82 AC84 AC86 AC119:AC121 AC126 AC131 AC137 AC140 AC145 AC147 AC161 AC165:AC166 AC168 AC191:AC192 AC194:AC195 AC245 AC247 AC249 AC271:AC274 AC278:AC279 AC295 AC299:AC300 AC319:AC321 AC330 AC332:AC333 AC335:AC336 AC356 AC373 AC375 AC379 AC387:AC388 AC407:AC409 AC412:AC414 AC420:AC421 AC426:AC427 AC429:AC431 AC433:AC434 AC437 AC450 AC463 AC468 AC473 AC482 AC484 AC492 AC495:AC497">
    <cfRule type="containsText" priority="1012" operator="containsText" dxfId="0" text="Met">
      <formula>NOT(ISERROR(SEARCH("Met",AA70)))</formula>
    </cfRule>
    <cfRule type="containsText" priority="1011" operator="containsText" dxfId="1" text="Not Met">
      <formula>NOT(ISERROR(SEARCH("Not 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C352:AC354 AC356 AC359 AC373 AC375 AC379 AC387:AC388 AC407:AC409 AC412:AC414 AC420:AC421 AC426:AC427 AC429:AC431 AC433:AC434 AC437 AC450 AC459 AC463 AC468 AC473 AC477 AC479 AC482 AC484 AC495:AC497">
    <cfRule type="containsText" priority="1009" operator="containsText" dxfId="1" text="Not Met">
      <formula>NOT(ISERROR(SEARCH("Not Met",AC70)))</formula>
    </cfRule>
    <cfRule type="containsText" priority="1010" operator="containsText" dxfId="0" text="Met">
      <formula>NOT(ISERROR(SEARCH("Met",AC70)))</formula>
    </cfRule>
  </conditionalFormatting>
  <conditionalFormatting sqref="AC492:AD492">
    <cfRule type="containsText" priority="915" operator="containsText" dxfId="1" text="Not Met">
      <formula>NOT(ISERROR(SEARCH("Not Met",AC492)))</formula>
    </cfRule>
    <cfRule type="containsText" priority="916" operator="containsText" dxfId="0" text="Met">
      <formula>NOT(ISERROR(SEARCH("Met",AC492)))</formula>
    </cfRule>
  </conditionalFormatting>
  <conditionalFormatting sqref="AD2:AD5">
    <cfRule type="containsText" priority="861" operator="containsText" dxfId="1" text="Not Met">
      <formula>NOT(ISERROR(SEARCH("Not Met",AD2)))</formula>
    </cfRule>
    <cfRule type="containsText" priority="862" operator="containsText" dxfId="0" text="Met">
      <formula>NOT(ISERROR(SEARCH("Met",AD2)))</formula>
    </cfRule>
  </conditionalFormatting>
  <conditionalFormatting sqref="AD5:AD6">
    <cfRule type="containsText" priority="864" operator="containsText" dxfId="0" text="Met">
      <formula>NOT(ISERROR(SEARCH("Met",AD5)))</formula>
    </cfRule>
    <cfRule type="containsText" priority="863" operator="containsText" dxfId="1" text="Not Met">
      <formula>NOT(ISERROR(SEARCH("Not Met",AD5)))</formula>
    </cfRule>
  </conditionalFormatting>
  <conditionalFormatting sqref="AD7">
    <cfRule type="containsText" priority="895" operator="containsText" dxfId="0" text="Met">
      <formula>NOT(ISERROR(SEARCH("Met",AD7)))</formula>
    </cfRule>
    <cfRule type="containsText" priority="896" operator="containsText" dxfId="1" text="Not Met">
      <formula>NOT(ISERROR(SEARCH("Not Met",AD7)))</formula>
    </cfRule>
    <cfRule type="containsText" priority="897" operator="containsText" dxfId="0" text="Met">
      <formula>NOT(ISERROR(SEARCH("Met",AD7)))</formula>
    </cfRule>
  </conditionalFormatting>
  <conditionalFormatting sqref="AD7:AD8">
    <cfRule type="containsText" priority="900" operator="containsText" dxfId="0" text="Met">
      <formula>NOT(ISERROR(SEARCH("Met",AD7)))</formula>
    </cfRule>
    <cfRule type="containsText" priority="893" operator="containsText" dxfId="1" text="Not Met">
      <formula>NOT(ISERROR(SEARCH("Not Met",AD7)))</formula>
    </cfRule>
    <cfRule type="containsText" priority="898" operator="containsText" dxfId="1" text="Not Met">
      <formula>NOT(ISERROR(SEARCH("Not Met",AD7)))</formula>
    </cfRule>
  </conditionalFormatting>
  <conditionalFormatting sqref="AD8">
    <cfRule type="containsText" priority="892" operator="containsText" dxfId="0" text="Met">
      <formula>NOT(ISERROR(SEARCH("Met",AD8)))</formula>
    </cfRule>
    <cfRule type="containsText" priority="891" operator="containsText" dxfId="1" text="Not Met">
      <formula>NOT(ISERROR(SEARCH("Not Met",AD8)))</formula>
    </cfRule>
  </conditionalFormatting>
  <conditionalFormatting sqref="AD10">
    <cfRule type="containsText" priority="878" operator="containsText" dxfId="0" text="Met">
      <formula>NOT(ISERROR(SEARCH("Met",AD10)))</formula>
    </cfRule>
    <cfRule type="containsText" priority="877" operator="containsText" dxfId="1" text="Not Met">
      <formula>NOT(ISERROR(SEARCH("Not Met",AD10)))</formula>
    </cfRule>
  </conditionalFormatting>
  <conditionalFormatting sqref="AD12">
    <cfRule type="containsText" priority="882" operator="containsText" dxfId="0" text="Met">
      <formula>NOT(ISERROR(SEARCH("Met",AD12)))</formula>
    </cfRule>
    <cfRule type="containsText" priority="880" operator="containsText" dxfId="0" text="Met">
      <formula>NOT(ISERROR(SEARCH("Met",AD12)))</formula>
    </cfRule>
    <cfRule type="containsText" priority="879" operator="containsText" dxfId="1" text="Not Met">
      <formula>NOT(ISERROR(SEARCH("Not Met",AD12)))</formula>
    </cfRule>
    <cfRule type="containsText" priority="881" operator="containsText" dxfId="1" text="Not Met">
      <formula>NOT(ISERROR(SEARCH("Not Met",AD12)))</formula>
    </cfRule>
    <cfRule type="containsText" priority="884" operator="containsText" dxfId="0" text="Met">
      <formula>NOT(ISERROR(SEARCH("Met",AD12)))</formula>
    </cfRule>
    <cfRule type="containsText" priority="883" operator="containsText" dxfId="1" text="Not Met">
      <formula>NOT(ISERROR(SEARCH("Not Met",AD12)))</formula>
    </cfRule>
  </conditionalFormatting>
  <conditionalFormatting sqref="AD15:AD19">
    <cfRule type="containsText" priority="888" operator="containsText" dxfId="0" text="Met">
      <formula>NOT(ISERROR(SEARCH("Met",AD15)))</formula>
    </cfRule>
    <cfRule type="containsText" priority="887" operator="containsText" dxfId="1" text="Not Met">
      <formula>NOT(ISERROR(SEARCH("Not Met",AD15)))</formula>
    </cfRule>
    <cfRule type="containsText" priority="886" operator="containsText" dxfId="0" text="Met">
      <formula>NOT(ISERROR(SEARCH("Met",AD15)))</formula>
    </cfRule>
    <cfRule type="containsText" priority="885" operator="containsText" dxfId="1" text="Not Met">
      <formula>NOT(ISERROR(SEARCH("Not Met",AD15)))</formula>
    </cfRule>
  </conditionalFormatting>
  <conditionalFormatting sqref="AD49:AD53">
    <cfRule type="containsText" priority="865" operator="containsText" dxfId="1" text="Not Met">
      <formula>NOT(ISERROR(SEARCH("Not Met",AD49)))</formula>
    </cfRule>
    <cfRule type="containsText" priority="866" operator="containsText" dxfId="0" text="Met">
      <formula>NOT(ISERROR(SEARCH("Met",AD49)))</formula>
    </cfRule>
  </conditionalFormatting>
  <conditionalFormatting sqref="AD51">
    <cfRule type="containsText" priority="870" operator="containsText" dxfId="0" text="Met">
      <formula>NOT(ISERROR(SEARCH("Met",AD51)))</formula>
    </cfRule>
    <cfRule type="containsText" priority="869" operator="containsText" dxfId="1" text="Not Met">
      <formula>NOT(ISERROR(SEARCH("Not Met",AD51)))</formula>
    </cfRule>
  </conditionalFormatting>
  <conditionalFormatting sqref="AD184:AD185">
    <cfRule type="containsText" priority="875" operator="containsText" dxfId="1" text="Not Met">
      <formula>NOT(ISERROR(SEARCH("Not Met",AD184)))</formula>
    </cfRule>
    <cfRule type="containsText" priority="876" operator="containsText" dxfId="0" text="Met">
      <formula>NOT(ISERROR(SEARCH("Met",AD184)))</formula>
    </cfRule>
  </conditionalFormatting>
  <conditionalFormatting sqref="AD192:AD211">
    <cfRule type="containsText" priority="872" operator="containsText" dxfId="0" text="Met">
      <formula>NOT(ISERROR(SEARCH("Met",AD192)))</formula>
    </cfRule>
    <cfRule type="containsText" priority="871" operator="containsText" dxfId="1" text="Not Met">
      <formula>NOT(ISERROR(SEARCH("Not Met",AD192)))</formula>
    </cfRule>
    <cfRule type="containsText" priority="873" operator="containsText" dxfId="1" text="Not Met">
      <formula>NOT(ISERROR(SEARCH("Not Met",AD192)))</formula>
    </cfRule>
    <cfRule type="containsText" priority="874" operator="containsText" dxfId="0" text="Met">
      <formula>NOT(ISERROR(SEARCH("Met",AD192)))</formula>
    </cfRule>
  </conditionalFormatting>
  <conditionalFormatting sqref="AD261">
    <cfRule type="containsText" priority="905" operator="containsText" dxfId="1" text="Not Met">
      <formula>NOT(ISERROR(SEARCH("Not Met",AD261)))</formula>
    </cfRule>
    <cfRule type="containsText" priority="906" operator="containsText" dxfId="0" text="Met">
      <formula>NOT(ISERROR(SEARCH("Met",AD261)))</formula>
    </cfRule>
  </conditionalFormatting>
  <conditionalFormatting sqref="AD263:AD264">
    <cfRule type="containsText" priority="901" operator="containsText" dxfId="1" text="Not Met">
      <formula>NOT(ISERROR(SEARCH("Not Met",AD263)))</formula>
    </cfRule>
    <cfRule type="containsText" priority="902" operator="containsText" dxfId="0" text="Met">
      <formula>NOT(ISERROR(SEARCH("Met",AD263)))</formula>
    </cfRule>
  </conditionalFormatting>
  <conditionalFormatting sqref="AD263:AD265">
    <cfRule type="containsText" priority="904" operator="containsText" dxfId="0" text="Met">
      <formula>NOT(ISERROR(SEARCH("Met",AD263)))</formula>
    </cfRule>
    <cfRule type="containsText" priority="903" operator="containsText" dxfId="1" text="Not Met">
      <formula>NOT(ISERROR(SEARCH("Not Met",AD263)))</formula>
    </cfRule>
  </conditionalFormatting>
  <conditionalFormatting sqref="AD280:AD286">
    <cfRule type="containsText" priority="1000" operator="containsText" dxfId="0" text="Met">
      <formula>NOT(ISERROR(SEARCH("Met",AD280)))</formula>
    </cfRule>
    <cfRule type="containsText" priority="999" operator="containsText" dxfId="1" text="Not Met">
      <formula>NOT(ISERROR(SEARCH("Not Met",AD280)))</formula>
    </cfRule>
  </conditionalFormatting>
  <conditionalFormatting sqref="AD284 AD286">
    <cfRule type="containsText" priority="994" operator="containsText" dxfId="0" text="Met">
      <formula>NOT(ISERROR(SEARCH("Met",AD284)))</formula>
    </cfRule>
    <cfRule type="containsText" priority="998" operator="containsText" dxfId="0" text="Met">
      <formula>NOT(ISERROR(SEARCH("Met",AD284)))</formula>
    </cfRule>
    <cfRule type="containsText" priority="997" operator="containsText" dxfId="1" text="Not Met">
      <formula>NOT(ISERROR(SEARCH("Not Met",AD284)))</formula>
    </cfRule>
    <cfRule type="containsText" priority="996" operator="containsText" dxfId="0" text="Met">
      <formula>NOT(ISERROR(SEARCH("Met",AD284)))</formula>
    </cfRule>
    <cfRule type="containsText" priority="995" operator="containsText" dxfId="1" text="Not Met">
      <formula>NOT(ISERROR(SEARCH("Not Met",AD284)))</formula>
    </cfRule>
    <cfRule type="containsText" priority="993" operator="containsText" dxfId="1" text="Not Met">
      <formula>NOT(ISERROR(SEARCH("Not Met",AD284)))</formula>
    </cfRule>
  </conditionalFormatting>
  <conditionalFormatting sqref="AD303:AD304">
    <cfRule type="containsText" priority="992" operator="containsText" dxfId="0" text="Met">
      <formula>NOT(ISERROR(SEARCH("Met",AD303)))</formula>
    </cfRule>
    <cfRule type="containsText" priority="991" operator="containsText" dxfId="1" text="Not Met">
      <formula>NOT(ISERROR(SEARCH("Not Met",AD303)))</formula>
    </cfRule>
  </conditionalFormatting>
  <conditionalFormatting sqref="AD310">
    <cfRule type="containsText" priority="990" operator="containsText" dxfId="0" text="Met">
      <formula>NOT(ISERROR(SEARCH("Met",AD310)))</formula>
    </cfRule>
    <cfRule type="containsText" priority="989" operator="containsText" dxfId="1" text="Not Met">
      <formula>NOT(ISERROR(SEARCH("Not Met",AD310)))</formula>
    </cfRule>
    <cfRule type="containsText" priority="987" operator="containsText" dxfId="1" text="Not Met">
      <formula>NOT(ISERROR(SEARCH("Not Met",AD310)))</formula>
    </cfRule>
    <cfRule type="containsText" priority="988" operator="containsText" dxfId="0" text="Met">
      <formula>NOT(ISERROR(SEARCH("Met",AD310)))</formula>
    </cfRule>
  </conditionalFormatting>
  <conditionalFormatting sqref="AD310:AD313">
    <cfRule type="containsText" priority="983" operator="containsText" dxfId="1" text="Not Met">
      <formula>NOT(ISERROR(SEARCH("Not Met",AD310)))</formula>
    </cfRule>
    <cfRule type="containsText" priority="984" operator="containsText" dxfId="0" text="Met">
      <formula>NOT(ISERROR(SEARCH("Met",AD310)))</formula>
    </cfRule>
  </conditionalFormatting>
  <conditionalFormatting sqref="AD311:AD312">
    <cfRule type="containsText" priority="980" operator="containsText" dxfId="0" text="Met">
      <formula>NOT(ISERROR(SEARCH("Met",AD311)))</formula>
    </cfRule>
    <cfRule type="containsText" priority="979" operator="containsText" dxfId="1" text="Not Met">
      <formula>NOT(ISERROR(SEARCH("Not Met",AD311)))</formula>
    </cfRule>
    <cfRule type="containsText" priority="981" operator="containsText" dxfId="1" text="Not Met">
      <formula>NOT(ISERROR(SEARCH("Not Met",AD311)))</formula>
    </cfRule>
    <cfRule type="containsText" priority="982" operator="containsText" dxfId="0" text="Met">
      <formula>NOT(ISERROR(SEARCH("Met",AD311)))</formula>
    </cfRule>
  </conditionalFormatting>
  <conditionalFormatting sqref="AD314">
    <cfRule type="containsText" priority="978" operator="containsText" dxfId="0" text="Met">
      <formula>NOT(ISERROR(SEARCH("Met",AD314)))</formula>
    </cfRule>
    <cfRule type="containsText" priority="977" operator="containsText" dxfId="1" text="Not Met">
      <formula>NOT(ISERROR(SEARCH("Not Met",AD314)))</formula>
    </cfRule>
    <cfRule type="containsText" priority="976" operator="containsText" dxfId="0" text="Met">
      <formula>NOT(ISERROR(SEARCH("Met",AD314)))</formula>
    </cfRule>
    <cfRule type="containsText" priority="975" operator="containsText" dxfId="1" text="Not Met">
      <formula>NOT(ISERROR(SEARCH("Not Met",AD314)))</formula>
    </cfRule>
    <cfRule type="containsText" priority="974" operator="containsText" dxfId="0" text="Met">
      <formula>NOT(ISERROR(SEARCH("Met",AD314)))</formula>
    </cfRule>
    <cfRule type="containsText" priority="973" operator="containsText" dxfId="1" text="Not Met">
      <formula>NOT(ISERROR(SEARCH("Not Met",AD314)))</formula>
    </cfRule>
  </conditionalFormatting>
  <conditionalFormatting sqref="AD338:AD343">
    <cfRule type="containsText" priority="964" operator="containsText" dxfId="0" text="Met">
      <formula>NOT(ISERROR(SEARCH("Met",AD338)))</formula>
    </cfRule>
    <cfRule type="containsText" priority="963" operator="containsText" dxfId="1" text="Not Met">
      <formula>NOT(ISERROR(SEARCH("Not Met",AD338)))</formula>
    </cfRule>
  </conditionalFormatting>
  <conditionalFormatting sqref="AD341:AD343 AD345">
    <cfRule type="containsText" priority="972" operator="containsText" dxfId="0" text="Met">
      <formula>NOT(ISERROR(SEARCH("Met",AD341)))</formula>
    </cfRule>
    <cfRule type="containsText" priority="971" operator="containsText" dxfId="1" text="Not Met">
      <formula>NOT(ISERROR(SEARCH("Not Met",AD341)))</formula>
    </cfRule>
  </conditionalFormatting>
  <conditionalFormatting sqref="AD341:AD343">
    <cfRule type="containsText" priority="970" operator="containsText" dxfId="0" text="Met">
      <formula>NOT(ISERROR(SEARCH("Met",AD341)))</formula>
    </cfRule>
    <cfRule type="containsText" priority="969" operator="containsText" dxfId="1" text="Not Met">
      <formula>NOT(ISERROR(SEARCH("Not Met",AD341)))</formula>
    </cfRule>
    <cfRule type="containsText" priority="968" operator="containsText" dxfId="0" text="Met">
      <formula>NOT(ISERROR(SEARCH("Met",AD341)))</formula>
    </cfRule>
    <cfRule type="containsText" priority="967" operator="containsText" dxfId="1" text="Not Met">
      <formula>NOT(ISERROR(SEARCH("Not Met",AD341)))</formula>
    </cfRule>
  </conditionalFormatting>
  <conditionalFormatting sqref="AD416">
    <cfRule type="containsText" priority="962" operator="containsText" dxfId="0" text="Met">
      <formula>NOT(ISERROR(SEARCH("Met",AD416)))</formula>
    </cfRule>
    <cfRule type="containsText" priority="961" operator="containsText" dxfId="1" text="Not Met">
      <formula>NOT(ISERROR(SEARCH("Not Met",AD416)))</formula>
    </cfRule>
  </conditionalFormatting>
  <conditionalFormatting sqref="AD458:AD466">
    <cfRule type="containsText" priority="910" operator="containsText" dxfId="0" text="Met">
      <formula>NOT(ISERROR(SEARCH("Met",AD458)))</formula>
    </cfRule>
    <cfRule type="containsText" priority="909" operator="containsText" dxfId="1" text="Not Met">
      <formula>NOT(ISERROR(SEARCH("Not Met",AD458)))</formula>
    </cfRule>
  </conditionalFormatting>
  <conditionalFormatting sqref="AD468:AD480">
    <cfRule type="containsText" priority="907" operator="containsText" dxfId="1" text="Not Met">
      <formula>NOT(ISERROR(SEARCH("Not Met",AD468)))</formula>
    </cfRule>
    <cfRule type="containsText" priority="908" operator="containsText" dxfId="0" text="Met">
      <formula>NOT(ISERROR(SEARCH("Met",AD468)))</formula>
    </cfRule>
  </conditionalFormatting>
  <conditionalFormatting sqref="AD482:AD486">
    <cfRule type="containsText" priority="957" operator="containsText" dxfId="1" text="Not Met">
      <formula>NOT(ISERROR(SEARCH("Not Met",AD482)))</formula>
    </cfRule>
    <cfRule type="containsText" priority="958" operator="containsText" dxfId="0" text="Met">
      <formula>NOT(ISERROR(SEARCH("Met",AD482)))</formula>
    </cfRule>
  </conditionalFormatting>
  <conditionalFormatting sqref="AD486">
    <cfRule type="containsText" priority="954" operator="containsText" dxfId="0" text="Met">
      <formula>NOT(ISERROR(SEARCH("Met",AD486)))</formula>
    </cfRule>
    <cfRule type="containsText" priority="953" operator="containsText" dxfId="1" text="Not Met">
      <formula>NOT(ISERROR(SEARCH("Not Met",AD486)))</formula>
    </cfRule>
    <cfRule type="containsText" priority="955" operator="containsText" dxfId="1" text="Not Met">
      <formula>NOT(ISERROR(SEARCH("Not Met",AD486)))</formula>
    </cfRule>
    <cfRule type="containsText" priority="956" operator="containsText" dxfId="0" text="Met">
      <formula>NOT(ISERROR(SEARCH("Met",AD486)))</formula>
    </cfRule>
  </conditionalFormatting>
  <conditionalFormatting sqref="AD486:AD487">
    <cfRule type="containsText" priority="949" operator="containsText" dxfId="1" text="Not Met">
      <formula>NOT(ISERROR(SEARCH("Not Met",AD486)))</formula>
    </cfRule>
    <cfRule type="containsText" priority="950" operator="containsText" dxfId="0" text="Met">
      <formula>NOT(ISERROR(SEARCH("Met",AD486)))</formula>
    </cfRule>
  </conditionalFormatting>
  <conditionalFormatting sqref="AD487">
    <cfRule type="containsText" priority="945" operator="containsText" dxfId="1" text="Not Met">
      <formula>NOT(ISERROR(SEARCH("Not Met",AD487)))</formula>
    </cfRule>
    <cfRule type="containsText" priority="946" operator="containsText" dxfId="0" text="Met">
      <formula>NOT(ISERROR(SEARCH("Met",AD487)))</formula>
    </cfRule>
    <cfRule type="containsText" priority="948" operator="containsText" dxfId="0" text="Met">
      <formula>NOT(ISERROR(SEARCH("Met",AD487)))</formula>
    </cfRule>
    <cfRule type="containsText" priority="947" operator="containsText" dxfId="1" text="Not Met">
      <formula>NOT(ISERROR(SEARCH("Not Met",AD487)))</formula>
    </cfRule>
  </conditionalFormatting>
  <conditionalFormatting sqref="AD487:AD488">
    <cfRule type="containsText" priority="941" operator="containsText" dxfId="1" text="Not Met">
      <formula>NOT(ISERROR(SEARCH("Not Met",AD487)))</formula>
    </cfRule>
    <cfRule type="containsText" priority="942" operator="containsText" dxfId="0" text="Met">
      <formula>NOT(ISERROR(SEARCH("Met",AD487)))</formula>
    </cfRule>
  </conditionalFormatting>
  <conditionalFormatting sqref="AD488">
    <cfRule type="containsText" priority="937" operator="containsText" dxfId="1" text="Not Met">
      <formula>NOT(ISERROR(SEARCH("Not Met",AD488)))</formula>
    </cfRule>
    <cfRule type="containsText" priority="938" operator="containsText" dxfId="0" text="Met">
      <formula>NOT(ISERROR(SEARCH("Met",AD488)))</formula>
    </cfRule>
    <cfRule type="containsText" priority="939" operator="containsText" dxfId="1" text="Not Met">
      <formula>NOT(ISERROR(SEARCH("Not Met",AD488)))</formula>
    </cfRule>
    <cfRule type="containsText" priority="940" operator="containsText" dxfId="0" text="Met">
      <formula>NOT(ISERROR(SEARCH("Met",AD488)))</formula>
    </cfRule>
  </conditionalFormatting>
  <conditionalFormatting sqref="AD488:AD489">
    <cfRule type="containsText" priority="934" operator="containsText" dxfId="0" text="Met">
      <formula>NOT(ISERROR(SEARCH("Met",AD488)))</formula>
    </cfRule>
    <cfRule type="containsText" priority="933" operator="containsText" dxfId="1" text="Not Met">
      <formula>NOT(ISERROR(SEARCH("Not Met",AD488)))</formula>
    </cfRule>
  </conditionalFormatting>
  <conditionalFormatting sqref="AD489">
    <cfRule type="containsText" priority="929" operator="containsText" dxfId="1" text="Not Met">
      <formula>NOT(ISERROR(SEARCH("Not Met",AD489)))</formula>
    </cfRule>
    <cfRule type="containsText" priority="930" operator="containsText" dxfId="0" text="Met">
      <formula>NOT(ISERROR(SEARCH("Met",AD489)))</formula>
    </cfRule>
    <cfRule type="containsText" priority="931" operator="containsText" dxfId="1" text="Not Met">
      <formula>NOT(ISERROR(SEARCH("Not Met",AD489)))</formula>
    </cfRule>
    <cfRule type="containsText" priority="932" operator="containsText" dxfId="0" text="Met">
      <formula>NOT(ISERROR(SEARCH("Met",AD489)))</formula>
    </cfRule>
  </conditionalFormatting>
  <conditionalFormatting sqref="AD491">
    <cfRule type="containsText" priority="925" operator="containsText" dxfId="1" text="Not Met">
      <formula>NOT(ISERROR(SEARCH("Not Met",AD491)))</formula>
    </cfRule>
    <cfRule type="containsText" priority="924" operator="containsText" dxfId="0" text="Met">
      <formula>NOT(ISERROR(SEARCH("Met",AD491)))</formula>
    </cfRule>
    <cfRule type="containsText" priority="923" operator="containsText" dxfId="1" text="Not Met">
      <formula>NOT(ISERROR(SEARCH("Not Met",AD491)))</formula>
    </cfRule>
    <cfRule type="containsText" priority="922" operator="containsText" dxfId="0" text="Met">
      <formula>NOT(ISERROR(SEARCH("Met",AD491)))</formula>
    </cfRule>
    <cfRule type="containsText" priority="921" operator="containsText" dxfId="1" text="Not Met">
      <formula>NOT(ISERROR(SEARCH("Not Met",AD491)))</formula>
    </cfRule>
    <cfRule type="containsText" priority="926" operator="containsText" dxfId="0" text="Met">
      <formula>NOT(ISERROR(SEARCH("Met",AD491)))</formula>
    </cfRule>
  </conditionalFormatting>
  <conditionalFormatting sqref="AD491:AD492">
    <cfRule type="containsText" priority="918" operator="containsText" dxfId="0" text="Met">
      <formula>NOT(ISERROR(SEARCH("Met",AD491)))</formula>
    </cfRule>
    <cfRule type="containsText" priority="917" operator="containsText" dxfId="1" text="Not Met">
      <formula>NOT(ISERROR(SEARCH("Not Met",AD491)))</formula>
    </cfRule>
  </conditionalFormatting>
  <conditionalFormatting sqref="AD492">
    <cfRule type="containsText" priority="911" operator="containsText" dxfId="1" text="Not Met">
      <formula>NOT(ISERROR(SEARCH("Not Met",AD492)))</formula>
    </cfRule>
    <cfRule type="containsText" priority="912" operator="containsText" dxfId="0" text="Met">
      <formula>NOT(ISERROR(SEARCH("Met",AD492)))</formula>
    </cfRule>
    <cfRule type="containsText" priority="913" operator="containsText" dxfId="1" text="Not Met">
      <formula>NOT(ISERROR(SEARCH("Not Met",AD492)))</formula>
    </cfRule>
    <cfRule type="containsText" priority="914" operator="containsText" dxfId="0" text="Met">
      <formula>NOT(ISERROR(SEARCH("Met",AD492)))</formula>
    </cfRule>
  </conditionalFormatting>
  <conditionalFormatting sqref="AD8:AE8 AD489:AE489 AE2:AE3 AE5:AE6 AE35 AE37:AE38 AE41 AE43 AE48 AE51:AE52 AE54 AE61:AE63 AE65:AE69 AE75:AE76 AE78 AE80:AE82 AE86:AE87 AE89 AE100 AE105 AE107 AE109 AE119 AE134 AE160:AE161 AE164:AE165 AE167 AE185 AE189:AE190 AE219 AE223 AE225 AE227:AE231 AE246 AE256 AE271 AE304 AE372 AE376 AE378 AE381 AE386 AE390 AE395 AE401 AE405 AE407:AE409 AE411 AE419 AE421:AE423 AE430:AE432">
    <cfRule type="containsText" priority="702" operator="containsText" dxfId="0" text="Met">
      <formula>NOT(ISERROR(SEARCH("Met",AD2)))</formula>
    </cfRule>
    <cfRule type="containsText" priority="701" operator="containsText" dxfId="1" text="Not Met">
      <formula>NOT(ISERROR(SEARCH("Not Met",AD2)))</formula>
    </cfRule>
  </conditionalFormatting>
  <conditionalFormatting sqref="AE2:AE3 AE5:AE6 AE8 AE35 AE37:AE38 AE41 AE43 AE51:AE52 AE54 AE61:AE63 AE75:AE76 AE78 AE80:AE82 AE86:AE87 AE100 AE105 AE107 AE109 AE119 AE134 AE160:AE161 AE164:AE165 AE167 AE185 AE189:AE190 AE219 AE223 AE225 AE227:AE231 AE246 AE271 AE304 AE372 AE376 AE378 AE381 AE386 AE390 AE395 AE401 AE405 AE407:AE409 AE411 AE419 AE421:AE423 AE430:AE432 AE489">
    <cfRule type="containsText" priority="700" operator="containsText" dxfId="0" text="Met">
      <formula>NOT(ISERROR(SEARCH("Met",AE2)))</formula>
    </cfRule>
    <cfRule type="containsText" priority="699" operator="containsText" dxfId="1" text="Not Met">
      <formula>NOT(ISERROR(SEARCH("Not Met",AE2)))</formula>
    </cfRule>
  </conditionalFormatting>
  <conditionalFormatting sqref="AE2:AE9 AE33:AE43 AE47:AE56 AE58:AE63 AE65:AE71 AE75:AE92 AE94:AE100 AE103:AE109 AE117:AE120 AE130:AE139 AE160:AE161 AE163:AE165 AE167 AE184:AE190 AE219 AE221:AE232 AE238:AE246 AE256:AE257 AE271 AE299:AE306 AE371:AE411 AE413:AE423 AE430:AE432 AE483:AE489">
    <cfRule type="containsText" priority="704" operator="containsText" dxfId="0" text="Met">
      <formula>NOT(ISERROR(SEARCH("Met",AE2)))</formula>
    </cfRule>
    <cfRule type="containsText" priority="703" operator="containsText" dxfId="1" text="Not Met">
      <formula>NOT(ISERROR(SEARCH("Not Met",AE2)))</formula>
    </cfRule>
  </conditionalFormatting>
  <conditionalFormatting sqref="AE65:AE69">
    <cfRule type="containsText" priority="672" operator="containsText" dxfId="0" text="Met">
      <formula>NOT(ISERROR(SEARCH("Met",AE65)))</formula>
    </cfRule>
    <cfRule type="containsText" priority="671" operator="containsText" dxfId="1" text="Not Met">
      <formula>NOT(ISERROR(SEARCH("Not Met",AE65)))</formula>
    </cfRule>
  </conditionalFormatting>
  <conditionalFormatting sqref="AE122:AE124 AE235:AE236 AE426:AE428">
    <cfRule type="containsText" priority="706" operator="containsText" dxfId="0" text="Met">
      <formula>NOT(ISERROR(SEARCH("Met",AE122)))</formula>
    </cfRule>
    <cfRule type="containsText" priority="705" operator="containsText" dxfId="1" text="Not Met">
      <formula>NOT(ISERROR(SEARCH("Not Met",AE122)))</formula>
    </cfRule>
  </conditionalFormatting>
  <conditionalFormatting sqref="AE256">
    <cfRule type="containsText" priority="627" operator="containsText" dxfId="1" text="Not Met">
      <formula>NOT(ISERROR(SEARCH("Not Met",AE256)))</formula>
    </cfRule>
    <cfRule type="containsText" priority="628" operator="containsText" dxfId="0" text="Met">
      <formula>NOT(ISERROR(SEARCH("Met",AE256)))</formula>
    </cfRule>
  </conditionalFormatting>
  <conditionalFormatting sqref="AE309">
    <cfRule type="containsText" priority="361" operator="containsText" dxfId="1" text="Not Met">
      <formula>NOT(ISERROR(SEARCH("Not Met",AE309)))</formula>
    </cfRule>
    <cfRule type="containsText" priority="362" operator="containsText" dxfId="0" text="Met">
      <formula>NOT(ISERROR(SEARCH("Met",AE309)))</formula>
    </cfRule>
  </conditionalFormatting>
  <conditionalFormatting sqref="AE48:AF48">
    <cfRule type="containsText" priority="318" operator="containsText" dxfId="0" text="Met">
      <formula>NOT(ISERROR(SEARCH("Met",AE48)))</formula>
    </cfRule>
    <cfRule type="containsText" priority="317" operator="containsText" dxfId="1" text="Not Met">
      <formula>NOT(ISERROR(SEARCH("Not Met",AE48)))</formula>
    </cfRule>
  </conditionalFormatting>
  <conditionalFormatting sqref="AE89:AF89">
    <cfRule type="containsText" priority="315" operator="containsText" dxfId="1" text="Not Met">
      <formula>NOT(ISERROR(SEARCH("Not Met",AE89)))</formula>
    </cfRule>
    <cfRule type="containsText" priority="316" operator="containsText" dxfId="0" text="Met">
      <formula>NOT(ISERROR(SEARCH("Met",AE89)))</formula>
    </cfRule>
  </conditionalFormatting>
  <conditionalFormatting sqref="AF2:AF5 AH4:AI4">
    <cfRule type="containsText" priority="338" operator="containsText" dxfId="0" text="Met">
      <formula>NOT(ISERROR(SEARCH("Met",AF2)))</formula>
    </cfRule>
    <cfRule type="containsText" priority="337" operator="containsText" dxfId="1" text="Not Met">
      <formula>NOT(ISERROR(SEARCH("Not Met",AF2)))</formula>
    </cfRule>
  </conditionalFormatting>
  <conditionalFormatting sqref="AF5:AF10">
    <cfRule type="containsText" priority="340" operator="containsText" dxfId="0" text="Met">
      <formula>NOT(ISERROR(SEARCH("Met",AF5)))</formula>
    </cfRule>
    <cfRule type="containsText" priority="339" operator="containsText" dxfId="1" text="Not Met">
      <formula>NOT(ISERROR(SEARCH("Not Met",AF5)))</formula>
    </cfRule>
  </conditionalFormatting>
  <conditionalFormatting sqref="AF12:AF25">
    <cfRule type="containsText" priority="21" operator="containsText" dxfId="1" text="Not Met">
      <formula>NOT(ISERROR(SEARCH("Not Met",AF12)))</formula>
    </cfRule>
    <cfRule type="containsText" priority="22" operator="containsText" dxfId="0" text="Met">
      <formula>NOT(ISERROR(SEARCH("Met",AF12)))</formula>
    </cfRule>
  </conditionalFormatting>
  <conditionalFormatting sqref="AF16:AF19">
    <cfRule type="containsText" priority="19" operator="containsText" dxfId="1" text="Not Met">
      <formula>NOT(ISERROR(SEARCH("Not Met",AF16)))</formula>
    </cfRule>
    <cfRule type="containsText" priority="20" operator="containsText" dxfId="0" text="Met">
      <formula>NOT(ISERROR(SEARCH("Met",AF16)))</formula>
    </cfRule>
  </conditionalFormatting>
  <conditionalFormatting sqref="AF27:AF41">
    <cfRule type="containsText" priority="336" operator="containsText" dxfId="0" text="Met">
      <formula>NOT(ISERROR(SEARCH("Met",AF27)))</formula>
    </cfRule>
    <cfRule type="containsText" priority="335" operator="containsText" dxfId="1" text="Not Met">
      <formula>NOT(ISERROR(SEARCH("Not Met",AF27)))</formula>
    </cfRule>
  </conditionalFormatting>
  <conditionalFormatting sqref="AF34:AF47">
    <cfRule type="containsText" priority="324" operator="containsText" dxfId="0" text="Met">
      <formula>NOT(ISERROR(SEARCH("Met",AF34)))</formula>
    </cfRule>
    <cfRule type="containsText" priority="323" operator="containsText" dxfId="1" text="Not Met">
      <formula>NOT(ISERROR(SEARCH("Not Met",AF34)))</formula>
    </cfRule>
  </conditionalFormatting>
  <conditionalFormatting sqref="AF42:AF48">
    <cfRule type="containsText" priority="320" operator="containsText" dxfId="0" text="Met">
      <formula>NOT(ISERROR(SEARCH("Met",AF42)))</formula>
    </cfRule>
    <cfRule type="containsText" priority="319" operator="containsText" dxfId="1" text="Not Met">
      <formula>NOT(ISERROR(SEARCH("Not Met",AF42)))</formula>
    </cfRule>
  </conditionalFormatting>
  <conditionalFormatting sqref="AF49:AF89">
    <cfRule type="containsText" priority="328" operator="containsText" dxfId="0" text="Met">
      <formula>NOT(ISERROR(SEARCH("Met",AF49)))</formula>
    </cfRule>
    <cfRule type="containsText" priority="327" operator="containsText" dxfId="1" text="Not Met">
      <formula>NOT(ISERROR(SEARCH("Not Met",AF49)))</formula>
    </cfRule>
  </conditionalFormatting>
  <conditionalFormatting sqref="AF54:AF69 AF72:AF89">
    <cfRule type="containsText" priority="326" operator="containsText" dxfId="0" text="Met">
      <formula>NOT(ISERROR(SEARCH("Met",AF54)))</formula>
    </cfRule>
    <cfRule type="containsText" priority="325" operator="containsText" dxfId="1" text="Not Met">
      <formula>NOT(ISERROR(SEARCH("Not Met",AF54)))</formula>
    </cfRule>
  </conditionalFormatting>
  <conditionalFormatting sqref="AF89:AF96">
    <cfRule type="containsText" priority="312" operator="containsText" dxfId="0" text="Met">
      <formula>NOT(ISERROR(SEARCH("Met",AF89)))</formula>
    </cfRule>
    <cfRule type="containsText" priority="311" operator="containsText" dxfId="1" text="Not Met">
      <formula>NOT(ISERROR(SEARCH("Not Met",AF89)))</formula>
    </cfRule>
  </conditionalFormatting>
  <conditionalFormatting sqref="AF90:AF104">
    <cfRule type="containsText" priority="308" operator="containsText" dxfId="0" text="Met">
      <formula>NOT(ISERROR(SEARCH("Met",AF90)))</formula>
    </cfRule>
    <cfRule type="containsText" priority="307" operator="containsText" dxfId="1" text="Not Met">
      <formula>NOT(ISERROR(SEARCH("Not Met",AF90)))</formula>
    </cfRule>
  </conditionalFormatting>
  <conditionalFormatting sqref="AF113:AF146">
    <cfRule type="containsText" priority="276" operator="containsText" dxfId="0" text="Met">
      <formula>NOT(ISERROR(SEARCH("Met",AF113)))</formula>
    </cfRule>
    <cfRule type="containsText" priority="275" operator="containsText" dxfId="1" text="Not Met">
      <formula>NOT(ISERROR(SEARCH("Not Met",AF113)))</formula>
    </cfRule>
  </conditionalFormatting>
  <conditionalFormatting sqref="AF135:AF141">
    <cfRule type="containsText" priority="274" operator="containsText" dxfId="0" text="Met">
      <formula>NOT(ISERROR(SEARCH("Met",AF135)))</formula>
    </cfRule>
    <cfRule type="containsText" priority="273" operator="containsText" dxfId="1" text="Not Met">
      <formula>NOT(ISERROR(SEARCH("Not Met",AF135)))</formula>
    </cfRule>
  </conditionalFormatting>
  <conditionalFormatting sqref="AF142:AF154">
    <cfRule type="containsText" priority="280" operator="containsText" dxfId="0" text="Met">
      <formula>NOT(ISERROR(SEARCH("Met",AF142)))</formula>
    </cfRule>
    <cfRule type="containsText" priority="279" operator="containsText" dxfId="1" text="Not Met">
      <formula>NOT(ISERROR(SEARCH("Not Met",AF142)))</formula>
    </cfRule>
  </conditionalFormatting>
  <conditionalFormatting sqref="AF155:AF162">
    <cfRule type="containsText" priority="272" operator="containsText" dxfId="0" text="Met">
      <formula>NOT(ISERROR(SEARCH("Met",AF155)))</formula>
    </cfRule>
    <cfRule type="containsText" priority="271" operator="containsText" dxfId="1" text="Not Met">
      <formula>NOT(ISERROR(SEARCH("Not Met",AF155)))</formula>
    </cfRule>
  </conditionalFormatting>
  <conditionalFormatting sqref="AF171:AF191">
    <cfRule type="containsText" priority="292" operator="containsText" dxfId="0" text="Met">
      <formula>NOT(ISERROR(SEARCH("Met",AF171)))</formula>
    </cfRule>
    <cfRule type="containsText" priority="291" operator="containsText" dxfId="1" text="Not Met">
      <formula>NOT(ISERROR(SEARCH("Not Met",AF171)))</formula>
    </cfRule>
  </conditionalFormatting>
  <conditionalFormatting sqref="AF212:AF228">
    <cfRule type="containsText" priority="285" operator="containsText" dxfId="1" text="Not Met">
      <formula>NOT(ISERROR(SEARCH("Not Met",AF212)))</formula>
    </cfRule>
    <cfRule type="containsText" priority="286" operator="containsText" dxfId="0" text="Met">
      <formula>NOT(ISERROR(SEARCH("Met",AF212)))</formula>
    </cfRule>
  </conditionalFormatting>
  <conditionalFormatting sqref="AF212:AF242">
    <cfRule type="containsText" priority="287" operator="containsText" dxfId="1" text="Not Met">
      <formula>NOT(ISERROR(SEARCH("Not Met",AF212)))</formula>
    </cfRule>
    <cfRule type="containsText" priority="288" operator="containsText" dxfId="0" text="Met">
      <formula>NOT(ISERROR(SEARCH("Met",AF212)))</formula>
    </cfRule>
  </conditionalFormatting>
  <conditionalFormatting sqref="AF243:AF256">
    <cfRule type="containsText" priority="284" operator="containsText" dxfId="0" text="Met">
      <formula>NOT(ISERROR(SEARCH("Met",AF243)))</formula>
    </cfRule>
    <cfRule type="containsText" priority="283" operator="containsText" dxfId="1" text="Not Met">
      <formula>NOT(ISERROR(SEARCH("Not Met",AF243)))</formula>
    </cfRule>
  </conditionalFormatting>
  <conditionalFormatting sqref="AF243:AF272">
    <cfRule type="containsText" priority="247" operator="containsText" dxfId="1" text="Not Met">
      <formula>NOT(ISERROR(SEARCH("Not Met",AF243)))</formula>
    </cfRule>
    <cfRule type="containsText" priority="248" operator="containsText" dxfId="0" text="Met">
      <formula>NOT(ISERROR(SEARCH("Met",AF243)))</formula>
    </cfRule>
  </conditionalFormatting>
  <conditionalFormatting sqref="AF262">
    <cfRule type="containsText" priority="245" operator="containsText" dxfId="1" text="Not Met">
      <formula>NOT(ISERROR(SEARCH("Not Met",AF262)))</formula>
    </cfRule>
    <cfRule type="containsText" priority="246" operator="containsText" dxfId="0" text="Met">
      <formula>NOT(ISERROR(SEARCH("Met",AF262)))</formula>
    </cfRule>
    <cfRule type="containsText" priority="241" operator="containsText" dxfId="1" text="Not Met">
      <formula>NOT(ISERROR(SEARCH("Not Met",AF262)))</formula>
    </cfRule>
    <cfRule type="containsText" priority="242" operator="containsText" dxfId="0" text="Met">
      <formula>NOT(ISERROR(SEARCH("Met",AF262)))</formula>
    </cfRule>
    <cfRule type="containsText" priority="244" operator="containsText" dxfId="0" text="Met">
      <formula>NOT(ISERROR(SEARCH("Met",AF262)))</formula>
    </cfRule>
    <cfRule type="containsText" priority="243" operator="containsText" dxfId="1" text="Not Met">
      <formula>NOT(ISERROR(SEARCH("Not Met",AF262)))</formula>
    </cfRule>
  </conditionalFormatting>
  <conditionalFormatting sqref="AF273:AF279 AF288:AF294">
    <cfRule type="containsText" priority="237" operator="containsText" dxfId="1" text="Not Met">
      <formula>NOT(ISERROR(SEARCH("Not Met",AF273)))</formula>
    </cfRule>
    <cfRule type="containsText" priority="238" operator="containsText" dxfId="0" text="Met">
      <formula>NOT(ISERROR(SEARCH("Met",AF273)))</formula>
    </cfRule>
  </conditionalFormatting>
  <conditionalFormatting sqref="AF273:AF286 AF288:AF302">
    <cfRule type="containsText" priority="239" operator="containsText" dxfId="1" text="Not Met">
      <formula>NOT(ISERROR(SEARCH("Not Met",AF273)))</formula>
    </cfRule>
    <cfRule type="containsText" priority="240" operator="containsText" dxfId="0" text="Met">
      <formula>NOT(ISERROR(SEARCH("Met",AF273)))</formula>
    </cfRule>
  </conditionalFormatting>
  <conditionalFormatting sqref="AF303:AF313">
    <cfRule type="containsText" priority="262" operator="containsText" dxfId="0" text="Met">
      <formula>NOT(ISERROR(SEARCH("Met",AF303)))</formula>
    </cfRule>
    <cfRule type="containsText" priority="261" operator="containsText" dxfId="1" text="Not Met">
      <formula>NOT(ISERROR(SEARCH("Not Met",AF303)))</formula>
    </cfRule>
  </conditionalFormatting>
  <conditionalFormatting sqref="AF311:AF312">
    <cfRule type="containsText" priority="260" operator="containsText" dxfId="0" text="Met">
      <formula>NOT(ISERROR(SEARCH("Met",AF311)))</formula>
    </cfRule>
    <cfRule type="containsText" priority="259" operator="containsText" dxfId="1" text="Not Met">
      <formula>NOT(ISERROR(SEARCH("Not Met",AF311)))</formula>
    </cfRule>
  </conditionalFormatting>
  <conditionalFormatting sqref="AF314">
    <cfRule type="containsText" priority="258" operator="containsText" dxfId="0" text="Met">
      <formula>NOT(ISERROR(SEARCH("Met",AF314)))</formula>
    </cfRule>
    <cfRule type="containsText" priority="257" operator="containsText" dxfId="1" text="Not Met">
      <formula>NOT(ISERROR(SEARCH("Not Met",AF314)))</formula>
    </cfRule>
    <cfRule type="containsText" priority="256" operator="containsText" dxfId="0" text="Met">
      <formula>NOT(ISERROR(SEARCH("Met",AF314)))</formula>
    </cfRule>
    <cfRule type="containsText" priority="255" operator="containsText" dxfId="1" text="Not Met">
      <formula>NOT(ISERROR(SEARCH("Not Met",AF314)))</formula>
    </cfRule>
  </conditionalFormatting>
  <conditionalFormatting sqref="AF323:AF329">
    <cfRule type="containsText" priority="253" operator="containsText" dxfId="1" text="Not Met">
      <formula>NOT(ISERROR(SEARCH("Not Met",AF323)))</formula>
    </cfRule>
    <cfRule type="containsText" priority="252" operator="containsText" dxfId="0" text="Met">
      <formula>NOT(ISERROR(SEARCH("Met",AF323)))</formula>
    </cfRule>
    <cfRule type="containsText" priority="254" operator="containsText" dxfId="0" text="Met">
      <formula>NOT(ISERROR(SEARCH("Met",AF323)))</formula>
    </cfRule>
  </conditionalFormatting>
  <conditionalFormatting sqref="AF323:AF344">
    <cfRule type="containsText" priority="236" operator="containsText" dxfId="1" text="Not Met">
      <formula>NOT(ISERROR(SEARCH("Not Met",AF323)))</formula>
    </cfRule>
  </conditionalFormatting>
  <conditionalFormatting sqref="AF330:AF337">
    <cfRule type="containsText" priority="235" operator="containsText" dxfId="0" text="Met">
      <formula>NOT(ISERROR(SEARCH("Met",AF330)))</formula>
    </cfRule>
  </conditionalFormatting>
  <conditionalFormatting sqref="AF338:AF344">
    <cfRule type="containsText" priority="266" operator="containsText" dxfId="0" text="Met">
      <formula>NOT(ISERROR(SEARCH("Met",AF338)))</formula>
    </cfRule>
  </conditionalFormatting>
  <conditionalFormatting sqref="AF364:AF412">
    <cfRule type="containsText" priority="232" operator="containsText" dxfId="0" text="Met">
      <formula>NOT(ISERROR(SEARCH("Met",AF364)))</formula>
    </cfRule>
    <cfRule type="containsText" priority="231" operator="containsText" dxfId="1" text="Not Met">
      <formula>NOT(ISERROR(SEARCH("Not Met",AF364)))</formula>
    </cfRule>
  </conditionalFormatting>
  <conditionalFormatting sqref="AF416">
    <cfRule type="containsText" priority="230" operator="containsText" dxfId="0" text="Met">
      <formula>NOT(ISERROR(SEARCH("Met",AF416)))</formula>
    </cfRule>
    <cfRule type="containsText" priority="229" operator="containsText" dxfId="1" text="Not Met">
      <formula>NOT(ISERROR(SEARCH("Not Met",AF416)))</formula>
    </cfRule>
  </conditionalFormatting>
  <conditionalFormatting sqref="AF444:AF466">
    <cfRule type="containsText" priority="206" operator="containsText" dxfId="0" text="Met">
      <formula>NOT(ISERROR(SEARCH("Met",AF444)))</formula>
    </cfRule>
    <cfRule type="containsText" priority="205" operator="containsText" dxfId="1" text="Not Met">
      <formula>NOT(ISERROR(SEARCH("Not Met",AF444)))</formula>
    </cfRule>
  </conditionalFormatting>
  <conditionalFormatting sqref="AF468:AF482">
    <cfRule type="containsText" priority="204" operator="containsText" dxfId="0" text="Met">
      <formula>NOT(ISERROR(SEARCH("Met",AF468)))</formula>
    </cfRule>
    <cfRule type="containsText" priority="203" operator="containsText" dxfId="1" text="Not Met">
      <formula>NOT(ISERROR(SEARCH("Not Met",AF468)))</formula>
    </cfRule>
  </conditionalFormatting>
  <conditionalFormatting sqref="AF484:AF485">
    <cfRule type="containsText" priority="208" operator="containsText" dxfId="0" text="Met">
      <formula>NOT(ISERROR(SEARCH("Met",AF484)))</formula>
    </cfRule>
    <cfRule type="containsText" priority="207" operator="containsText" dxfId="1" text="Not Met">
      <formula>NOT(ISERROR(SEARCH("Not Met",AF484)))</formula>
    </cfRule>
  </conditionalFormatting>
  <conditionalFormatting sqref="AF346:AG352 AG2:AG3 AG38 AG69:AH69 AG122:AG125 AG309">
    <cfRule type="containsText" priority="18" operator="containsText" dxfId="0" text="Met">
      <formula>NOT(ISERROR(SEARCH("Met",AF2)))</formula>
    </cfRule>
    <cfRule type="containsText" priority="17" operator="containsText" dxfId="1" text="Not Met">
      <formula>NOT(ISERROR(SEARCH("Not Met",AF2)))</formula>
    </cfRule>
  </conditionalFormatting>
  <conditionalFormatting sqref="AG5 AG8:AG9 AG36 AG41:AG42 AG44:AG45 AG47:AG48 AG51 AG54 AG58:AG59 AG61:AG63 AG66:AG68 AG75:AG76 AG78 AG80 AG82:AG83 AG86:AG87 AG89 AG105 AG107 AG109 AG119 AG134:AG135 AG176:AG177 AG182 AG185 AG189:AG190 AG192:AG194 AG198:AG201 AG203 AG208 AG210 AG227:AG229 AG231 AG245:AG246 AG256 AG302 AG306 AG329:AG332 AG334 AG340 AG342 AG344:AG345 AG353 AG371:AG372 AG381 AG386 AG390 AG395 AG401 AG407:AG409 AG411 AG419 AG421 AG424:AG425 AG427:AG428 AG430:AG432 AG489">
    <cfRule type="containsText" priority="14" operator="containsText" dxfId="0" text="Met">
      <formula>NOT(ISERROR(SEARCH("Met",AG5)))</formula>
    </cfRule>
    <cfRule type="containsText" priority="13" operator="containsText" dxfId="1" text="Not Met">
      <formula>NOT(ISERROR(SEARCH("Not Met",AG5)))</formula>
    </cfRule>
  </conditionalFormatting>
  <conditionalFormatting sqref="AG5 AG8:AG9 AG36 AG41:AG42 AG44:AG45 AG47:AG48 AG51 AG54 AG58:AG59 AG61:AG63 AG66:AG68 AG75:AG76 AG78 AG80 AG82:AG83 AG86:AG87 AG89 AG105 AG107 AG109 AG119 AG134:AG135 AG182 AG185 AG189:AG190 AG192:AG194 AG198:AG201 AG203 AG231 AG245:AG246 AG302 AG306 AG329:AG332 AG334 AG340 AG342 AG344:AG345 AG353 AG371:AG372 AG381 AG386 AG390 AG395 AG401 AG407:AG409 AG411 AG419 AG421 AG424:AG425 AG489">
    <cfRule type="containsText" priority="11" operator="containsText" dxfId="1" text="Not Met">
      <formula>NOT(ISERROR(SEARCH("Not Met",AG5)))</formula>
    </cfRule>
    <cfRule type="containsText" priority="12" operator="containsText" dxfId="0" text="Met">
      <formula>NOT(ISERROR(SEARCH("Met",AG5)))</formula>
    </cfRule>
  </conditionalFormatting>
  <conditionalFormatting sqref="AG5:AG6 AG8:AG9 AG33:AG36 AG40:AG42 AG44:AG56 AG58:AG63 AG65:AG68 AG71:AG78 AG80 AG82:AG92 AG103:AG109 AG117:AG120 AG130:AG139 AG176:AG190 AG192:AG203 AG205:AG208 AG210:AG211 AG227:AG233 AG240:AG247 AG256:AG257 AG299:AG303 AG306 AG324:AG345 AG353:AG356 AG371:AG411 AG413:AG428 AG430:AG432 AG483:AG489">
    <cfRule type="containsText" priority="16" operator="containsText" dxfId="0" text="Met">
      <formula>NOT(ISERROR(SEARCH("Met",AG5)))</formula>
    </cfRule>
    <cfRule type="containsText" priority="15" operator="containsText" dxfId="1" text="Not Met">
      <formula>NOT(ISERROR(SEARCH("Not Met",AG5)))</formula>
    </cfRule>
  </conditionalFormatting>
  <conditionalFormatting sqref="AG24:AG32 AG94:AG102 AG160:AG177 AG208:AG210 AG219:AG229 AG235:AG239 AG248:AG256 AG258:AG283 AG291:AG298 AG311:AG318 AG427:AG439 AG475:AG482">
    <cfRule type="containsText" priority="9" operator="containsText" dxfId="1" text="Not Met">
      <formula>NOT(ISERROR(SEARCH("Not Met",AG24)))</formula>
    </cfRule>
    <cfRule type="containsText" priority="10" operator="containsText" dxfId="0" text="Met">
      <formula>NOT(ISERROR(SEARCH("Met",AG24)))</formula>
    </cfRule>
  </conditionalFormatting>
  <conditionalFormatting sqref="AH2:AH5">
    <cfRule type="containsText" priority="200" operator="containsText" dxfId="0" text="Met">
      <formula>NOT(ISERROR(SEARCH("Met",AH2)))</formula>
    </cfRule>
    <cfRule type="containsText" priority="199" operator="containsText" dxfId="1" text="Not Met">
      <formula>NOT(ISERROR(SEARCH("Not Met",AH2)))</formula>
    </cfRule>
  </conditionalFormatting>
  <conditionalFormatting sqref="AH5:AH6 AH51">
    <cfRule type="containsText" priority="202" operator="containsText" dxfId="0" text="Met">
      <formula>NOT(ISERROR(SEARCH("Met",AH5)))</formula>
    </cfRule>
    <cfRule type="containsText" priority="201" operator="containsText" dxfId="1" text="Not Met">
      <formula>NOT(ISERROR(SEARCH("Not Met",AH5)))</formula>
    </cfRule>
  </conditionalFormatting>
  <conditionalFormatting sqref="AH7:AH19 AH42:AH53">
    <cfRule type="containsText" priority="158" operator="containsText" dxfId="0" text="Met">
      <formula>NOT(ISERROR(SEARCH("Met",AH7)))</formula>
    </cfRule>
    <cfRule type="containsText" priority="157" operator="containsText" dxfId="1" text="Not Met">
      <formula>NOT(ISERROR(SEARCH("Not Met",AH7)))</formula>
    </cfRule>
  </conditionalFormatting>
  <conditionalFormatting sqref="AH11">
    <cfRule type="containsText" priority="177" operator="containsText" dxfId="1" text="Not Met">
      <formula>NOT(ISERROR(SEARCH("Not Met",AH11)))</formula>
    </cfRule>
    <cfRule type="containsText" priority="178" operator="containsText" dxfId="0" text="Met">
      <formula>NOT(ISERROR(SEARCH("Met",AH11)))</formula>
    </cfRule>
  </conditionalFormatting>
  <conditionalFormatting sqref="AH16:AH25">
    <cfRule type="containsText" priority="176" operator="containsText" dxfId="0" text="Met">
      <formula>NOT(ISERROR(SEARCH("Met",AH16)))</formula>
    </cfRule>
    <cfRule type="containsText" priority="175" operator="containsText" dxfId="1" text="Not Met">
      <formula>NOT(ISERROR(SEARCH("Not Met",AH16)))</formula>
    </cfRule>
  </conditionalFormatting>
  <conditionalFormatting sqref="AH27:AH41">
    <cfRule type="containsText" priority="195" operator="containsText" dxfId="1" text="Not Met">
      <formula>NOT(ISERROR(SEARCH("Not Met",AH27)))</formula>
    </cfRule>
    <cfRule type="containsText" priority="196" operator="containsText" dxfId="0" text="Met">
      <formula>NOT(ISERROR(SEARCH("Met",AH27)))</formula>
    </cfRule>
  </conditionalFormatting>
  <conditionalFormatting sqref="AH31">
    <cfRule type="containsText" priority="160" operator="containsText" dxfId="0" text="Met">
      <formula>NOT(ISERROR(SEARCH("Met",AH31)))</formula>
    </cfRule>
    <cfRule type="containsText" priority="159" operator="containsText" dxfId="1" text="Not Met">
      <formula>NOT(ISERROR(SEARCH("Not Met",AH31)))</formula>
    </cfRule>
  </conditionalFormatting>
  <conditionalFormatting sqref="AH33">
    <cfRule type="containsText" priority="193" operator="containsText" dxfId="1" text="Not Met">
      <formula>NOT(ISERROR(SEARCH("Not Met",AH33)))</formula>
    </cfRule>
    <cfRule type="containsText" priority="194" operator="containsText" dxfId="0" text="Met">
      <formula>NOT(ISERROR(SEARCH("Met",AH33)))</formula>
    </cfRule>
  </conditionalFormatting>
  <conditionalFormatting sqref="AH42:AH48">
    <cfRule type="containsText" priority="164" operator="containsText" dxfId="0" text="Met">
      <formula>NOT(ISERROR(SEARCH("Met",AH42)))</formula>
    </cfRule>
    <cfRule type="containsText" priority="163" operator="containsText" dxfId="1" text="Not Met">
      <formula>NOT(ISERROR(SEARCH("Not Met",AH42)))</formula>
    </cfRule>
  </conditionalFormatting>
  <conditionalFormatting sqref="AH54:AH69">
    <cfRule type="containsText" priority="170" operator="containsText" dxfId="0" text="Met">
      <formula>NOT(ISERROR(SEARCH("Met",AH54)))</formula>
    </cfRule>
    <cfRule type="containsText" priority="169" operator="containsText" dxfId="1" text="Not Met">
      <formula>NOT(ISERROR(SEARCH("Not Met",AH54)))</formula>
    </cfRule>
  </conditionalFormatting>
  <conditionalFormatting sqref="AH69">
    <cfRule type="containsText" priority="168" operator="containsText" dxfId="0" text="Met">
      <formula>NOT(ISERROR(SEARCH("Met",AH69)))</formula>
    </cfRule>
    <cfRule type="containsText" priority="167" operator="containsText" dxfId="1" text="Not Met">
      <formula>NOT(ISERROR(SEARCH("Not Met",AH69)))</formula>
    </cfRule>
  </conditionalFormatting>
  <conditionalFormatting sqref="AH72:AH74 AH76:AH77">
    <cfRule type="containsText" priority="187" operator="containsText" dxfId="1" text="Not Met">
      <formula>NOT(ISERROR(SEARCH("Not Met",AH72)))</formula>
    </cfRule>
    <cfRule type="containsText" priority="188" operator="containsText" dxfId="0" text="Met">
      <formula>NOT(ISERROR(SEARCH("Met",AH72)))</formula>
    </cfRule>
    <cfRule type="containsText" priority="185" operator="containsText" dxfId="1" text="Not Met">
      <formula>NOT(ISERROR(SEARCH("Not Met",AH72)))</formula>
    </cfRule>
    <cfRule type="containsText" priority="186" operator="containsText" dxfId="0" text="Met">
      <formula>NOT(ISERROR(SEARCH("Met",AH72)))</formula>
    </cfRule>
  </conditionalFormatting>
  <conditionalFormatting sqref="AH72:AH77">
    <cfRule type="containsText" priority="182" operator="containsText" dxfId="0" text="Met">
      <formula>NOT(ISERROR(SEARCH("Met",AH72)))</formula>
    </cfRule>
    <cfRule type="containsText" priority="181" operator="containsText" dxfId="1" text="Not Met">
      <formula>NOT(ISERROR(SEARCH("Not Met",AH72)))</formula>
    </cfRule>
  </conditionalFormatting>
  <conditionalFormatting sqref="AH75">
    <cfRule type="containsText" priority="179" operator="containsText" dxfId="1" text="Not Met">
      <formula>NOT(ISERROR(SEARCH("Not Met",AH75)))</formula>
    </cfRule>
    <cfRule type="containsText" priority="180" operator="containsText" dxfId="0" text="Met">
      <formula>NOT(ISERROR(SEARCH("Met",AH75)))</formula>
    </cfRule>
  </conditionalFormatting>
  <conditionalFormatting sqref="AH78:AH96 AH135:AH146 AH212:AH228 AH243:AH256 AH273:AH279 AH288:AH302 AH323:AH329">
    <cfRule type="containsText" priority="148" operator="containsText" dxfId="0" text="Met">
      <formula>NOT(ISERROR(SEARCH("Met",AH78)))</formula>
    </cfRule>
  </conditionalFormatting>
  <conditionalFormatting sqref="AH90:AH104">
    <cfRule type="containsText" priority="57" operator="containsText" dxfId="0" text="Met">
      <formula>NOT(ISERROR(SEARCH("Met",AH90)))</formula>
    </cfRule>
    <cfRule type="containsText" priority="56" operator="containsText" dxfId="1" text="Not Met">
      <formula>NOT(ISERROR(SEARCH("Not Met",AH90)))</formula>
    </cfRule>
  </conditionalFormatting>
  <conditionalFormatting sqref="AH113">
    <cfRule type="containsText" priority="46" operator="containsText" dxfId="0" text="Met">
      <formula>NOT(ISERROR(SEARCH("Met",AH113)))</formula>
    </cfRule>
    <cfRule type="containsText" priority="45" operator="containsText" dxfId="1" text="Not Met">
      <formula>NOT(ISERROR(SEARCH("Not Met",AH113)))</formula>
    </cfRule>
  </conditionalFormatting>
  <conditionalFormatting sqref="AH118:AH123">
    <cfRule type="containsText" priority="44" operator="containsText" dxfId="0" text="Met">
      <formula>NOT(ISERROR(SEARCH("Met",AH118)))</formula>
    </cfRule>
    <cfRule type="containsText" priority="43" operator="containsText" dxfId="1" text="Not Met">
      <formula>NOT(ISERROR(SEARCH("Not Met",AH118)))</formula>
    </cfRule>
  </conditionalFormatting>
  <conditionalFormatting sqref="AH124">
    <cfRule type="containsText" priority="55" operator="containsText" dxfId="0" text="Met">
      <formula>NOT(ISERROR(SEARCH("Met",AH124)))</formula>
    </cfRule>
  </conditionalFormatting>
  <conditionalFormatting sqref="AH124:AH126">
    <cfRule type="containsText" priority="54" operator="containsText" dxfId="1" text="Not Met">
      <formula>NOT(ISERROR(SEARCH("Not Met",AH124)))</formula>
    </cfRule>
  </conditionalFormatting>
  <conditionalFormatting sqref="AH125:AH126">
    <cfRule type="containsText" priority="53" operator="containsText" dxfId="0" text="Met">
      <formula>NOT(ISERROR(SEARCH("Met",AH125)))</formula>
    </cfRule>
  </conditionalFormatting>
  <conditionalFormatting sqref="AH128:AH148">
    <cfRule type="containsText" priority="52" operator="containsText" dxfId="0" text="Met">
      <formula>NOT(ISERROR(SEARCH("Met",AH128)))</formula>
    </cfRule>
    <cfRule type="containsText" priority="51" operator="containsText" dxfId="1" text="Not Met">
      <formula>NOT(ISERROR(SEARCH("Not Met",AH128)))</formula>
    </cfRule>
  </conditionalFormatting>
  <conditionalFormatting sqref="AH135:AH158">
    <cfRule type="containsText" priority="104" operator="containsText" dxfId="1" text="Not Met">
      <formula>NOT(ISERROR(SEARCH("Not Met",AH135)))</formula>
    </cfRule>
  </conditionalFormatting>
  <conditionalFormatting sqref="AH149:AH158">
    <cfRule type="containsText" priority="105" operator="containsText" dxfId="0" text="Met">
      <formula>NOT(ISERROR(SEARCH("Met",AH149)))</formula>
    </cfRule>
  </conditionalFormatting>
  <conditionalFormatting sqref="AH150:AH152">
    <cfRule type="containsText" priority="96" operator="containsText" dxfId="1" text="Not Met">
      <formula>NOT(ISERROR(SEARCH("Not Met",AH150)))</formula>
    </cfRule>
    <cfRule type="containsText" priority="97" operator="containsText" dxfId="0" text="Met">
      <formula>NOT(ISERROR(SEARCH("Met",AH150)))</formula>
    </cfRule>
  </conditionalFormatting>
  <conditionalFormatting sqref="AH152">
    <cfRule type="containsText" priority="149" operator="containsText" dxfId="1" text="Not Met">
      <formula>NOT(ISERROR(SEARCH("Not Met",AH152)))</formula>
    </cfRule>
  </conditionalFormatting>
  <conditionalFormatting sqref="AH155:AH162">
    <cfRule type="containsText" priority="102" operator="containsText" dxfId="1" text="Not Met">
      <formula>NOT(ISERROR(SEARCH("Not Met",AH155)))</formula>
    </cfRule>
    <cfRule type="containsText" priority="103" operator="containsText" dxfId="0" text="Met">
      <formula>NOT(ISERROR(SEARCH("Met",AH155)))</formula>
    </cfRule>
  </conditionalFormatting>
  <conditionalFormatting sqref="AH176:AH181">
    <cfRule type="containsText" priority="47" operator="containsText" dxfId="1" text="Not Met">
      <formula>NOT(ISERROR(SEARCH("Not Met",AH176)))</formula>
    </cfRule>
    <cfRule type="containsText" priority="48" operator="containsText" dxfId="0" text="Met">
      <formula>NOT(ISERROR(SEARCH("Met",AH176)))</formula>
    </cfRule>
  </conditionalFormatting>
  <conditionalFormatting sqref="AH182:AH183 AH186:AH191">
    <cfRule type="containsText" priority="120" operator="containsText" dxfId="0" text="Met">
      <formula>NOT(ISERROR(SEARCH("Met",AH182)))</formula>
    </cfRule>
    <cfRule type="containsText" priority="119" operator="containsText" dxfId="1" text="Not Met">
      <formula>NOT(ISERROR(SEARCH("Not Met",AH182)))</formula>
    </cfRule>
    <cfRule type="containsText" priority="118" operator="containsText" dxfId="0" text="Met">
      <formula>NOT(ISERROR(SEARCH("Met",AH182)))</formula>
    </cfRule>
    <cfRule type="containsText" priority="116" operator="containsText" dxfId="0" text="Met">
      <formula>NOT(ISERROR(SEARCH("Met",AH182)))</formula>
    </cfRule>
    <cfRule type="containsText" priority="117" operator="containsText" dxfId="1" text="Not Met">
      <formula>NOT(ISERROR(SEARCH("Not Met",AH182)))</formula>
    </cfRule>
    <cfRule type="containsText" priority="114" operator="containsText" dxfId="0" text="Met">
      <formula>NOT(ISERROR(SEARCH("Met",AH182)))</formula>
    </cfRule>
    <cfRule type="containsText" priority="113" operator="containsText" dxfId="1" text="Not Met">
      <formula>NOT(ISERROR(SEARCH("Not Met",AH182)))</formula>
    </cfRule>
    <cfRule type="containsText" priority="112" operator="containsText" dxfId="0" text="Met">
      <formula>NOT(ISERROR(SEARCH("Met",AH182)))</formula>
    </cfRule>
    <cfRule type="containsText" priority="111" operator="containsText" dxfId="1" text="Not Met">
      <formula>NOT(ISERROR(SEARCH("Not Met",AH182)))</formula>
    </cfRule>
    <cfRule type="containsText" priority="109" operator="containsText" dxfId="1" text="Not Met">
      <formula>NOT(ISERROR(SEARCH("Not Met",AH182)))</formula>
    </cfRule>
    <cfRule type="containsText" priority="108" operator="containsText" dxfId="0" text="Met">
      <formula>NOT(ISERROR(SEARCH("Met",AH182)))</formula>
    </cfRule>
    <cfRule type="containsText" priority="115" operator="containsText" dxfId="1" text="Not Met">
      <formula>NOT(ISERROR(SEARCH("Not Met",AH182)))</formula>
    </cfRule>
    <cfRule type="containsText" priority="110" operator="containsText" dxfId="0" text="Met">
      <formula>NOT(ISERROR(SEARCH("Met",AH182)))</formula>
    </cfRule>
  </conditionalFormatting>
  <conditionalFormatting sqref="AH182:AH183 AH186:AH211">
    <cfRule type="containsText" priority="121" operator="containsText" dxfId="1" text="Not Met">
      <formula>NOT(ISERROR(SEARCH("Not Met",AH182)))</formula>
    </cfRule>
    <cfRule type="containsText" priority="122" operator="containsText" dxfId="0" text="Met">
      <formula>NOT(ISERROR(SEARCH("Met",AH182)))</formula>
    </cfRule>
  </conditionalFormatting>
  <conditionalFormatting sqref="AH182:AH191">
    <cfRule type="containsText" priority="101" operator="containsText" dxfId="1" text="Not Met">
      <formula>NOT(ISERROR(SEARCH("Not Met",AH182)))</formula>
    </cfRule>
  </conditionalFormatting>
  <conditionalFormatting sqref="AH184:AH185">
    <cfRule type="containsText" priority="100" operator="containsText" dxfId="0" text="Met">
      <formula>NOT(ISERROR(SEARCH("Met",AH184)))</formula>
    </cfRule>
  </conditionalFormatting>
  <conditionalFormatting sqref="AH192:AH235">
    <cfRule type="containsText" priority="125" operator="containsText" dxfId="1" text="Not Met">
      <formula>NOT(ISERROR(SEARCH("Not Met",AH192)))</formula>
    </cfRule>
    <cfRule type="containsText" priority="126" operator="containsText" dxfId="0" text="Met">
      <formula>NOT(ISERROR(SEARCH("Met",AH192)))</formula>
    </cfRule>
  </conditionalFormatting>
  <conditionalFormatting sqref="AH236:AH242">
    <cfRule type="containsText" priority="36" operator="containsText" dxfId="0" text="Met">
      <formula>NOT(ISERROR(SEARCH("Met",AH236)))</formula>
    </cfRule>
    <cfRule type="containsText" priority="35" operator="containsText" dxfId="1" text="Not Met">
      <formula>NOT(ISERROR(SEARCH("Not Met",AH236)))</formula>
    </cfRule>
  </conditionalFormatting>
  <conditionalFormatting sqref="AH243:AH286">
    <cfRule type="containsText" priority="42" operator="containsText" dxfId="0" text="Met">
      <formula>NOT(ISERROR(SEARCH("Met",AH243)))</formula>
    </cfRule>
    <cfRule type="containsText" priority="41" operator="containsText" dxfId="1" text="Not Met">
      <formula>NOT(ISERROR(SEARCH("Not Met",AH243)))</formula>
    </cfRule>
  </conditionalFormatting>
  <conditionalFormatting sqref="AH257:AH265">
    <cfRule type="containsText" priority="38" operator="containsText" dxfId="0" text="Met">
      <formula>NOT(ISERROR(SEARCH("Met",AH257)))</formula>
    </cfRule>
    <cfRule type="containsText" priority="40" operator="containsText" dxfId="0" text="Met">
      <formula>NOT(ISERROR(SEARCH("Met",AH257)))</formula>
    </cfRule>
    <cfRule type="containsText" priority="39" operator="containsText" dxfId="1" text="Not Met">
      <formula>NOT(ISERROR(SEARCH("Not Met",AH257)))</formula>
    </cfRule>
    <cfRule type="containsText" priority="37" operator="containsText" dxfId="1" text="Not Met">
      <formula>NOT(ISERROR(SEARCH("Not Met",AH257)))</formula>
    </cfRule>
  </conditionalFormatting>
  <conditionalFormatting sqref="AH288:AH294">
    <cfRule type="containsText" priority="146" operator="containsText" dxfId="0" text="Met">
      <formula>NOT(ISERROR(SEARCH("Met",AH288)))</formula>
    </cfRule>
    <cfRule type="containsText" priority="145" operator="containsText" dxfId="1" text="Not Met">
      <formula>NOT(ISERROR(SEARCH("Not Met",AH288)))</formula>
    </cfRule>
  </conditionalFormatting>
  <conditionalFormatting sqref="AH78:AH96 AH212:AH228 AH243:AH256 AH273:AH279 AH288:AH302 AH323:AH329">
    <cfRule type="containsText" priority="147" operator="containsText" dxfId="1" text="Not Met">
      <formula>NOT(ISERROR(SEARCH("Not Met",AH78)))</formula>
    </cfRule>
  </conditionalFormatting>
  <conditionalFormatting sqref="AH310:AH314">
    <cfRule type="containsText" priority="61" operator="containsText" dxfId="0" text="Met">
      <formula>NOT(ISERROR(SEARCH("Met",AH310)))</formula>
    </cfRule>
    <cfRule type="containsText" priority="60" operator="containsText" dxfId="1" text="Not Met">
      <formula>NOT(ISERROR(SEARCH("Not Met",AH310)))</formula>
    </cfRule>
  </conditionalFormatting>
  <conditionalFormatting sqref="AH311:AH312 AH314">
    <cfRule type="containsText" priority="78" operator="containsText" dxfId="1" text="Not Met">
      <formula>NOT(ISERROR(SEARCH("Not Met",AH311)))</formula>
    </cfRule>
    <cfRule type="containsText" priority="79" operator="containsText" dxfId="0" text="Met">
      <formula>NOT(ISERROR(SEARCH("Met",AH311)))</formula>
    </cfRule>
  </conditionalFormatting>
  <conditionalFormatting sqref="AH323:AH331 AH333:AH335 AH337:AH341 AH436:AH441">
    <cfRule type="containsText" priority="31" operator="containsText" dxfId="1" text="Not Met">
      <formula>NOT(ISERROR(SEARCH("Not Met",AH323)))</formula>
    </cfRule>
  </conditionalFormatting>
  <conditionalFormatting sqref="AH323:AH341 AH436:AH443">
    <cfRule type="containsText" priority="32" operator="containsText" dxfId="0" text="Met">
      <formula>NOT(ISERROR(SEARCH("Met",AH323)))</formula>
    </cfRule>
  </conditionalFormatting>
  <conditionalFormatting sqref="AH332 AH336">
    <cfRule type="containsText" priority="106" operator="containsText" dxfId="1" text="Not Met">
      <formula>NOT(ISERROR(SEARCH("Not Met",AH332)))</formula>
    </cfRule>
  </conditionalFormatting>
  <conditionalFormatting sqref="AH343:AH344">
    <cfRule type="containsText" priority="88" operator="containsText" dxfId="1" text="Not Met">
      <formula>NOT(ISERROR(SEARCH("Not Met",AH343)))</formula>
    </cfRule>
    <cfRule type="containsText" priority="89" operator="containsText" dxfId="0" text="Met">
      <formula>NOT(ISERROR(SEARCH("Met",AH343)))</formula>
    </cfRule>
  </conditionalFormatting>
  <conditionalFormatting sqref="AH344">
    <cfRule type="containsText" priority="93" operator="containsText" dxfId="0" text="Met">
      <formula>NOT(ISERROR(SEARCH("Met",AH344)))</formula>
    </cfRule>
    <cfRule type="containsText" priority="92" operator="containsText" dxfId="1" text="Not Met">
      <formula>NOT(ISERROR(SEARCH("Not Met",AH344)))</formula>
    </cfRule>
    <cfRule type="containsText" priority="90" operator="containsText" dxfId="1" text="Not Met">
      <formula>NOT(ISERROR(SEARCH("Not Met",AH344)))</formula>
    </cfRule>
    <cfRule type="containsText" priority="91" operator="containsText" dxfId="0" text="Met">
      <formula>NOT(ISERROR(SEARCH("Met",AH344)))</formula>
    </cfRule>
  </conditionalFormatting>
  <conditionalFormatting sqref="AH344:AH377">
    <cfRule type="containsText" priority="33" operator="containsText" dxfId="1" text="Not Met">
      <formula>NOT(ISERROR(SEARCH("Not Met",AH344)))</formula>
    </cfRule>
    <cfRule type="containsText" priority="34" operator="containsText" dxfId="0" text="Met">
      <formula>NOT(ISERROR(SEARCH("Met",AH344)))</formula>
    </cfRule>
  </conditionalFormatting>
  <conditionalFormatting sqref="AH381:AH382 AH389 AH396 AH403">
    <cfRule type="containsText" priority="68" operator="containsText" dxfId="1" text="Not Met">
      <formula>NOT(ISERROR(SEARCH("Not Met",AH381)))</formula>
    </cfRule>
    <cfRule type="containsText" priority="69" operator="containsText" dxfId="0" text="Met">
      <formula>NOT(ISERROR(SEARCH("Met",AH381)))</formula>
    </cfRule>
  </conditionalFormatting>
  <conditionalFormatting sqref="AH416">
    <cfRule type="containsText" priority="59" operator="containsText" dxfId="0" text="Met">
      <formula>NOT(ISERROR(SEARCH("Met",AH416)))</formula>
    </cfRule>
    <cfRule type="containsText" priority="58" operator="containsText" dxfId="1" text="Not Met">
      <formula>NOT(ISERROR(SEARCH("Not Met",AH416)))</formula>
    </cfRule>
  </conditionalFormatting>
  <conditionalFormatting sqref="AH442:AH457">
    <cfRule type="containsText" priority="127" operator="containsText" dxfId="1" text="Not Met">
      <formula>NOT(ISERROR(SEARCH("Not Met",AH442)))</formula>
    </cfRule>
  </conditionalFormatting>
  <conditionalFormatting sqref="AH444:AH457">
    <cfRule type="containsText" priority="152" operator="containsText" dxfId="0" text="Met">
      <formula>NOT(ISERROR(SEARCH("Met",AH444)))</formula>
    </cfRule>
  </conditionalFormatting>
  <conditionalFormatting sqref="AH458:AH466">
    <cfRule type="containsText" priority="24" operator="containsText" dxfId="0" text="Met">
      <formula>NOT(ISERROR(SEARCH("Met",AH458)))</formula>
    </cfRule>
    <cfRule type="containsText" priority="23" operator="containsText" dxfId="1" text="Not Met">
      <formula>NOT(ISERROR(SEARCH("Not Met",AH458)))</formula>
    </cfRule>
  </conditionalFormatting>
  <conditionalFormatting sqref="AH472:AH481">
    <cfRule type="containsText" priority="25" operator="containsText" dxfId="1" text="Not Met">
      <formula>NOT(ISERROR(SEARCH("Not Met",AH472)))</formula>
    </cfRule>
    <cfRule type="containsText" priority="26" operator="containsText" dxfId="0" text="Met">
      <formula>NOT(ISERROR(SEARCH("Met",AH472)))</formula>
    </cfRule>
  </conditionalFormatting>
  <conditionalFormatting sqref="AH484:AH485">
    <cfRule type="containsText" priority="30" operator="containsText" dxfId="0" text="Met">
      <formula>NOT(ISERROR(SEARCH("Met",AH484)))</formula>
    </cfRule>
    <cfRule type="containsText" priority="29" operator="containsText" dxfId="1" text="Not Met">
      <formula>NOT(ISERROR(SEARCH("Not Met",AH484)))</formula>
    </cfRule>
  </conditionalFormatting>
  <conditionalFormatting sqref="AH7:AI7">
    <cfRule type="containsText" priority="341" operator="containsText" dxfId="1" text="Not Met">
      <formula>NOT(ISERROR(SEARCH("Not Met",AH7)))</formula>
    </cfRule>
    <cfRule type="containsText" priority="342" operator="containsText" dxfId="0" text="Met">
      <formula>NOT(ISERROR(SEARCH("Met",AH7)))</formula>
    </cfRule>
  </conditionalFormatting>
  <conditionalFormatting sqref="AH33:AI33 AI94 AI122:AI125 AI309 AI483:AI489">
    <cfRule type="containsText" priority="7" operator="containsText" dxfId="1" text="Not Met">
      <formula>NOT(ISERROR(SEARCH("Not Met",AH33)))</formula>
    </cfRule>
    <cfRule type="containsText" priority="8" operator="containsText" dxfId="0" text="Met">
      <formula>NOT(ISERROR(SEARCH("Met",AH33)))</formula>
    </cfRule>
  </conditionalFormatting>
  <conditionalFormatting sqref="AI2:AI3 AI5:AI6 AI8:AI9 AI17:AI23 AI34:AI92 AI103:AI109 AI117:AI120 AI130:AI139 AI168:AI191 AI198:AI203 AI205:AI208 AI210:AI211 AI227:AI233 AI240:AI247 AI256:AI257 AI299:AI306 AI324:AI411 AI413:AI423">
    <cfRule type="containsText" priority="6" operator="containsText" dxfId="0" text="Met">
      <formula>NOT(ISERROR(SEARCH("Met",AI2)))</formula>
    </cfRule>
    <cfRule type="containsText" priority="5" operator="containsText" dxfId="1" text="Not Met">
      <formula>NOT(ISERROR(SEARCH("Not Met",AI2)))</formula>
    </cfRule>
  </conditionalFormatting>
  <conditionalFormatting sqref="AH173:AI173 AH304:AI304 AH345:AI345 AI3 AI6 AI8:AI9 AI17:AI18 AI21:AI23 AI34:AI35 AI40:AI42 AI44 AI46:AI48 AI51 AI57 AI61:AI70 AI73:AI76 AI80:AI83 AI86 AI89 AI105 AI109 AI119 AI134:AI135 AI171 AI177 AI179 AI182 AI189:AI190 AI198:AI201 AI203 AI205 AI208 AI210:AI211 AI227:AI229 AI231 AI233 AI246 AI256 AI301 AI306 AI326 AI330:AI331 AI334 AI340 AI342 AI353 AI358 AI362 AI364 AI367 AI372 AI381 AI386 AI390 AI392 AI395 AI401 AI407:AI409 AI411 AI419 AI421 AI423">
    <cfRule type="containsText" priority="3" operator="containsText" dxfId="1" text="Not Met">
      <formula>NOT(ISERROR(SEARCH("Not Met",AH3)))</formula>
    </cfRule>
    <cfRule type="containsText" priority="4" operator="containsText" dxfId="0" text="Met">
      <formula>NOT(ISERROR(SEARCH("Met",AH3)))</formula>
    </cfRule>
  </conditionalFormatting>
  <conditionalFormatting sqref="AI3 AI6 AI8:AI9 AI17:AI18 AI21:AI23 AI34:AI35 AI40:AI42 AI44 AI46:AI48 AI51 AI57 AI61:AI70 AI73:AI76 AI80:AI83 AI86 AI89 AI105 AI109 AI119 AI134:AI135 AI171 AI173 AI177 AI179 AI182 AI189:AI190 AI198:AI201 AI203 AI205 AI208 AI210:AI211 AI227:AI229 AI231 AI233 AI246 AI256 AI301 AI304 AI306 AI326 AI330:AI331 AI334 AI340 AI342 AI345 AI353 AI358 AI362 AI364 AI367 AI372 AI381 AI386 AI390 AI392 AI395 AI401 AI407:AI409 AI411 AI419 AI421 AI423">
    <cfRule type="containsText" priority="2" operator="containsText" dxfId="0" text="Met">
      <formula>NOT(ISERROR(SEARCH("Met",AI3)))</formula>
    </cfRule>
    <cfRule type="containsText" priority="1" operator="containsText" dxfId="1" text="Not Met">
      <formula>NOT(ISERROR(SEARCH("Not Met",AI3)))</formula>
    </cfRule>
  </conditionalFormatting>
  <dataValidations count="1">
    <dataValidation sqref="J130" showDropDown="0" showInputMessage="1" showErrorMessage="1" allowBlank="1" promptTitle="Validated" prompt="Validated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topLeftCell="C31" workbookViewId="0">
      <selection activeCell="E2" sqref="E2:E50"/>
    </sheetView>
  </sheetViews>
  <sheetFormatPr baseColWidth="8" defaultRowHeight="15"/>
  <cols>
    <col width="25.85546875" bestFit="1" customWidth="1" min="1" max="1"/>
    <col width="25.85546875" customWidth="1" min="2" max="4"/>
    <col width="31.28515625" bestFit="1" customWidth="1" min="5" max="5"/>
    <col width="32" bestFit="1" customWidth="1" min="6" max="6"/>
    <col width="32.28515625" bestFit="1" customWidth="1" min="7" max="7"/>
    <col width="31.5703125" bestFit="1" customWidth="1" min="8" max="9"/>
    <col width="31.42578125" bestFit="1" customWidth="1" min="10" max="10"/>
    <col width="31.140625" bestFit="1" customWidth="1" min="11" max="11"/>
    <col width="31.7109375" bestFit="1" customWidth="1" min="12" max="12"/>
    <col width="31.42578125" bestFit="1" customWidth="1" min="13" max="13"/>
    <col width="31" bestFit="1" customWidth="1" min="14" max="14"/>
    <col width="31.42578125" bestFit="1" customWidth="1" min="15" max="15"/>
    <col width="33.85546875" bestFit="1" customWidth="1" min="16" max="16"/>
  </cols>
  <sheetData>
    <row r="1">
      <c r="A1" s="2" t="inlineStr">
        <is>
          <t>Project</t>
        </is>
      </c>
      <c r="B1" s="2" t="inlineStr">
        <is>
          <t>Region</t>
        </is>
      </c>
      <c r="C1" s="2" t="inlineStr">
        <is>
          <t>Practice Head</t>
        </is>
      </c>
      <c r="D1" s="2" t="inlineStr">
        <is>
          <t>Regional Head</t>
        </is>
      </c>
      <c r="E1" s="3" t="inlineStr">
        <is>
          <t>Apr MET/NOT_MET_NotReported</t>
        </is>
      </c>
      <c r="F1" s="3" t="inlineStr">
        <is>
          <t>May MET/NOT_MET_NotReported</t>
        </is>
      </c>
      <c r="G1" s="3" t="inlineStr">
        <is>
          <t>Jun MET/NOT_MET_NotReported</t>
        </is>
      </c>
      <c r="H1" s="3" t="inlineStr">
        <is>
          <t>Jul MET/NOT_MET_NotReported</t>
        </is>
      </c>
      <c r="I1" s="3" t="inlineStr">
        <is>
          <t>Aug MET/NOT_MET_NotReported</t>
        </is>
      </c>
      <c r="J1" s="3" t="inlineStr">
        <is>
          <t>Sep MET/NOT_MET_NotReported</t>
        </is>
      </c>
      <c r="K1" s="3" t="inlineStr">
        <is>
          <t>Oct MET/NOT_MET_NotReported</t>
        </is>
      </c>
      <c r="L1" s="3" t="inlineStr">
        <is>
          <t>Nov MET/NOT_MET_NotReported</t>
        </is>
      </c>
      <c r="M1" s="3" t="inlineStr">
        <is>
          <t>Dec MET/NOT_MET_NotReported</t>
        </is>
      </c>
      <c r="N1" s="3" t="inlineStr">
        <is>
          <t>Jan MET/NOT_MET_NotReported</t>
        </is>
      </c>
      <c r="O1" s="3" t="inlineStr">
        <is>
          <t>Feb MET/NOT_MET_NotReported</t>
        </is>
      </c>
      <c r="P1" s="3" t="inlineStr">
        <is>
          <t>Mar MET/NOT_MET_NotReported</t>
        </is>
      </c>
    </row>
    <row r="2">
      <c r="A2" s="4" t="inlineStr">
        <is>
          <t>BITS</t>
        </is>
      </c>
      <c r="B2" s="4" t="inlineStr">
        <is>
          <t>South 2</t>
        </is>
      </c>
      <c r="C2" s="4" t="inlineStr">
        <is>
          <t>Krishna</t>
        </is>
      </c>
      <c r="D2" s="277" t="inlineStr">
        <is>
          <t>TBH</t>
        </is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</row>
    <row r="3">
      <c r="A3" s="4" t="inlineStr">
        <is>
          <t>Honeywell</t>
        </is>
      </c>
      <c r="B3" s="4" t="inlineStr">
        <is>
          <t xml:space="preserve">South 1 </t>
        </is>
      </c>
      <c r="C3" s="4" t="inlineStr">
        <is>
          <t>Bapi Reddy</t>
        </is>
      </c>
      <c r="D3" s="277" t="inlineStr">
        <is>
          <t>TBH</t>
        </is>
      </c>
      <c r="E3" s="5" t="n">
        <v>5</v>
      </c>
      <c r="F3" s="5" t="n">
        <v>5</v>
      </c>
      <c r="G3" s="5" t="n">
        <v>13</v>
      </c>
      <c r="H3" s="5" t="n">
        <v>5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</row>
    <row r="4">
      <c r="A4" s="4" t="inlineStr">
        <is>
          <t>M&amp;M</t>
        </is>
      </c>
      <c r="B4" s="4" t="inlineStr">
        <is>
          <t>West 1</t>
        </is>
      </c>
      <c r="C4" s="4" t="inlineStr">
        <is>
          <t>Megha</t>
        </is>
      </c>
      <c r="D4" s="5" t="inlineStr">
        <is>
          <t>Anjli Zutshi</t>
        </is>
      </c>
      <c r="E4" s="5" t="n">
        <v>0</v>
      </c>
      <c r="F4" s="5" t="n">
        <v>0</v>
      </c>
      <c r="G4" s="5" t="n">
        <v>0</v>
      </c>
      <c r="H4" s="5" t="n">
        <v>1</v>
      </c>
      <c r="I4" s="5" t="n">
        <v>0</v>
      </c>
      <c r="J4" s="5" t="n">
        <v>0</v>
      </c>
      <c r="K4" s="5" t="n">
        <v>0</v>
      </c>
      <c r="L4" s="5" t="n">
        <v>1</v>
      </c>
      <c r="M4" s="5" t="n">
        <v>1</v>
      </c>
      <c r="N4" s="5" t="n">
        <v>1</v>
      </c>
      <c r="O4" s="5" t="n">
        <v>0</v>
      </c>
      <c r="P4" s="5" t="n">
        <v>0</v>
      </c>
    </row>
    <row r="5">
      <c r="A5" s="4" t="inlineStr">
        <is>
          <t>Mahindra Holidays</t>
        </is>
      </c>
      <c r="B5" s="4" t="inlineStr">
        <is>
          <t>West 1</t>
        </is>
      </c>
      <c r="C5" s="4" t="inlineStr">
        <is>
          <t>Elton</t>
        </is>
      </c>
      <c r="D5" s="5" t="inlineStr">
        <is>
          <t>Anjli Zutshi</t>
        </is>
      </c>
      <c r="E5" s="5" t="n">
        <v>0</v>
      </c>
      <c r="F5" s="5" t="n">
        <v>1</v>
      </c>
      <c r="G5" s="5" t="n">
        <v>8</v>
      </c>
      <c r="H5" s="5" t="n">
        <v>8</v>
      </c>
      <c r="I5" s="5" t="n">
        <v>2</v>
      </c>
      <c r="J5" s="5" t="n">
        <v>2</v>
      </c>
      <c r="K5" s="5" t="n">
        <v>2</v>
      </c>
      <c r="L5" s="5" t="n">
        <v>8</v>
      </c>
      <c r="M5" s="5" t="n">
        <v>8</v>
      </c>
      <c r="N5" s="5" t="n">
        <v>8</v>
      </c>
      <c r="O5" s="5" t="n">
        <v>8</v>
      </c>
      <c r="P5" s="5" t="n">
        <v>8</v>
      </c>
    </row>
    <row r="6">
      <c r="A6" s="4" t="inlineStr">
        <is>
          <t>Mahindra Finance</t>
        </is>
      </c>
      <c r="B6" s="4" t="inlineStr">
        <is>
          <t>West 1</t>
        </is>
      </c>
      <c r="C6" s="4" t="inlineStr">
        <is>
          <t>Elton</t>
        </is>
      </c>
      <c r="D6" s="5" t="inlineStr">
        <is>
          <t>Anjli Zutshi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</row>
    <row r="7">
      <c r="A7" s="4" t="inlineStr">
        <is>
          <t>P&amp;G</t>
        </is>
      </c>
      <c r="B7" s="4" t="inlineStr">
        <is>
          <t>South 2</t>
        </is>
      </c>
      <c r="C7" s="4" t="inlineStr">
        <is>
          <t>Krishna</t>
        </is>
      </c>
      <c r="D7" s="277" t="inlineStr">
        <is>
          <t>TBH</t>
        </is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</row>
    <row r="8">
      <c r="A8" s="4" t="inlineStr">
        <is>
          <t>Pfizer</t>
        </is>
      </c>
      <c r="B8" s="4" t="inlineStr">
        <is>
          <t>West 1</t>
        </is>
      </c>
      <c r="C8" s="4" t="inlineStr">
        <is>
          <t>Usha</t>
        </is>
      </c>
      <c r="D8" s="5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s="4" t="inlineStr">
        <is>
          <t>Pidilite</t>
        </is>
      </c>
      <c r="B9" s="4" t="inlineStr">
        <is>
          <t>West 1</t>
        </is>
      </c>
      <c r="C9" s="4" t="inlineStr">
        <is>
          <t>Usha</t>
        </is>
      </c>
      <c r="D9" s="5" t="inlineStr">
        <is>
          <t>Anjli Zutshi</t>
        </is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12</v>
      </c>
      <c r="O9" s="5" t="n">
        <v>0</v>
      </c>
      <c r="P9" s="5" t="n">
        <v>0</v>
      </c>
    </row>
    <row r="10">
      <c r="A10" s="4" t="inlineStr">
        <is>
          <t>SKF</t>
        </is>
      </c>
      <c r="B10" s="4" t="inlineStr">
        <is>
          <t>North</t>
        </is>
      </c>
      <c r="C10" s="90" t="inlineStr">
        <is>
          <t>Archana Trikha</t>
        </is>
      </c>
      <c r="D10" s="5" t="inlineStr">
        <is>
          <t>Anjli Zutshi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</row>
    <row r="11">
      <c r="A11" s="4" t="inlineStr">
        <is>
          <t>Tata Motors</t>
        </is>
      </c>
      <c r="B11" s="4" t="inlineStr">
        <is>
          <t>West 1</t>
        </is>
      </c>
      <c r="C11" s="4" t="inlineStr">
        <is>
          <t>Shweta</t>
        </is>
      </c>
      <c r="D11" s="5" t="inlineStr">
        <is>
          <t>Anjli Zutshi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</row>
    <row r="12">
      <c r="A12" s="4" t="inlineStr">
        <is>
          <t>TATA Power</t>
        </is>
      </c>
      <c r="B12" s="4" t="inlineStr">
        <is>
          <t>West 1</t>
        </is>
      </c>
      <c r="C12" s="4" t="inlineStr">
        <is>
          <t>Elton</t>
        </is>
      </c>
      <c r="D12" s="5" t="inlineStr">
        <is>
          <t>Anjli Zutshi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</row>
    <row r="13">
      <c r="A13" s="4" t="inlineStr">
        <is>
          <t>ISUZU (UD Trucks)</t>
        </is>
      </c>
      <c r="B13" s="4" t="inlineStr">
        <is>
          <t xml:space="preserve">South 1 </t>
        </is>
      </c>
      <c r="C13" s="90" t="inlineStr">
        <is>
          <t>TBH</t>
        </is>
      </c>
      <c r="D13" s="277" t="inlineStr">
        <is>
          <t>TBH</t>
        </is>
      </c>
      <c r="E13" s="5" t="n">
        <v>0</v>
      </c>
      <c r="F13" s="5" t="n">
        <v>0</v>
      </c>
      <c r="G13" s="5" t="n">
        <v>0</v>
      </c>
      <c r="H13" s="5" t="n">
        <v>8</v>
      </c>
      <c r="I13" s="5" t="n">
        <v>8</v>
      </c>
      <c r="J13" s="5" t="n">
        <v>8</v>
      </c>
      <c r="K13" s="5" t="n">
        <v>8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</row>
    <row r="14">
      <c r="A14" s="4" t="inlineStr">
        <is>
          <t>Vertiv Energy</t>
        </is>
      </c>
      <c r="B14" s="4" t="inlineStr">
        <is>
          <t>West 2</t>
        </is>
      </c>
      <c r="C14" s="4" t="inlineStr">
        <is>
          <t>Shweta</t>
        </is>
      </c>
      <c r="D14" s="5" t="inlineStr">
        <is>
          <t>Anjli Zutshi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</row>
    <row r="15">
      <c r="A15" s="4" t="inlineStr">
        <is>
          <t>Siemens - GBS</t>
        </is>
      </c>
      <c r="B15" s="4" t="inlineStr">
        <is>
          <t xml:space="preserve">South 1 </t>
        </is>
      </c>
      <c r="C15" s="90" t="inlineStr">
        <is>
          <t>TBH</t>
        </is>
      </c>
      <c r="D15" s="277" t="inlineStr">
        <is>
          <t>TBH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</row>
    <row r="16">
      <c r="A16" s="4" t="inlineStr">
        <is>
          <t>Siemens - Advanta</t>
        </is>
      </c>
      <c r="B16" s="4" t="inlineStr">
        <is>
          <t xml:space="preserve">South 1 </t>
        </is>
      </c>
      <c r="C16" s="90" t="inlineStr">
        <is>
          <t>TBH</t>
        </is>
      </c>
      <c r="D16" s="277" t="inlineStr">
        <is>
          <t>TBH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</row>
    <row r="17">
      <c r="A17" s="4" t="inlineStr">
        <is>
          <t>Robert Bosch</t>
        </is>
      </c>
      <c r="B17" s="4" t="inlineStr">
        <is>
          <t xml:space="preserve">South 1 </t>
        </is>
      </c>
      <c r="C17" s="90" t="inlineStr">
        <is>
          <t>TBH</t>
        </is>
      </c>
      <c r="D17" s="277" t="inlineStr">
        <is>
          <t>TBH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</row>
    <row r="18">
      <c r="A18" s="4" t="inlineStr">
        <is>
          <t>Servify</t>
        </is>
      </c>
      <c r="B18" s="4" t="inlineStr">
        <is>
          <t>West 1</t>
        </is>
      </c>
      <c r="C18" s="4" t="inlineStr">
        <is>
          <t>Ashish</t>
        </is>
      </c>
      <c r="D18" s="5" t="inlineStr">
        <is>
          <t>Anjli Zutshi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</row>
    <row r="19">
      <c r="A19" s="4" t="inlineStr">
        <is>
          <t>Birla Paints</t>
        </is>
      </c>
      <c r="B19" s="4" t="inlineStr">
        <is>
          <t>West 1</t>
        </is>
      </c>
      <c r="C19" s="4" t="inlineStr">
        <is>
          <t>Elton</t>
        </is>
      </c>
      <c r="D19" s="5" t="inlineStr">
        <is>
          <t>Anjli Zutshi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</row>
    <row r="20">
      <c r="A20" s="4" t="inlineStr">
        <is>
          <t>Ingram Micro</t>
        </is>
      </c>
      <c r="B20" s="4" t="inlineStr">
        <is>
          <t>West 1</t>
        </is>
      </c>
      <c r="C20" s="4" t="inlineStr">
        <is>
          <t>Usha</t>
        </is>
      </c>
      <c r="D20" s="5" t="inlineStr">
        <is>
          <t>Anjli Zutshi</t>
        </is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</v>
      </c>
      <c r="P20" s="5" t="n">
        <v>1</v>
      </c>
    </row>
    <row r="21">
      <c r="A21" s="4" t="inlineStr">
        <is>
          <t>Wipro</t>
        </is>
      </c>
      <c r="B21" s="4" t="inlineStr">
        <is>
          <t xml:space="preserve">South 1 </t>
        </is>
      </c>
      <c r="C21" s="90" t="inlineStr">
        <is>
          <t>TBH</t>
        </is>
      </c>
      <c r="D21" s="277" t="inlineStr">
        <is>
          <t>TBH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</v>
      </c>
      <c r="P21" s="5" t="n">
        <v>1</v>
      </c>
    </row>
    <row r="22">
      <c r="A22" s="4" t="inlineStr">
        <is>
          <t>Thyssenkrupp</t>
        </is>
      </c>
      <c r="B22" s="4" t="inlineStr">
        <is>
          <t>West 1</t>
        </is>
      </c>
      <c r="C22" s="4" t="inlineStr">
        <is>
          <t>Shweta</t>
        </is>
      </c>
      <c r="D22" s="5" t="inlineStr">
        <is>
          <t>Anjli Zutshi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</row>
    <row r="23">
      <c r="A23" s="4" t="inlineStr">
        <is>
          <t>Siemens - Energy</t>
        </is>
      </c>
      <c r="B23" s="4" t="inlineStr">
        <is>
          <t xml:space="preserve">South 1 </t>
        </is>
      </c>
      <c r="C23" s="90" t="inlineStr">
        <is>
          <t>TBH</t>
        </is>
      </c>
      <c r="D23" s="277" t="inlineStr">
        <is>
          <t>TBH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</row>
    <row r="24">
      <c r="A24" s="4" t="inlineStr">
        <is>
          <t>HPE</t>
        </is>
      </c>
      <c r="B24" s="4" t="inlineStr">
        <is>
          <t xml:space="preserve">South 1 </t>
        </is>
      </c>
      <c r="C24" s="4" t="inlineStr">
        <is>
          <t>Mahak</t>
        </is>
      </c>
      <c r="D24" s="277" t="inlineStr">
        <is>
          <t>TBH</t>
        </is>
      </c>
      <c r="E24" s="5" t="n">
        <v>18</v>
      </c>
      <c r="F24" s="5" t="n">
        <v>8</v>
      </c>
      <c r="G24" s="5" t="n">
        <v>18</v>
      </c>
      <c r="H24" s="5" t="n">
        <v>18</v>
      </c>
      <c r="I24" s="5" t="n">
        <v>8</v>
      </c>
      <c r="J24" s="5" t="n">
        <v>8</v>
      </c>
      <c r="K24" s="5" t="n">
        <v>8</v>
      </c>
      <c r="L24" s="5" t="n">
        <v>8</v>
      </c>
      <c r="M24" s="5" t="n">
        <v>0</v>
      </c>
      <c r="N24" s="5" t="n">
        <v>0</v>
      </c>
      <c r="O24" s="5" t="n">
        <v>0</v>
      </c>
      <c r="P24" s="5" t="n">
        <v>0</v>
      </c>
    </row>
    <row r="25">
      <c r="A25" s="4" t="inlineStr">
        <is>
          <t>TATA Marco Polo</t>
        </is>
      </c>
      <c r="B25" s="4" t="inlineStr">
        <is>
          <t>West 1</t>
        </is>
      </c>
      <c r="C25" s="4" t="inlineStr">
        <is>
          <t>Shweta</t>
        </is>
      </c>
      <c r="D25" s="5" t="inlineStr">
        <is>
          <t>Anjli Zutshi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</row>
    <row r="26">
      <c r="A26" s="4" t="inlineStr">
        <is>
          <t>WTW (Ops)</t>
        </is>
      </c>
      <c r="B26" s="4" t="inlineStr">
        <is>
          <t>West 1</t>
        </is>
      </c>
      <c r="C26" s="4" t="inlineStr">
        <is>
          <t>Elton</t>
        </is>
      </c>
      <c r="D26" s="5" t="inlineStr">
        <is>
          <t>Anjli Zutshi</t>
        </is>
      </c>
      <c r="E26" s="5" t="n">
        <v>5</v>
      </c>
      <c r="F26" s="5" t="n">
        <v>2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</row>
    <row r="27">
      <c r="A27" s="4" t="inlineStr">
        <is>
          <t>WTW (Tech)</t>
        </is>
      </c>
      <c r="B27" s="4" t="inlineStr">
        <is>
          <t>West 1</t>
        </is>
      </c>
      <c r="C27" s="4" t="inlineStr">
        <is>
          <t>Elton</t>
        </is>
      </c>
      <c r="D27" s="5" t="inlineStr">
        <is>
          <t>Anjli Zutshi</t>
        </is>
      </c>
      <c r="E27" s="5" t="n">
        <v>5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</row>
    <row r="28">
      <c r="A28" s="4" t="inlineStr">
        <is>
          <t>WTW (Ops &amp; Tech)</t>
        </is>
      </c>
      <c r="B28" s="4" t="inlineStr">
        <is>
          <t>West 1</t>
        </is>
      </c>
      <c r="C28" s="4" t="inlineStr">
        <is>
          <t>Elton</t>
        </is>
      </c>
      <c r="D28" s="5" t="inlineStr">
        <is>
          <t>Anjli Zutshi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</row>
    <row r="29">
      <c r="A29" s="4" t="inlineStr">
        <is>
          <t>FedEx</t>
        </is>
      </c>
      <c r="B29" s="4" t="inlineStr">
        <is>
          <t>West 1</t>
        </is>
      </c>
      <c r="C29" s="4" t="inlineStr">
        <is>
          <t>Usha</t>
        </is>
      </c>
      <c r="D29" s="5" t="inlineStr">
        <is>
          <t>Anjli Zutshi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</row>
    <row r="30">
      <c r="A30" s="4" t="inlineStr">
        <is>
          <t>DP World</t>
        </is>
      </c>
      <c r="B30" s="4" t="inlineStr">
        <is>
          <t>West 1</t>
        </is>
      </c>
      <c r="C30" s="4" t="inlineStr">
        <is>
          <t>Elton</t>
        </is>
      </c>
      <c r="D30" s="5" t="inlineStr">
        <is>
          <t>Anjli Zutshi</t>
        </is>
      </c>
      <c r="E30" s="5" t="n">
        <v>0</v>
      </c>
      <c r="F30" s="5" t="n">
        <v>0</v>
      </c>
      <c r="G30" s="5" t="n">
        <v>7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7</v>
      </c>
      <c r="M30" s="5" t="n">
        <v>0</v>
      </c>
      <c r="N30" s="5" t="n">
        <v>0</v>
      </c>
      <c r="O30" s="5" t="n">
        <v>0</v>
      </c>
      <c r="P30" s="5" t="n">
        <v>7</v>
      </c>
    </row>
    <row r="31">
      <c r="A31" s="4" t="inlineStr">
        <is>
          <t>Ametek</t>
        </is>
      </c>
      <c r="B31" s="4" t="inlineStr">
        <is>
          <t xml:space="preserve">South 1 </t>
        </is>
      </c>
      <c r="C31" s="90" t="inlineStr">
        <is>
          <t>TBH</t>
        </is>
      </c>
      <c r="D31" s="277" t="inlineStr">
        <is>
          <t>TBH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7</v>
      </c>
      <c r="J31" s="5" t="n">
        <v>0</v>
      </c>
      <c r="K31" s="5" t="n">
        <v>7</v>
      </c>
      <c r="L31" s="5" t="n">
        <v>0</v>
      </c>
      <c r="M31" s="5" t="n">
        <v>7</v>
      </c>
      <c r="N31" s="5" t="n">
        <v>7</v>
      </c>
      <c r="O31" s="5" t="n">
        <v>7</v>
      </c>
      <c r="P31" s="5" t="n">
        <v>7</v>
      </c>
    </row>
    <row r="32">
      <c r="A32" s="4" t="inlineStr">
        <is>
          <t>Ultratech</t>
        </is>
      </c>
      <c r="B32" s="4" t="inlineStr">
        <is>
          <t>West 2</t>
        </is>
      </c>
      <c r="C32" s="4" t="inlineStr">
        <is>
          <t>Shweta</t>
        </is>
      </c>
      <c r="D32" s="5" t="inlineStr">
        <is>
          <t>Anjli Zutshi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</row>
    <row r="33">
      <c r="A33" s="4" t="inlineStr">
        <is>
          <t>TATA Electronics</t>
        </is>
      </c>
      <c r="B33" s="4" t="inlineStr">
        <is>
          <t>South 2</t>
        </is>
      </c>
      <c r="C33" s="4" t="inlineStr">
        <is>
          <t>Krishna</t>
        </is>
      </c>
      <c r="D33" s="277" t="inlineStr">
        <is>
          <t>TBH</t>
        </is>
      </c>
      <c r="E33" s="5" t="n">
        <v>9</v>
      </c>
      <c r="F33" s="5" t="n">
        <v>9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5</v>
      </c>
      <c r="P33" s="5" t="n">
        <v>5</v>
      </c>
    </row>
    <row r="34">
      <c r="A34" s="4" t="inlineStr">
        <is>
          <t>AMNS</t>
        </is>
      </c>
      <c r="B34" s="4" t="inlineStr">
        <is>
          <t>West 1</t>
        </is>
      </c>
      <c r="C34" s="4" t="inlineStr">
        <is>
          <t>Bikash/Piyush</t>
        </is>
      </c>
      <c r="D34" s="5" t="inlineStr">
        <is>
          <t>Anjli Zutshi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</row>
    <row r="35">
      <c r="A35" s="4" t="inlineStr">
        <is>
          <t>TITAN</t>
        </is>
      </c>
      <c r="B35" s="4" t="inlineStr">
        <is>
          <t xml:space="preserve">South 1 </t>
        </is>
      </c>
      <c r="C35" s="90" t="inlineStr">
        <is>
          <t>TBH</t>
        </is>
      </c>
      <c r="D35" s="277" t="inlineStr">
        <is>
          <t>TBH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7</v>
      </c>
      <c r="J35" s="5" t="n">
        <v>0</v>
      </c>
      <c r="K35" s="5" t="n">
        <v>7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</row>
    <row r="36">
      <c r="A36" s="4" t="inlineStr">
        <is>
          <t>Jindal</t>
        </is>
      </c>
      <c r="B36" s="4" t="inlineStr">
        <is>
          <t>North</t>
        </is>
      </c>
      <c r="C36" s="90" t="inlineStr">
        <is>
          <t>Archana Trikha</t>
        </is>
      </c>
      <c r="D36" s="5" t="inlineStr">
        <is>
          <t>Anjli Zutshi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</v>
      </c>
      <c r="O36" s="5" t="n">
        <v>0</v>
      </c>
      <c r="P36" s="5" t="n">
        <v>1</v>
      </c>
    </row>
    <row r="37">
      <c r="A37" s="4" t="inlineStr">
        <is>
          <t>TATA Tele</t>
        </is>
      </c>
      <c r="B37" s="4" t="inlineStr">
        <is>
          <t>West 1</t>
        </is>
      </c>
      <c r="C37" s="4" t="inlineStr">
        <is>
          <t>Elton</t>
        </is>
      </c>
      <c r="D37" s="5" t="inlineStr">
        <is>
          <t>Anjli Zutshi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</row>
    <row r="38">
      <c r="A38" s="4" t="inlineStr">
        <is>
          <t>NomiSo</t>
        </is>
      </c>
      <c r="B38" s="4" t="inlineStr">
        <is>
          <t>South 2</t>
        </is>
      </c>
      <c r="C38" s="4" t="inlineStr">
        <is>
          <t>Ashish</t>
        </is>
      </c>
      <c r="D38" s="277" t="inlineStr">
        <is>
          <t>TBH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</row>
    <row r="39">
      <c r="A39" s="4" t="inlineStr">
        <is>
          <t>Royal Enfield</t>
        </is>
      </c>
      <c r="B39" s="4" t="inlineStr">
        <is>
          <t>South 2</t>
        </is>
      </c>
      <c r="C39" s="4" t="inlineStr">
        <is>
          <t>Krishna</t>
        </is>
      </c>
      <c r="D39" s="277" t="inlineStr">
        <is>
          <t>TBH</t>
        </is>
      </c>
      <c r="E39" s="5" t="n">
        <v>7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</row>
    <row r="40">
      <c r="A40" s="4" t="inlineStr">
        <is>
          <t>SBI Card</t>
        </is>
      </c>
      <c r="B40" s="4" t="inlineStr">
        <is>
          <t>North</t>
        </is>
      </c>
      <c r="C40" s="90" t="inlineStr">
        <is>
          <t>Archana Trikha</t>
        </is>
      </c>
      <c r="D40" s="5" t="inlineStr">
        <is>
          <t>Anjli Zutshi</t>
        </is>
      </c>
      <c r="E40" s="5" t="n">
        <v>3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2</v>
      </c>
      <c r="M40" s="5" t="n">
        <v>2</v>
      </c>
      <c r="N40" s="5" t="n">
        <v>2</v>
      </c>
      <c r="O40" s="5" t="n">
        <v>4</v>
      </c>
      <c r="P40" s="5" t="n">
        <v>0</v>
      </c>
    </row>
    <row r="41">
      <c r="A41" s="4" t="inlineStr">
        <is>
          <t>Schaeffler</t>
        </is>
      </c>
      <c r="B41" s="4" t="inlineStr">
        <is>
          <t>West 2</t>
        </is>
      </c>
      <c r="C41" s="4" t="inlineStr">
        <is>
          <t>Shweta</t>
        </is>
      </c>
      <c r="D41" s="5" t="inlineStr">
        <is>
          <t>Anjli Zutshi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8</v>
      </c>
      <c r="N41" s="5" t="n">
        <v>0</v>
      </c>
      <c r="O41" s="5" t="n">
        <v>0</v>
      </c>
      <c r="P41" s="5" t="n">
        <v>0</v>
      </c>
    </row>
    <row r="42">
      <c r="A42" s="4" t="inlineStr">
        <is>
          <t>Excelacom</t>
        </is>
      </c>
      <c r="B42" s="4" t="inlineStr">
        <is>
          <t>South 2</t>
        </is>
      </c>
      <c r="C42" s="4" t="inlineStr">
        <is>
          <t>Krishna</t>
        </is>
      </c>
      <c r="D42" s="277" t="inlineStr">
        <is>
          <t>TBH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7</v>
      </c>
      <c r="O42" s="5" t="n">
        <v>0</v>
      </c>
      <c r="P42" s="5" t="n">
        <v>0</v>
      </c>
    </row>
    <row r="43">
      <c r="A43" s="4" t="inlineStr">
        <is>
          <t>Hyundai</t>
        </is>
      </c>
      <c r="B43" s="4" t="inlineStr">
        <is>
          <t>West 2</t>
        </is>
      </c>
      <c r="C43" s="4" t="inlineStr">
        <is>
          <t>Shweta</t>
        </is>
      </c>
      <c r="D43" s="5" t="inlineStr">
        <is>
          <t>Anjli Zutshi</t>
        </is>
      </c>
      <c r="E43" s="5" t="n">
        <v>0</v>
      </c>
      <c r="F43" s="5" t="n">
        <v>0</v>
      </c>
      <c r="G43" s="5" t="n">
        <v>0</v>
      </c>
      <c r="H43" s="5" t="n">
        <v>7</v>
      </c>
      <c r="I43" s="5" t="n">
        <v>2</v>
      </c>
      <c r="J43" s="5" t="n">
        <v>2</v>
      </c>
      <c r="K43" s="5" t="n">
        <v>8</v>
      </c>
      <c r="L43" s="5" t="n">
        <v>2</v>
      </c>
      <c r="M43" s="5" t="n">
        <v>2</v>
      </c>
      <c r="N43" s="5" t="n">
        <v>2</v>
      </c>
      <c r="O43" s="5" t="n">
        <v>2</v>
      </c>
      <c r="P43" s="5" t="n">
        <v>2</v>
      </c>
    </row>
    <row r="44">
      <c r="A44" s="4" t="inlineStr">
        <is>
          <t>Maruti Suzuki</t>
        </is>
      </c>
      <c r="B44" s="4" t="inlineStr">
        <is>
          <t>North</t>
        </is>
      </c>
      <c r="C44" s="90" t="inlineStr">
        <is>
          <t>Archana Trikha</t>
        </is>
      </c>
      <c r="D44" s="5" t="inlineStr">
        <is>
          <t>Anjli Zutshi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7</v>
      </c>
      <c r="J44" s="5" t="n">
        <v>7</v>
      </c>
      <c r="K44" s="5" t="n">
        <v>7</v>
      </c>
      <c r="L44" s="5" t="n">
        <v>7</v>
      </c>
      <c r="M44" s="5" t="n">
        <v>7</v>
      </c>
      <c r="N44" s="5" t="n">
        <v>7</v>
      </c>
      <c r="O44" s="5" t="n">
        <v>7</v>
      </c>
      <c r="P44" s="5" t="n">
        <v>7</v>
      </c>
    </row>
    <row r="45">
      <c r="A45" s="4" t="inlineStr">
        <is>
          <t>TATA Fiber</t>
        </is>
      </c>
      <c r="B45" s="4" t="inlineStr">
        <is>
          <t>West 1</t>
        </is>
      </c>
      <c r="C45" s="4" t="inlineStr">
        <is>
          <t>Usha</t>
        </is>
      </c>
      <c r="D45" s="5" t="inlineStr">
        <is>
          <t>Anjli Zutshi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7</v>
      </c>
      <c r="O45" s="5" t="n">
        <v>0</v>
      </c>
      <c r="P45" s="5" t="n">
        <v>0</v>
      </c>
    </row>
    <row r="46">
      <c r="A46" s="4" t="inlineStr">
        <is>
          <t>TATA Consumer</t>
        </is>
      </c>
      <c r="B46" s="4" t="inlineStr">
        <is>
          <t>West 1</t>
        </is>
      </c>
      <c r="C46" s="4" t="inlineStr">
        <is>
          <t>Usha</t>
        </is>
      </c>
      <c r="D46" s="5" t="inlineStr">
        <is>
          <t>Anjli Zutshi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</row>
    <row r="47">
      <c r="A47" s="4" t="inlineStr">
        <is>
          <t>Atomberg</t>
        </is>
      </c>
      <c r="B47" s="4" t="inlineStr">
        <is>
          <t>West 1</t>
        </is>
      </c>
      <c r="C47" s="4" t="inlineStr">
        <is>
          <t>Elton</t>
        </is>
      </c>
      <c r="D47" s="5" t="inlineStr">
        <is>
          <t>Anjli Zutshi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</row>
    <row r="48">
      <c r="A48" s="4" t="inlineStr">
        <is>
          <t>Subros</t>
        </is>
      </c>
      <c r="B48" s="4" t="inlineStr">
        <is>
          <t>North</t>
        </is>
      </c>
      <c r="C48" s="90" t="inlineStr">
        <is>
          <t>Archana Trikha</t>
        </is>
      </c>
      <c r="D48" s="5" t="inlineStr">
        <is>
          <t>Anjli Zutshi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7</v>
      </c>
      <c r="N48" s="5" t="n">
        <v>3</v>
      </c>
      <c r="O48" s="5" t="n">
        <v>3</v>
      </c>
      <c r="P48" s="5" t="n">
        <v>0</v>
      </c>
    </row>
    <row r="49">
      <c r="A49" s="4" t="inlineStr">
        <is>
          <t>Sterling tools</t>
        </is>
      </c>
      <c r="B49" s="4" t="inlineStr">
        <is>
          <t>North</t>
        </is>
      </c>
      <c r="C49" s="90" t="inlineStr">
        <is>
          <t>Archana Trikha</t>
        </is>
      </c>
      <c r="D49" s="5" t="inlineStr">
        <is>
          <t>Anjli Zutshi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6</v>
      </c>
    </row>
    <row r="50">
      <c r="A50" s="4" t="inlineStr">
        <is>
          <t>Ashok Leyland</t>
        </is>
      </c>
      <c r="B50" s="4" t="inlineStr">
        <is>
          <t>South 2</t>
        </is>
      </c>
      <c r="C50" s="4" t="inlineStr">
        <is>
          <t>Krishna</t>
        </is>
      </c>
      <c r="D50" s="277" t="inlineStr">
        <is>
          <t>TBH</t>
        </is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topLeftCell="J1" workbookViewId="0">
      <selection activeCell="O1" sqref="O1"/>
    </sheetView>
  </sheetViews>
  <sheetFormatPr baseColWidth="8" defaultRowHeight="15"/>
  <cols>
    <col width="19" bestFit="1" customWidth="1" min="1" max="1"/>
    <col width="8" bestFit="1" customWidth="1" min="2" max="2"/>
    <col width="13.140625" bestFit="1" customWidth="1" min="3" max="3"/>
    <col width="14.28515625" bestFit="1" customWidth="1" min="4" max="4"/>
    <col width="31.28515625" bestFit="1" customWidth="1" min="5" max="5"/>
    <col width="32" bestFit="1" customWidth="1" min="6" max="6"/>
    <col width="31.140625" bestFit="1" customWidth="1" min="7" max="7"/>
    <col width="30.5703125" bestFit="1" customWidth="1" min="8" max="8"/>
    <col width="31.5703125" bestFit="1" customWidth="1" min="9" max="9"/>
    <col width="31.42578125" bestFit="1" customWidth="1" min="10" max="10"/>
    <col width="31.140625" bestFit="1" customWidth="1" min="11" max="11"/>
    <col width="31.7109375" bestFit="1" customWidth="1" min="12" max="12"/>
    <col width="31.42578125" bestFit="1" customWidth="1" min="13" max="13"/>
    <col width="31" bestFit="1" customWidth="1" min="14" max="14"/>
  </cols>
  <sheetData>
    <row r="1">
      <c r="A1" s="2" t="inlineStr">
        <is>
          <t>Project</t>
        </is>
      </c>
      <c r="B1" s="2" t="inlineStr">
        <is>
          <t>Region</t>
        </is>
      </c>
      <c r="C1" s="2" t="inlineStr">
        <is>
          <t>Practice Head</t>
        </is>
      </c>
      <c r="D1" s="2" t="inlineStr">
        <is>
          <t xml:space="preserve">Regional Head </t>
        </is>
      </c>
      <c r="E1" s="3" t="inlineStr">
        <is>
          <t>Apr MET/NOT_MET_NotReported</t>
        </is>
      </c>
      <c r="F1" s="3" t="inlineStr">
        <is>
          <t>May MET/NOT_MET_NotReported</t>
        </is>
      </c>
      <c r="G1" s="3" t="inlineStr">
        <is>
          <t>Jun MET/NOT_MET_NotReported</t>
        </is>
      </c>
      <c r="H1" s="3" t="inlineStr">
        <is>
          <t>Jul MET/NOT_MET_NotReported</t>
        </is>
      </c>
      <c r="I1" s="3" t="inlineStr">
        <is>
          <t>Aug MET/NOT_MET_NotReported</t>
        </is>
      </c>
      <c r="J1" s="3" t="inlineStr">
        <is>
          <t>Sep MET/NOT_MET_NotReported</t>
        </is>
      </c>
      <c r="K1" s="3" t="inlineStr">
        <is>
          <t>Oct MET/NOT_MET_NotReported</t>
        </is>
      </c>
      <c r="L1" s="3" t="inlineStr">
        <is>
          <t>Nov MET/NOT_MET_NotReported</t>
        </is>
      </c>
      <c r="M1" s="3" t="inlineStr">
        <is>
          <t>Dec MET/NOT_MET_NotReported</t>
        </is>
      </c>
      <c r="N1" s="3" t="inlineStr">
        <is>
          <t>Jan MET/NOT_MET_NotReported</t>
        </is>
      </c>
    </row>
    <row r="2">
      <c r="A2" s="252" t="inlineStr">
        <is>
          <t>Ambuja Cement</t>
        </is>
      </c>
      <c r="B2" s="4" t="inlineStr">
        <is>
          <t>West 1</t>
        </is>
      </c>
      <c r="C2" s="4" t="inlineStr">
        <is>
          <t>Elton</t>
        </is>
      </c>
      <c r="D2" s="5" t="inlineStr">
        <is>
          <t>Anjli Zutshi</t>
        </is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8</v>
      </c>
      <c r="M2" s="5" t="n">
        <v>0</v>
      </c>
      <c r="N2" s="5" t="n">
        <v>0</v>
      </c>
    </row>
    <row r="3">
      <c r="A3" s="250" t="inlineStr">
        <is>
          <t>Ametek</t>
        </is>
      </c>
      <c r="B3" s="4" t="inlineStr">
        <is>
          <t xml:space="preserve">South 1 </t>
        </is>
      </c>
      <c r="C3" s="4" t="inlineStr">
        <is>
          <t>TBH</t>
        </is>
      </c>
      <c r="D3" s="4" t="inlineStr">
        <is>
          <t>TBH</t>
        </is>
      </c>
      <c r="E3" s="5" t="n">
        <v>7</v>
      </c>
      <c r="F3" s="5" t="n">
        <v>7</v>
      </c>
      <c r="G3" s="5" t="n">
        <v>7</v>
      </c>
      <c r="H3" s="5" t="n">
        <v>7</v>
      </c>
      <c r="I3" s="5" t="n">
        <v>7</v>
      </c>
      <c r="J3" s="5" t="n">
        <v>7</v>
      </c>
      <c r="K3" s="5" t="n">
        <v>0</v>
      </c>
      <c r="L3" s="5" t="n">
        <v>0</v>
      </c>
      <c r="M3" s="5" t="n">
        <v>0</v>
      </c>
      <c r="N3" s="5" t="n">
        <v>0</v>
      </c>
    </row>
    <row r="4">
      <c r="A4" s="250" t="inlineStr">
        <is>
          <t>AMNS</t>
        </is>
      </c>
      <c r="B4" s="4" t="inlineStr">
        <is>
          <t>West 1</t>
        </is>
      </c>
      <c r="C4" s="4" t="inlineStr">
        <is>
          <t>Alifiya</t>
        </is>
      </c>
      <c r="D4" s="5" t="inlineStr">
        <is>
          <t>Anjli Zutshi</t>
        </is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</row>
    <row r="5">
      <c r="A5" s="250" t="inlineStr">
        <is>
          <t>Ashok Leyland</t>
        </is>
      </c>
      <c r="B5" s="4" t="inlineStr">
        <is>
          <t>South 2</t>
        </is>
      </c>
      <c r="C5" s="4" t="inlineStr">
        <is>
          <t>Krishna</t>
        </is>
      </c>
      <c r="D5" s="4" t="inlineStr">
        <is>
          <t>TBH</t>
        </is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9</v>
      </c>
      <c r="K5" s="5" t="n">
        <v>9</v>
      </c>
      <c r="L5" s="5" t="n">
        <v>9</v>
      </c>
      <c r="M5" s="5" t="n">
        <v>9</v>
      </c>
      <c r="N5" s="5" t="n">
        <v>9</v>
      </c>
    </row>
    <row r="6">
      <c r="A6" s="250" t="inlineStr">
        <is>
          <t>Atomberg</t>
        </is>
      </c>
      <c r="B6" s="4" t="inlineStr">
        <is>
          <t>West 1</t>
        </is>
      </c>
      <c r="C6" s="4" t="inlineStr">
        <is>
          <t>Geetu</t>
        </is>
      </c>
      <c r="D6" s="5" t="inlineStr">
        <is>
          <t>Anjli Zutshi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250" t="inlineStr">
        <is>
          <t>Birla Paints</t>
        </is>
      </c>
      <c r="B7" s="4" t="inlineStr">
        <is>
          <t>West 1</t>
        </is>
      </c>
      <c r="C7" s="4" t="inlineStr">
        <is>
          <t>Geetu</t>
        </is>
      </c>
      <c r="D7" s="5" t="inlineStr">
        <is>
          <t>Anjli Zutshi</t>
        </is>
      </c>
      <c r="E7" s="5" t="n">
        <v>8</v>
      </c>
      <c r="F7" s="5" t="n">
        <v>8</v>
      </c>
      <c r="G7" s="5" t="n">
        <v>8</v>
      </c>
      <c r="H7" s="5" t="n">
        <v>8</v>
      </c>
      <c r="I7" s="5" t="n">
        <v>8</v>
      </c>
      <c r="J7" s="5" t="n">
        <v>8</v>
      </c>
      <c r="K7" s="5" t="n">
        <v>2</v>
      </c>
      <c r="L7" s="5" t="n">
        <v>0</v>
      </c>
      <c r="M7" s="5" t="n">
        <v>0</v>
      </c>
      <c r="N7" s="5" t="n">
        <v>0</v>
      </c>
    </row>
    <row r="8">
      <c r="A8" s="250" t="inlineStr">
        <is>
          <t>BITS</t>
        </is>
      </c>
      <c r="B8" s="4" t="inlineStr">
        <is>
          <t>South 2</t>
        </is>
      </c>
      <c r="C8" s="4" t="inlineStr">
        <is>
          <t>Krishna</t>
        </is>
      </c>
      <c r="D8" s="4" t="inlineStr">
        <is>
          <t>TBH</t>
        </is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250" t="inlineStr">
        <is>
          <t>Bridgestone</t>
        </is>
      </c>
      <c r="B9" s="4" t="inlineStr">
        <is>
          <t>West 2</t>
        </is>
      </c>
      <c r="C9" s="4" t="inlineStr">
        <is>
          <t>Shweta</t>
        </is>
      </c>
      <c r="D9" s="5" t="inlineStr">
        <is>
          <t>Anjli Zutshi</t>
        </is>
      </c>
      <c r="E9" s="5" t="n">
        <v>0</v>
      </c>
      <c r="F9" s="5" t="n">
        <v>2</v>
      </c>
      <c r="G9" s="5" t="n">
        <v>2</v>
      </c>
      <c r="H9" s="5" t="n">
        <v>2</v>
      </c>
      <c r="I9" s="5" t="n">
        <v>2</v>
      </c>
      <c r="J9" s="5" t="n">
        <v>2</v>
      </c>
      <c r="K9" s="5" t="n">
        <v>2</v>
      </c>
      <c r="L9" s="5" t="n">
        <v>2</v>
      </c>
      <c r="M9" s="5" t="n">
        <v>2</v>
      </c>
      <c r="N9" s="5" t="n">
        <v>8</v>
      </c>
    </row>
    <row r="10">
      <c r="A10" s="250" t="inlineStr">
        <is>
          <t>DP World</t>
        </is>
      </c>
      <c r="B10" s="4" t="inlineStr">
        <is>
          <t>West 1</t>
        </is>
      </c>
      <c r="C10" s="4" t="inlineStr">
        <is>
          <t>Geetu</t>
        </is>
      </c>
      <c r="D10" s="5" t="inlineStr">
        <is>
          <t>Anjli Zutshi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7</v>
      </c>
      <c r="J10" s="5" t="n">
        <v>7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250" t="inlineStr">
        <is>
          <t>Excelacom</t>
        </is>
      </c>
      <c r="B11" s="4" t="inlineStr">
        <is>
          <t>South 2</t>
        </is>
      </c>
      <c r="C11" s="4" t="inlineStr">
        <is>
          <t>Krishna</t>
        </is>
      </c>
      <c r="D11" s="4" t="inlineStr">
        <is>
          <t>TBH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250" t="inlineStr">
        <is>
          <t>Honeywell</t>
        </is>
      </c>
      <c r="B12" s="4" t="inlineStr">
        <is>
          <t xml:space="preserve">South 1 </t>
        </is>
      </c>
      <c r="C12" s="4" t="inlineStr">
        <is>
          <t>Bapi Reddy</t>
        </is>
      </c>
      <c r="D12" s="4" t="inlineStr">
        <is>
          <t>TBH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s="250" t="inlineStr">
        <is>
          <t>HPE</t>
        </is>
      </c>
      <c r="B13" s="4" t="inlineStr">
        <is>
          <t xml:space="preserve">South 1 </t>
        </is>
      </c>
      <c r="C13" s="4" t="inlineStr">
        <is>
          <t>Mahak</t>
        </is>
      </c>
      <c r="D13" s="4" t="inlineStr">
        <is>
          <t>TBH</t>
        </is>
      </c>
      <c r="E13" s="5" t="n">
        <v>10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s="250" t="inlineStr">
        <is>
          <t>Hyundai</t>
        </is>
      </c>
      <c r="B14" s="4" t="inlineStr">
        <is>
          <t>West 2</t>
        </is>
      </c>
      <c r="C14" s="4" t="inlineStr">
        <is>
          <t>Shweta</t>
        </is>
      </c>
      <c r="D14" s="5" t="inlineStr">
        <is>
          <t>Anjli Zutshi</t>
        </is>
      </c>
      <c r="E14" s="5" t="n">
        <v>0</v>
      </c>
      <c r="F14" s="5" t="n">
        <v>2</v>
      </c>
      <c r="G14" s="5" t="n">
        <v>2</v>
      </c>
      <c r="H14" s="5" t="n">
        <v>2</v>
      </c>
      <c r="I14" s="5" t="n">
        <v>2</v>
      </c>
      <c r="J14" s="5" t="n">
        <v>2</v>
      </c>
      <c r="K14" s="5" t="n">
        <v>2</v>
      </c>
      <c r="L14" s="5" t="n">
        <v>8</v>
      </c>
      <c r="M14" s="5" t="n">
        <v>2</v>
      </c>
      <c r="N14" s="5" t="n">
        <v>8</v>
      </c>
    </row>
    <row r="15">
      <c r="A15" s="250" t="inlineStr">
        <is>
          <t>Ingram Micro</t>
        </is>
      </c>
      <c r="B15" s="4" t="inlineStr">
        <is>
          <t>West 1</t>
        </is>
      </c>
      <c r="C15" s="4" t="inlineStr">
        <is>
          <t>Usha</t>
        </is>
      </c>
      <c r="D15" s="5" t="inlineStr">
        <is>
          <t>Anjli Zutshi</t>
        </is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8</v>
      </c>
      <c r="L15" s="5" t="n">
        <v>0</v>
      </c>
      <c r="M15" s="5" t="n">
        <v>8</v>
      </c>
      <c r="N15" s="5" t="n">
        <v>8</v>
      </c>
    </row>
    <row r="16">
      <c r="A16" s="250" t="inlineStr">
        <is>
          <t>ISUZU (UD Trucks)</t>
        </is>
      </c>
      <c r="B16" s="4" t="inlineStr">
        <is>
          <t xml:space="preserve">South 1 </t>
        </is>
      </c>
      <c r="C16" s="4" t="inlineStr">
        <is>
          <t>TBH</t>
        </is>
      </c>
      <c r="D16" s="4" t="inlineStr">
        <is>
          <t>TBH</t>
        </is>
      </c>
      <c r="E16" s="5" t="n">
        <v>8</v>
      </c>
      <c r="F16" s="5" t="n">
        <v>8</v>
      </c>
      <c r="G16" s="5" t="n">
        <v>8</v>
      </c>
      <c r="H16" s="5" t="n">
        <v>8</v>
      </c>
      <c r="I16" s="5" t="n">
        <v>8</v>
      </c>
      <c r="J16" s="5" t="n">
        <v>8</v>
      </c>
      <c r="K16" s="5" t="n">
        <v>8</v>
      </c>
      <c r="L16" s="5" t="n">
        <v>8</v>
      </c>
      <c r="M16" s="5" t="n">
        <v>8</v>
      </c>
      <c r="N16" s="5" t="n">
        <v>0</v>
      </c>
    </row>
    <row r="17">
      <c r="A17" s="250" t="inlineStr">
        <is>
          <t>Jindal</t>
        </is>
      </c>
      <c r="B17" s="4" t="inlineStr">
        <is>
          <t>North</t>
        </is>
      </c>
      <c r="C17" s="5" t="inlineStr">
        <is>
          <t>Archana Trikha</t>
        </is>
      </c>
      <c r="D17" s="5" t="inlineStr">
        <is>
          <t>Anjli Zutshi</t>
        </is>
      </c>
      <c r="E17" s="5" t="n">
        <v>0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s="251" t="inlineStr">
        <is>
          <t>Leap India</t>
        </is>
      </c>
      <c r="B18" s="4" t="inlineStr">
        <is>
          <t>West 1</t>
        </is>
      </c>
      <c r="C18" s="4" t="inlineStr">
        <is>
          <t>Geetu</t>
        </is>
      </c>
      <c r="D18" s="5" t="inlineStr">
        <is>
          <t>Anjli Zutshi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6</v>
      </c>
      <c r="N18" s="5" t="n">
        <v>0</v>
      </c>
    </row>
    <row r="19">
      <c r="A19" s="250" t="inlineStr">
        <is>
          <t>M&amp;M</t>
        </is>
      </c>
      <c r="B19" s="4" t="inlineStr">
        <is>
          <t>West 1</t>
        </is>
      </c>
      <c r="C19" s="4" t="inlineStr">
        <is>
          <t>Megha</t>
        </is>
      </c>
      <c r="D19" s="5" t="inlineStr">
        <is>
          <t>Anjli Zutshi</t>
        </is>
      </c>
      <c r="E19" s="5" t="n">
        <v>0</v>
      </c>
      <c r="F19" s="5" t="n">
        <v>0</v>
      </c>
      <c r="G19" s="5" t="n">
        <v>14</v>
      </c>
      <c r="H19" s="5" t="n">
        <v>14</v>
      </c>
      <c r="I19" s="5" t="n">
        <v>14</v>
      </c>
      <c r="J19" s="5" t="n">
        <v>14</v>
      </c>
      <c r="K19" s="5" t="n">
        <v>14</v>
      </c>
      <c r="L19" s="5" t="n">
        <v>14</v>
      </c>
      <c r="M19" s="5" t="n">
        <v>14</v>
      </c>
      <c r="N19" s="5" t="n">
        <v>1</v>
      </c>
    </row>
    <row r="20">
      <c r="A20" s="250" t="inlineStr">
        <is>
          <t>Mahindra Finance</t>
        </is>
      </c>
      <c r="B20" s="4" t="inlineStr">
        <is>
          <t>West 1</t>
        </is>
      </c>
      <c r="C20" s="4" t="inlineStr">
        <is>
          <t>Geetu</t>
        </is>
      </c>
      <c r="D20" s="5" t="inlineStr">
        <is>
          <t>Anjli Zutshi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</row>
    <row r="21">
      <c r="A21" s="250" t="inlineStr">
        <is>
          <t>Mahindra Holidays</t>
        </is>
      </c>
      <c r="B21" s="4" t="inlineStr">
        <is>
          <t>West 1</t>
        </is>
      </c>
      <c r="C21" s="4" t="inlineStr">
        <is>
          <t>Geetu</t>
        </is>
      </c>
      <c r="D21" s="5" t="inlineStr">
        <is>
          <t>Anjli Zutshi</t>
        </is>
      </c>
      <c r="E21" s="5" t="n">
        <v>8</v>
      </c>
      <c r="F21" s="5" t="n">
        <v>8</v>
      </c>
      <c r="G21" s="5" t="n">
        <v>8</v>
      </c>
      <c r="H21" s="5" t="n">
        <v>8</v>
      </c>
      <c r="I21" s="5" t="n">
        <v>8</v>
      </c>
      <c r="J21" s="5" t="n">
        <v>8</v>
      </c>
      <c r="K21" s="5" t="n">
        <v>8</v>
      </c>
      <c r="L21" s="5" t="n">
        <v>8</v>
      </c>
      <c r="M21" s="5" t="n">
        <v>1</v>
      </c>
      <c r="N21" s="5" t="n">
        <v>8</v>
      </c>
    </row>
    <row r="22">
      <c r="A22" s="250" t="inlineStr">
        <is>
          <t>Maruti Suzuki</t>
        </is>
      </c>
      <c r="B22" s="4" t="inlineStr">
        <is>
          <t>North</t>
        </is>
      </c>
      <c r="C22" s="5" t="inlineStr">
        <is>
          <t>Archana Trikha</t>
        </is>
      </c>
      <c r="D22" s="5" t="inlineStr">
        <is>
          <t>Anjli Zutshi</t>
        </is>
      </c>
      <c r="E22" s="5" t="n">
        <v>8</v>
      </c>
      <c r="F22" s="5" t="n">
        <v>1</v>
      </c>
      <c r="G22" s="5" t="n">
        <v>3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</row>
    <row r="23">
      <c r="A23" s="250" t="inlineStr">
        <is>
          <t>P&amp;G</t>
        </is>
      </c>
      <c r="B23" s="4" t="inlineStr">
        <is>
          <t>South 2</t>
        </is>
      </c>
      <c r="C23" s="4" t="inlineStr">
        <is>
          <t>Krishna</t>
        </is>
      </c>
      <c r="D23" s="4" t="inlineStr">
        <is>
          <t>TBH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5</v>
      </c>
    </row>
    <row r="24">
      <c r="A24" s="251" t="inlineStr">
        <is>
          <t>Pernod Ricard</t>
        </is>
      </c>
      <c r="B24" s="6" t="inlineStr">
        <is>
          <t>North</t>
        </is>
      </c>
      <c r="C24" s="5" t="inlineStr">
        <is>
          <t>Archana Trikha</t>
        </is>
      </c>
      <c r="D24" s="5" t="inlineStr">
        <is>
          <t>Anjli Zutshi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</row>
    <row r="25">
      <c r="A25" s="250" t="inlineStr">
        <is>
          <t>Pfizer</t>
        </is>
      </c>
      <c r="B25" s="4" t="inlineStr">
        <is>
          <t>West 1</t>
        </is>
      </c>
      <c r="C25" s="4" t="inlineStr">
        <is>
          <t>Usha</t>
        </is>
      </c>
      <c r="D25" s="5" t="inlineStr">
        <is>
          <t>Anjli Zutshi</t>
        </is>
      </c>
      <c r="E25" s="5" t="n">
        <v>22</v>
      </c>
      <c r="F25" s="5" t="n">
        <v>22</v>
      </c>
      <c r="G25" s="5" t="n">
        <v>22</v>
      </c>
      <c r="H25" s="5" t="n">
        <v>21</v>
      </c>
      <c r="I25" s="5" t="n">
        <v>11</v>
      </c>
      <c r="J25" s="5" t="n">
        <v>0</v>
      </c>
      <c r="K25" s="5" t="n">
        <v>22</v>
      </c>
      <c r="L25" s="5" t="n">
        <v>22</v>
      </c>
      <c r="M25" s="5" t="n">
        <v>21</v>
      </c>
      <c r="N25" s="5" t="n">
        <v>22</v>
      </c>
    </row>
    <row r="26">
      <c r="A26" s="250" t="inlineStr">
        <is>
          <t>Pidilite</t>
        </is>
      </c>
      <c r="B26" s="4" t="inlineStr">
        <is>
          <t>West 1</t>
        </is>
      </c>
      <c r="C26" s="4" t="inlineStr">
        <is>
          <t>Usha</t>
        </is>
      </c>
      <c r="D26" s="5" t="inlineStr">
        <is>
          <t>Anjli Zutshi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12</v>
      </c>
      <c r="N26" s="5" t="n">
        <v>12</v>
      </c>
    </row>
    <row r="27">
      <c r="A27" s="250" t="inlineStr">
        <is>
          <t>Robert Bosch</t>
        </is>
      </c>
      <c r="B27" s="4" t="inlineStr">
        <is>
          <t xml:space="preserve">South 1 </t>
        </is>
      </c>
      <c r="C27" s="4" t="inlineStr">
        <is>
          <t>TBH</t>
        </is>
      </c>
      <c r="D27" s="4" t="inlineStr">
        <is>
          <t>TBH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250" t="inlineStr">
        <is>
          <t>Royal Enfield</t>
        </is>
      </c>
      <c r="B28" s="4" t="inlineStr">
        <is>
          <t>South 2</t>
        </is>
      </c>
      <c r="C28" s="4" t="inlineStr">
        <is>
          <t>Krishna</t>
        </is>
      </c>
      <c r="D28" s="4" t="inlineStr">
        <is>
          <t>TBH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8</v>
      </c>
      <c r="K28" s="5" t="n">
        <v>8</v>
      </c>
      <c r="L28" s="5" t="n">
        <v>8</v>
      </c>
      <c r="M28" s="5" t="n">
        <v>8</v>
      </c>
      <c r="N28" s="5" t="n">
        <v>8</v>
      </c>
    </row>
    <row r="29">
      <c r="A29" s="250" t="inlineStr">
        <is>
          <t>SBI Card</t>
        </is>
      </c>
      <c r="B29" s="4" t="inlineStr">
        <is>
          <t>North</t>
        </is>
      </c>
      <c r="C29" s="5" t="inlineStr">
        <is>
          <t>Archana Trikha</t>
        </is>
      </c>
      <c r="D29" s="5" t="inlineStr">
        <is>
          <t>Anjli Zutshi</t>
        </is>
      </c>
      <c r="E29" s="5" t="n">
        <v>12</v>
      </c>
      <c r="F29" s="5" t="n">
        <v>0</v>
      </c>
      <c r="G29" s="5" t="n">
        <v>1</v>
      </c>
      <c r="H29" s="5" t="n">
        <v>1</v>
      </c>
      <c r="I29" s="5" t="n">
        <v>12</v>
      </c>
      <c r="J29" s="5" t="n">
        <v>12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50" t="inlineStr">
        <is>
          <t>Schaeffler</t>
        </is>
      </c>
      <c r="B30" s="4" t="inlineStr">
        <is>
          <t>West 2</t>
        </is>
      </c>
      <c r="C30" s="4" t="inlineStr">
        <is>
          <t>Shweta</t>
        </is>
      </c>
      <c r="D30" s="5" t="inlineStr">
        <is>
          <t>Anjli Zutshi</t>
        </is>
      </c>
      <c r="E30" s="5" t="n">
        <v>0</v>
      </c>
      <c r="F30" s="5" t="n">
        <v>1</v>
      </c>
      <c r="G30" s="5" t="n">
        <v>2</v>
      </c>
      <c r="H30" s="5" t="n">
        <v>2</v>
      </c>
      <c r="I30" s="5" t="n">
        <v>1</v>
      </c>
      <c r="J30" s="5" t="n">
        <v>1</v>
      </c>
      <c r="K30" s="5" t="n">
        <v>3</v>
      </c>
      <c r="L30" s="5" t="n">
        <v>1</v>
      </c>
      <c r="M30" s="5" t="n">
        <v>8</v>
      </c>
      <c r="N30" s="5" t="n">
        <v>8</v>
      </c>
    </row>
    <row r="31">
      <c r="A31" s="250" t="inlineStr">
        <is>
          <t>Servify</t>
        </is>
      </c>
      <c r="B31" s="4" t="inlineStr">
        <is>
          <t>West 1</t>
        </is>
      </c>
      <c r="C31" s="4" t="inlineStr">
        <is>
          <t>Ashish</t>
        </is>
      </c>
      <c r="D31" s="5" t="inlineStr">
        <is>
          <t>Anjli Zutshi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50" t="inlineStr">
        <is>
          <t>Siemens - Advanta</t>
        </is>
      </c>
      <c r="B32" s="4" t="inlineStr">
        <is>
          <t xml:space="preserve">South 1 </t>
        </is>
      </c>
      <c r="C32" s="4" t="inlineStr">
        <is>
          <t>TBH</t>
        </is>
      </c>
      <c r="D32" s="4" t="inlineStr">
        <is>
          <t>TBH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11</v>
      </c>
      <c r="K32" s="5" t="n">
        <v>0</v>
      </c>
      <c r="L32" s="5" t="n">
        <v>0</v>
      </c>
      <c r="M32" s="5" t="n">
        <v>11</v>
      </c>
      <c r="N32" s="5" t="n">
        <v>0</v>
      </c>
    </row>
    <row r="33">
      <c r="A33" s="250" t="inlineStr">
        <is>
          <t>Siemens - Energy</t>
        </is>
      </c>
      <c r="B33" s="4" t="inlineStr">
        <is>
          <t xml:space="preserve">South 1 </t>
        </is>
      </c>
      <c r="C33" s="4" t="inlineStr">
        <is>
          <t>TBH</t>
        </is>
      </c>
      <c r="D33" s="4" t="inlineStr">
        <is>
          <t>TBH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11</v>
      </c>
      <c r="K33" s="5" t="n">
        <v>0</v>
      </c>
      <c r="L33" s="5" t="n">
        <v>0</v>
      </c>
      <c r="M33" s="5" t="n">
        <v>11</v>
      </c>
      <c r="N33" s="5" t="n">
        <v>0</v>
      </c>
    </row>
    <row r="34">
      <c r="A34" s="250" t="inlineStr">
        <is>
          <t>Siemens - GBS</t>
        </is>
      </c>
      <c r="B34" s="4" t="inlineStr">
        <is>
          <t xml:space="preserve">South 1 </t>
        </is>
      </c>
      <c r="C34" s="4" t="inlineStr">
        <is>
          <t>TBH</t>
        </is>
      </c>
      <c r="D34" s="4" t="inlineStr">
        <is>
          <t>TBH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11</v>
      </c>
      <c r="K34" s="5" t="n">
        <v>0</v>
      </c>
      <c r="L34" s="5" t="n">
        <v>0</v>
      </c>
      <c r="M34" s="5" t="n">
        <v>11</v>
      </c>
      <c r="N34" s="5" t="n">
        <v>0</v>
      </c>
    </row>
    <row r="35">
      <c r="A35" s="250" t="inlineStr">
        <is>
          <t>SKF</t>
        </is>
      </c>
      <c r="B35" s="4" t="inlineStr">
        <is>
          <t>North</t>
        </is>
      </c>
      <c r="C35" s="5" t="inlineStr">
        <is>
          <t>Archana Trikha</t>
        </is>
      </c>
      <c r="D35" s="5" t="inlineStr">
        <is>
          <t>Anjli Zutshi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s="251" t="inlineStr">
        <is>
          <t>SKF Auto</t>
        </is>
      </c>
      <c r="B36" s="6" t="inlineStr">
        <is>
          <t>North</t>
        </is>
      </c>
      <c r="C36" s="5" t="inlineStr">
        <is>
          <t>Archana Trikha</t>
        </is>
      </c>
      <c r="D36" s="5" t="inlineStr">
        <is>
          <t>Anjli Zutshi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51" t="inlineStr">
        <is>
          <t>SKF Industrial</t>
        </is>
      </c>
      <c r="B37" s="6" t="inlineStr">
        <is>
          <t>North</t>
        </is>
      </c>
      <c r="C37" s="5" t="inlineStr">
        <is>
          <t>Archana Trikha</t>
        </is>
      </c>
      <c r="D37" s="5" t="inlineStr">
        <is>
          <t>Anjli Zutshi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</row>
    <row r="38">
      <c r="A38" s="250" t="inlineStr">
        <is>
          <t>Sterling tools</t>
        </is>
      </c>
      <c r="B38" s="4" t="inlineStr">
        <is>
          <t>North</t>
        </is>
      </c>
      <c r="C38" s="5" t="inlineStr">
        <is>
          <t>Archana Trikha</t>
        </is>
      </c>
      <c r="D38" s="5" t="inlineStr">
        <is>
          <t>Anjli Zutshi</t>
        </is>
      </c>
      <c r="E38" s="5" t="n">
        <v>6</v>
      </c>
      <c r="F38" s="5" t="n">
        <v>6</v>
      </c>
      <c r="G38" s="5" t="n">
        <v>6</v>
      </c>
      <c r="H38" s="5" t="n">
        <v>6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</row>
    <row r="39">
      <c r="A39" s="250" t="inlineStr">
        <is>
          <t>Subros</t>
        </is>
      </c>
      <c r="B39" s="4" t="inlineStr">
        <is>
          <t>North</t>
        </is>
      </c>
      <c r="C39" s="5" t="inlineStr">
        <is>
          <t>Archana Trikha</t>
        </is>
      </c>
      <c r="D39" s="5" t="inlineStr">
        <is>
          <t>Anjli Zutshi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8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50" t="inlineStr">
        <is>
          <t>TATA Consumer</t>
        </is>
      </c>
      <c r="B40" s="4" t="inlineStr">
        <is>
          <t>West 1</t>
        </is>
      </c>
      <c r="C40" s="4" t="inlineStr">
        <is>
          <t>Usha</t>
        </is>
      </c>
      <c r="D40" s="5" t="inlineStr">
        <is>
          <t>Anjli Zutshi</t>
        </is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</row>
    <row r="41">
      <c r="A41" s="250" t="inlineStr">
        <is>
          <t>TATA Electronics</t>
        </is>
      </c>
      <c r="B41" s="4" t="inlineStr">
        <is>
          <t>South 2</t>
        </is>
      </c>
      <c r="C41" s="4" t="inlineStr">
        <is>
          <t>Krishna</t>
        </is>
      </c>
      <c r="D41" s="4" t="inlineStr">
        <is>
          <t>TBH</t>
        </is>
      </c>
      <c r="E41" s="5" t="n">
        <v>9</v>
      </c>
      <c r="F41" s="5" t="n">
        <v>5</v>
      </c>
      <c r="G41" s="5" t="n">
        <v>5</v>
      </c>
      <c r="H41" s="5" t="n">
        <v>0</v>
      </c>
      <c r="I41" s="5" t="n">
        <v>0</v>
      </c>
      <c r="J41" s="5" t="n">
        <v>9</v>
      </c>
      <c r="K41" s="5" t="n">
        <v>9</v>
      </c>
      <c r="L41" s="5" t="n">
        <v>0</v>
      </c>
      <c r="M41" s="5" t="n">
        <v>2</v>
      </c>
      <c r="N41" s="5" t="n">
        <v>1</v>
      </c>
    </row>
    <row r="42">
      <c r="A42" s="250" t="inlineStr">
        <is>
          <t>TATA Fiber</t>
        </is>
      </c>
      <c r="B42" s="4" t="inlineStr">
        <is>
          <t>West 1</t>
        </is>
      </c>
      <c r="C42" s="4" t="inlineStr">
        <is>
          <t>Usha</t>
        </is>
      </c>
      <c r="D42" s="5" t="inlineStr">
        <is>
          <t>Anjli Zutshi</t>
        </is>
      </c>
      <c r="E42" s="5" t="n">
        <v>7</v>
      </c>
      <c r="F42" s="5" t="n">
        <v>7</v>
      </c>
      <c r="G42" s="5" t="n">
        <v>7</v>
      </c>
      <c r="H42" s="5" t="n">
        <v>7</v>
      </c>
      <c r="I42" s="5" t="n">
        <v>0</v>
      </c>
      <c r="J42" s="5" t="n">
        <v>7</v>
      </c>
      <c r="K42" s="5" t="n">
        <v>7</v>
      </c>
      <c r="L42" s="5" t="n">
        <v>7</v>
      </c>
      <c r="M42" s="5" t="n">
        <v>7</v>
      </c>
      <c r="N42" s="5" t="n">
        <v>7</v>
      </c>
    </row>
    <row r="43">
      <c r="A43" s="250" t="inlineStr">
        <is>
          <t>TATA Power</t>
        </is>
      </c>
      <c r="B43" s="4" t="inlineStr">
        <is>
          <t>West 1</t>
        </is>
      </c>
      <c r="C43" s="4" t="inlineStr">
        <is>
          <t>Elton</t>
        </is>
      </c>
      <c r="D43" s="5" t="inlineStr">
        <is>
          <t>Anjli Zutshi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s="250" t="inlineStr">
        <is>
          <t>TATA Tele</t>
        </is>
      </c>
      <c r="B44" s="4" t="inlineStr">
        <is>
          <t>West 1</t>
        </is>
      </c>
      <c r="C44" s="4" t="inlineStr">
        <is>
          <t>Elton</t>
        </is>
      </c>
      <c r="D44" s="5" t="inlineStr">
        <is>
          <t>Anjli Zutshi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250" t="inlineStr">
        <is>
          <t>TITAN</t>
        </is>
      </c>
      <c r="B45" s="4" t="inlineStr">
        <is>
          <t xml:space="preserve">South 1 </t>
        </is>
      </c>
      <c r="C45" s="4" t="inlineStr">
        <is>
          <t>TBH</t>
        </is>
      </c>
      <c r="D45" s="4" t="inlineStr">
        <is>
          <t>TBH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</row>
    <row r="46">
      <c r="A46" s="250" t="inlineStr">
        <is>
          <t>Ultratech</t>
        </is>
      </c>
      <c r="B46" s="4" t="inlineStr">
        <is>
          <t>West 2</t>
        </is>
      </c>
      <c r="C46" s="4" t="inlineStr">
        <is>
          <t>Shweta</t>
        </is>
      </c>
      <c r="D46" s="5" t="inlineStr">
        <is>
          <t>Anjli Zutshi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s="250" t="inlineStr">
        <is>
          <t>Vertiv Energy</t>
        </is>
      </c>
      <c r="B47" s="4" t="inlineStr">
        <is>
          <t>West 2</t>
        </is>
      </c>
      <c r="C47" s="4" t="inlineStr">
        <is>
          <t>Shweta</t>
        </is>
      </c>
      <c r="D47" s="5" t="inlineStr">
        <is>
          <t>Anjli Zutshi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8</v>
      </c>
      <c r="N47" s="5" t="n">
        <v>8</v>
      </c>
    </row>
    <row r="48">
      <c r="A48" s="250" t="inlineStr">
        <is>
          <t>Wipro</t>
        </is>
      </c>
      <c r="B48" s="4" t="inlineStr">
        <is>
          <t xml:space="preserve">South 1 </t>
        </is>
      </c>
      <c r="C48" s="4" t="inlineStr">
        <is>
          <t>TBH</t>
        </is>
      </c>
      <c r="D48" s="4" t="inlineStr">
        <is>
          <t>TBH</t>
        </is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</row>
    <row r="49">
      <c r="A49" s="250" t="inlineStr">
        <is>
          <t>WTW (Ops &amp; Tech)</t>
        </is>
      </c>
      <c r="B49" s="4" t="inlineStr">
        <is>
          <t>West 1</t>
        </is>
      </c>
      <c r="C49" s="4" t="inlineStr">
        <is>
          <t>Elton</t>
        </is>
      </c>
      <c r="D49" s="5" t="inlineStr">
        <is>
          <t>Anjli Zutshi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</row>
  </sheetData>
  <conditionalFormatting sqref="A49">
    <cfRule type="containsText" priority="1" operator="containsText" dxfId="1" text="Not Met">
      <formula>NOT(ISERROR(SEARCH("Not Met",A49)))</formula>
    </cfRule>
    <cfRule type="containsText" priority="2" operator="containsText" dxfId="0" text="Met">
      <formula>NOT(ISERROR(SEARCH("Met",A49)))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Rishab Jha</dc:creator>
  <dcterms:created xmlns:dcterms="http://purl.org/dc/terms/" xmlns:xsi="http://www.w3.org/2001/XMLSchema-instance" xsi:type="dcterms:W3CDTF">2025-11-07T11:08:54Z</dcterms:created>
  <dcterms:modified xmlns:dcterms="http://purl.org/dc/terms/" xmlns:xsi="http://www.w3.org/2001/XMLSchema-instance" xsi:type="dcterms:W3CDTF">2026-03-23T05:27:43Z</dcterms:modified>
  <cp:lastModifiedBy>Rishab Jha</cp:lastModifiedBy>
</cp:coreProperties>
</file>