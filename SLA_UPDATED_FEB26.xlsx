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931" documentId="8_{EEA0DD37-AE53-4F3B-B434-D2AC92F26D39}" xr6:coauthVersionLast="47" xr6:coauthVersionMax="47" xr10:uidLastSave="{F842307C-DAF7-492D-BBA0-56B1FBA570E2}"/>
  <bookViews>
    <workbookView xWindow="-120" yWindow="-120" windowWidth="20730" windowHeight="11040" firstSheet="2" activeTab="4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'!$A$1:$AL$507</definedName>
    <definedName name="_xlnm._FilterDatabase" localSheetId="1" hidden="1">'FY 25-26 Summary'!$A$1:$AB$49</definedName>
    <definedName name="_xlnm._FilterDatabase" localSheetId="3" hidden="1">'FY24-25 Not Reported'!$A$1:$P$50</definedName>
    <definedName name="_xlnm._FilterDatabase" localSheetId="4" hidden="1">'FY25-26 Not Reported'!$A$1:$N$49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7" i="5" l="1"/>
  <c r="AF418" i="5"/>
  <c r="AF417" i="5"/>
  <c r="AF411" i="5"/>
  <c r="AF410" i="5"/>
  <c r="AF409" i="5"/>
  <c r="AF408" i="5"/>
  <c r="AF378" i="5"/>
  <c r="AF377" i="5"/>
  <c r="AF376" i="5"/>
  <c r="AF375" i="5"/>
  <c r="AF374" i="5"/>
  <c r="AF373" i="5"/>
  <c r="AF372" i="5"/>
  <c r="AD439" i="5" l="1"/>
  <c r="AD438" i="5"/>
  <c r="AD437" i="5"/>
  <c r="AD436" i="5"/>
  <c r="AD435" i="5"/>
  <c r="AD434" i="5"/>
  <c r="AD433" i="5"/>
  <c r="AD411" i="5"/>
  <c r="AD410" i="5"/>
  <c r="AD409" i="5"/>
  <c r="AD408" i="5"/>
  <c r="AD407" i="5"/>
  <c r="AD392" i="5"/>
  <c r="AD391" i="5"/>
  <c r="AD390" i="5"/>
  <c r="AD389" i="5"/>
  <c r="AD388" i="5"/>
  <c r="AD387" i="5"/>
  <c r="AD386" i="5"/>
  <c r="AD378" i="5"/>
  <c r="AD377" i="5"/>
  <c r="AD376" i="5"/>
  <c r="AD375" i="5"/>
  <c r="AD374" i="5"/>
  <c r="AD373" i="5"/>
  <c r="AD372" i="5"/>
  <c r="AD116" i="5"/>
  <c r="AD115" i="5"/>
  <c r="AD114" i="5"/>
  <c r="AD113" i="5"/>
  <c r="AD112" i="5"/>
  <c r="AD111" i="5"/>
  <c r="AD110" i="5"/>
  <c r="AD99" i="5"/>
  <c r="AD98" i="5"/>
  <c r="AD97" i="5"/>
  <c r="AD16" i="5"/>
  <c r="AD15" i="5"/>
  <c r="AD14" i="5"/>
  <c r="AD13" i="5"/>
  <c r="AD12" i="5"/>
  <c r="AD11" i="5"/>
  <c r="A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tc={62B818D8-E422-437A-AADA-844037255CC3}</author>
    <author>tc={06E220A4-9492-40CB-B43A-A94F15AC3E29}</author>
    <author>tc={128205FD-0ADD-4A21-A191-749B144607C9}</author>
    <author>tc={F2955197-42C5-44D9-8598-7FF665A1AE18}</author>
    <author>tc={F6BC492C-25B8-42CC-A2B3-0692F33403B1}</author>
    <author>tc={C136B01B-B0B4-4589-BC6D-EEA050A56D39}</author>
    <author>tc={5774568B-9C6A-4FBA-87AA-7E09E31255E0}</author>
    <author>tc={E0CC0F8E-F167-4F0E-9A71-203AB79AE1FF}</author>
    <author>tc={79177503-DA4D-44DD-9528-C2ACE0868176}</author>
    <author>tc={2EBFA44C-28B3-40F2-8C00-FA97E266C7D6}</author>
    <author>tc={EA663C64-3D2F-4ECA-8F65-96F9860FBB4D}</author>
    <author>tc={5A8DF23D-056D-4F5A-AD9F-BC9200A517E2}</author>
    <author>tc={90EBB90B-D473-45B6-B2CE-D0B384E0FDE0}</author>
    <author>tc={34118B56-2599-4082-A89A-59EA956B107D}</author>
    <author>tc={6809E1A8-04ED-429A-A485-1827DE430319}</author>
    <author>tc={800F4D36-0FD9-4696-8548-AB232EAF41EA}</author>
    <author>tc={C4F10919-2F55-4A0B-901B-F38B4F2F1DA1}</author>
    <author>tc={7702CBD5-E14D-41C8-8544-5EDAB69DED8B}</author>
    <author>tc={AC72218E-1B69-404C-9298-66BEB4C95A16}</author>
    <author>tc={06CA9A34-601B-491C-A30B-A3DF1C13DF6F}</author>
    <author>tc={AD76F86A-FF9B-41E6-B196-6CCC108A629E}</author>
    <author>tc={3921DF08-160B-41DC-A7F6-63C9657E7DB2}</author>
    <author>tc={890EAAC2-70A4-4922-86E1-27909D11F34C}</author>
    <author>tc={4DDBA288-3D5F-45A5-9E0B-0D6F23E99E1D}</author>
    <author>tc={27D1840D-F1CC-48B9-8708-6E20ABD2C26A}</author>
    <author>tc={941FB6ED-7B7A-4C52-981C-33F1DBA921A1}</author>
    <author>tc={607CE74A-66EF-49AF-A423-D15AD6807E6A}</author>
    <author>tc={E1DA76CC-C269-4B59-9F12-FF19AA1266FB}</author>
    <author>tc={6D2D4A80-0A27-4D58-B5F9-FC2C6FF62F65}</author>
    <author>tc={5B217283-0ED3-4D06-8859-3694B88946C9}</author>
    <author>tc={9ED35F9A-1881-4BFF-BAC7-46176F859A4D}</author>
    <author>tc={AB456B9D-2998-45B0-B566-0DDDED097281}</author>
    <author>tc={5B2C2BE4-F01A-4D62-A415-775B96EBA8E7}</author>
    <author>tc={60004511-9CDE-45F1-8DE0-54E2910C1871}</author>
    <author>tc={5092A264-D0DD-4D85-9306-A01F9F14DBE4}</author>
    <author>tc={B7A2E25A-D1F9-4401-ACC8-6AA5B77E9447}</author>
    <author>tc={37A1F069-014B-4468-A5AB-6DB9786C7310}</author>
    <author>tc={8D8AF9A2-FF6D-4CAB-8B9E-76835B7498A7}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tc={05F66FD9-B676-4E68-A2B3-5D6A67723762}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tc={392B7A23-B8ED-4511-BC33-73EDBF0E0274}</author>
    <author>tc={CC76EC8D-B4E2-4D96-ABDB-56CE79B9EE21}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tc={CE359EAC-D141-4282-83BF-3992BB15372B}</author>
    <author>tc={029DE5F8-4488-4129-9C58-90CE07B155DB}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tc={23A4F92F-6C50-4F3B-8852-5B5117DB9E7A}</author>
    <author>tc={EABA0384-81FC-4C05-A9A1-F509D40C3E2A}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tc={890D0C99-579B-40AA-98E9-361EFCB44188}</author>
    <author>tc={2DB72063-C5ED-424A-9ED6-799ADBD5284F}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tc={F10F9807-D606-47DE-8424-3FA5013DE6D3}</author>
    <author>tc={68D7ECC6-2AF3-4B0F-9745-1A9F03AF8F37}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tc={13D531C0-1CC0-45F0-BAFA-2A0E4609ADFD}</author>
    <author>tc={C6E35DA7-E10F-4A3F-9355-6DD657D5E155}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tc={36CAF0C5-1209-4822-95CD-CE62BD95DEB3}</author>
    <author>tc={9A56EFCC-1686-426A-A43A-A1778DFE35CA}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tc={5A4ABBC4-3C88-40E6-9D01-82F45A3616C8}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tc={2CEDD1D9-F4C9-49F2-AC38-546E69E9B944}</author>
    <author>tc={F2207445-76A2-4B41-ACAC-D2991E05CB0E}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tc={0C643D50-F608-4261-AF21-166ADF595D04}</author>
    <author>tc={212854EB-D4A5-4C29-B8C5-BA0240A149C9}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tc={88ADA75A-F1BE-4FC2-A6D4-E9249155C35B}</author>
    <author>tc={B05F80F2-9BE9-4D4B-B720-5AF089179560}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tc={51B82B9C-3C22-4894-93A3-D2820C9DAEF7}</author>
    <author>tc={89091643-6C61-4E86-90BF-C00717D5E922}</author>
    <author>tc={D9D24098-CA12-41B3-B422-E111B21B2245}</author>
    <author>tc={94D147B6-EF0A-4008-BF53-08CA03228432}</author>
    <author>tc={F3475B61-4122-4E04-B2BE-BA9CD2CB3ED7}</author>
    <author>tc={1D628D86-1E23-4C19-B52F-0DFD3F930AB0}</author>
    <author>tc={2F0A158A-DC60-4317-AFC6-22F0B1C7739A}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tc={A5FA1A3A-7AAC-4E09-83D5-5E841B411663}</author>
    <author>tc={1D0F3F70-07F8-42C2-B71A-FFCC7855E8BE}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tc={4EDDEA8A-2601-4FD8-9A02-55C49029AE5D}</author>
    <author>tc={3468D1BD-F079-4F29-A98D-0170FF27B15D}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tc={8A5DC2D4-1B85-4616-8D7A-D7A90239F89A}</author>
    <author>tc={3619F587-A911-4941-8F8D-403AF7341D42}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tc={124EBE0B-027D-4613-BD10-6C4552BBE878}</author>
    <author>tc={823B2DDD-AE0B-4EBA-97E1-5A34561900C1}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tc={84D72334-0030-44C5-8C8E-91250E951086}</author>
    <author>tc={D76FBA06-6CC7-4868-8047-3B66B7884C0C}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tc={4B59843C-9415-492D-9100-FFEABD1BB4EB}</author>
    <author>tc={39B54E4A-17F7-43BD-B10D-918122A0B934}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tc={BB08AD75-265A-41A6-B47B-EF5C430A9641}</author>
    <author>tc={D1F2CB26-48FD-473B-8685-8B6633875762}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tc={2B31648D-D344-4C12-A765-1C9C9929A60E}</author>
    <author>tc={042D348B-97FE-486B-A1BD-F322D73587DA}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tc={2F5EDAA8-3609-462E-8D17-9E631302F93B}</author>
    <author>tc={D4C562AF-E0FA-4A60-9559-42B54F0DFA4A}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tc={9344D041-CD1D-40AA-8E75-58D68A7F7CF1}</author>
    <author>tc={CE87CD3B-5710-4632-8327-3FCF1F24A7DA}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tc={DA739E3D-3B72-4597-A625-3099F5A23E57}</author>
    <author>tc={5C23F50C-43D6-45C4-9EA4-E555E165D6D1}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tc={66EFB41D-4580-4B3E-92B0-F1D1F904187B}</author>
    <author>tc={6800BCA0-2610-44CF-B56E-4D82C9DAA0BC}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tc={9A0B66E5-DD26-493D-BDC4-E1BDB8BB2BD3}</author>
    <author>tc={6AD92883-418E-4C6B-9C41-12B0237D97A5}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tc={66F7B085-D0F2-4E41-B371-FC0C7FADC63A}</author>
    <author>tc={217D2089-2F4A-4335-A708-C1F9FE78BD82}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tc={BDEF9D8B-D225-4351-9312-DA3B2C2FCE18}</author>
    <author>tc={73F6AE86-F90C-4258-8593-ACC5976199C3}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tc={E5DE9DA0-CF57-4563-AD6B-E900A577C711}</author>
    <author>tc={3D7B497B-D08B-4D35-99F3-A9C0CB580D6B}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tc={B68FB530-CBFD-4658-89D2-CDDD8BDA9E11}</author>
    <author>tc={DB7BD5AE-80EE-48FC-A2C8-F288B42300AB}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tc={10A2FF2F-0EC5-4F81-A26B-9E5FB9F7050D}</author>
    <author>tc={A9780DDC-7214-4D0A-8716-E2F20F27E02F}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tc={8C161D98-4912-46D7-82CA-1AC6D9C026AD}</author>
    <author>tc={089A748F-9870-4F4A-9C10-F7F08CEF4966}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tc={6D065772-0960-4230-BD8F-1442C2A45B24}</author>
    <author>tc={E3F5F159-ACEB-4649-9189-0BB454FB16DA}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tc={6FF1225F-E818-4293-92AE-746AE74F1796}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tc={80C58232-605A-460F-92B2-D8267FE5C1C2}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tc={36B8D749-FA35-4CA7-BB53-1536AB5FEE42}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tc={7CDBC620-DFB2-4B64-B6E9-C00D96871957}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tc={C65F3CF5-288A-49EB-A985-B70A0A4AB80E}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tc={999AA4E4-03DF-4618-9EC9-A83931A649EC}</author>
    <author>tc={67E63634-9E8B-42AF-8EA6-6EB790C0A2CB}</author>
    <author>tc={C2B70FBA-576C-41CE-A8B1-663DB2396ABB}</author>
    <author>tc={A71A3435-D68D-4D53-8C8A-6D9F03CCADC5}</author>
    <author>tc={50E07AE9-E3B2-49EA-B18C-3F29DFEC88A6}</author>
    <author>tc={246FB325-5A0B-4B3D-9211-E8449EE30D9C}</author>
    <author>tc={809D7D23-71AB-4834-B670-E6C626846A08}</author>
    <author>tc={A61C3AFE-6A76-48DA-AEF6-672C1CA3474B}</author>
    <author>tc={4A99B26E-C6C9-4A95-9354-3D7B3160F68E}</author>
    <author>tc={2158555C-D4DF-416E-A11C-3F44BEBC7F88}</author>
    <author>tc={1F1889D9-BF74-421C-9EFE-61E422AE5D1E}</author>
    <author>tc={4F00FB4E-4228-4DE7-9659-3D41DDF1DCAB}</author>
    <author>tc={E2682F74-58D9-4033-9AE2-13F0365B38EF}</author>
    <author>tc={537F7578-405D-48A9-A011-E2A264C49B39}</author>
    <author>tc={292D0B11-84D8-483E-BD97-833D1AE26AF1}</author>
    <author>tc={A8AE9688-CDFF-403F-BE7D-798E6C33E650}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tc={7A26D4B1-6B86-4C23-B623-E1D6DDC11744}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tc={1A8E0C0F-BDE6-410F-93EC-DCE9143659CE}</author>
    <author>tc={F7DF2FA4-A98E-4F78-944C-97FF724DA118}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tc={92F64D34-ECAB-4F21-AA7A-27D5FE9A932E}</author>
    <author>tc={2B0EC822-1E7A-4253-AB6D-E00093BE4C0B}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tc={AEA82161-A5C8-4BD2-BDB3-1F9A88A50431}</author>
    <author>tc={11012A41-5FC0-4C7B-BBC0-A700C2D1CB1B}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tc={53963812-095B-4898-BC2B-39F790B3C186}</author>
    <author>tc={12293EAE-9E71-4AED-BCAD-967E0660E192}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tc={7FCB15FD-0A9B-48DD-810D-BF6E6BD0422F}</author>
    <author>tc={1ADA637E-9129-4293-889C-E4552C0422C2}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tc={7B330927-92F6-475B-8AFC-08FAA432DFC4}</author>
    <author>tc={EAEDC70E-EA55-4553-8AB1-F6E771C44E78}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tc={8C220044-A9A4-48FA-931C-8BB0BDA330A3}</author>
    <author>tc={6E0A653B-0C2D-432F-A4FB-6BB2F3D310DA}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tc={F04D0D89-98C6-4048-BA56-CC152405FC89}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tc={6A51A96C-D6AD-4897-B6CB-0E7CA2AD9803}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tc={0D61E097-367C-45B8-A34C-8D9F59031D5E}</author>
    <author>tc={12D8E619-3733-464F-B164-A4D8E8EF5F52}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tc={F76EBAFC-6F24-459E-B2CA-6A1D4096ADC1}</author>
    <author>tc={61DDD26C-E2FE-4F75-BCE1-3DE9A9E09F16}</author>
    <author>tc={0BBE2631-5385-4864-8B82-BD5C4676C2D0}</author>
    <author>tc={9AACF866-3835-4BD9-9295-7F18B883A124}</author>
    <author>tc={63A48C45-A42B-4DD4-B828-8E12085596F3}</author>
    <author>tc={C0D81A7C-3825-4499-BE33-8C3ED954B19E}</author>
    <author>tc={9DAB514B-A547-47BB-A246-CE439E09C774}</author>
    <author>tc={3CF4A8AC-F0E8-4EF4-868D-6F5059479ADD}</author>
    <author>tc={B9BD7590-E77F-47BD-8EC3-420EC890A7F4}</author>
    <author>tc={C725B73C-FB26-4397-8326-77F93BD3DD5A}</author>
    <author>tc={1D26A78A-515C-48F5-ABF7-654478AB7523}</author>
    <author>tc={D84B3A2F-85A6-4D20-A5C6-26F0E94ECC64}</author>
    <author>tc={E85F2EA6-110E-4397-A9BB-636C91FD0512}</author>
    <author>tc={F4DB70F6-B1F0-4258-8281-02D3B8A2C442}</author>
    <author>tc={93D65A58-3DD8-41CA-B2A5-C19F8F025092}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tc={501A85A2-4FBD-40DD-8655-3A418ED69E74}</author>
    <author>tc={BBBB1376-334C-4CC4-9BDC-98DC6EE9B525}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tc={6105B2EC-A514-4F07-9398-B0ADB3024B27}</author>
    <author>tc={9EBA1961-C3E8-40A3-8CCB-E1D46924DD25}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tc={F49F7060-D0E3-4065-8DAB-05A8D272460F}</author>
    <author>tc={9DDC5B1F-1B20-4BA5-A02C-7A8F59C8E599}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tc={8C090661-76D4-43AF-9EFA-D19BF219DD67}</author>
    <author>tc={D6377102-DB3D-4232-A224-2674264E62DB}</author>
    <author>tc={2560F414-3469-4E8D-A91A-8A6360DEC9BD}</author>
    <author>tc={B4C6D9B6-285A-499F-8861-958778B977E1}</author>
    <author>tc={8AD41FBD-0115-4379-AA7F-99F5D5CA34E6}</author>
    <author>tc={C742E7A5-EE50-450A-ACA1-202FE34CA944}</author>
    <author>tc={86D095F2-0C73-499A-8337-F0F0319395E1}</author>
    <author>tc={6396EA77-1AAF-4D39-839F-F812E5C9D4ED}</author>
    <author>tc={CE2E525C-1843-47F6-9B4F-3853033EC888}</author>
    <author>tc={E6E3528C-8B58-4419-B1F9-E13542C9DB32}</author>
    <author>tc={647DA4A7-EAF3-4940-9C35-4ABE30BB8472}</author>
    <author>tc={28575C00-EC5D-4FE6-BFC0-0FAAA700C706}</author>
    <author>tc={4639A587-7249-4DFB-A84D-C0EEDA7E5E7A}</author>
    <author>tc={FACBADBE-0864-4D70-B207-33242BBF12F8}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tc={8AC55EC7-F34B-4F2F-BD38-CCB16FF4A070}</author>
    <author>tc={86417402-4CA2-4919-BE88-15D5DAFE83F4}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tc={00DA6F2B-A751-46F1-BFF3-F4B5514D55D2}</author>
    <author>tc={A7532D90-0B59-44DB-8AB9-014920CB6998}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tc={A6854B33-B365-4051-889B-19100EB34146}</author>
    <author>tc={FE461655-2815-4A99-A696-5B708103D1D2}</author>
    <author>tc={5B324C1C-3217-433A-9239-B064F76E0F29}</author>
    <author>tc={822489F1-7CCC-46C6-9522-B54B6DAE5EEE}</author>
    <author>tc={666DDB52-2866-41D0-B4D7-ACFB6925723E}</author>
    <author>tc={89152931-CCF7-432E-96D2-75540ADBD7BB}</author>
    <author>tc={14824E1F-8267-417C-8744-D4B674452ED8}</author>
    <author>tc={4EA16459-99BB-490E-97F3-DFE68D1DE908}</author>
    <author>tc={4707CE78-1AEB-465D-9B2A-93CB967E6445}</author>
    <author>tc={65CAA1BD-75FA-41DE-9B92-3ADE3157B848}</author>
    <author>tc={57CF906B-AB3B-4C52-BE34-3438F2A4FF5F}</author>
    <author>tc={C44A5188-CE73-4746-A79E-EEC124CCFA6F}</author>
    <author>tc={A76D871C-08AB-4B47-A9A2-0568EF0890FB}</author>
    <author>tc={F6C21FF8-C29C-41F6-B4A8-94AF3AB16329}</author>
    <author>tc={4276939C-798F-43B6-AFEA-AA6714C6B1CA}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tc={5CC7F1AA-AEBF-49EB-9B41-7D09E61FB147}</author>
    <author>tc={0F54808A-9F9A-40AB-8707-C38E98EF361F}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tc={60A23BAD-8271-477B-8C74-39B749F8575E}</author>
    <author>tc={D9D23F6A-B9A8-45D0-BF06-D3BC55455374}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tc={4F913E7B-9D2A-415A-8FEC-BF1E467A4F16}</author>
    <author>tc={911D2427-CC56-4DFD-AC40-475B794A88B8}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tc={8E810622-1327-4BAB-8796-A1D1C00EBAED}</author>
    <author>tc={B2BC29BB-31B5-4F0A-874B-9BCF9DE9D70B}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tc={4FC4855B-B489-4F2C-8338-0E8C2038F0C9}</author>
    <author>tc={4806193E-E0AA-4A98-A7ED-75939E842384}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tc={7A6A03AB-9FB7-4822-88D2-B69F1656C860}</author>
    <author>tc={6C2CBF43-F822-428F-B2BC-8E41255BF2DC}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tc={27B620E0-9752-488D-85E4-C8E5B6B6CAF3}</author>
    <author>tc={93EA380E-5752-456E-ADA8-186FC071C2B5}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tc={C2049B54-843B-4255-A789-5BE9E3DDAA55}</author>
    <author>tc={6541EFC4-FFCE-42CE-A853-CD24E79954D0}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tc={1BE31173-728D-4F43-9AAB-40D833B1525E}</author>
    <author>tc={9DDA4A9D-BE22-4480-A91D-09BDB19C3CC5}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tc={F75657C6-3558-4B40-8F63-D6600BA10557}</author>
    <author>tc={50E98F8E-6194-48D0-9BEE-9B60469357E1}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tc={A9B86CA5-8905-47E1-9FE9-B5096B654503}</author>
    <author>tc={94E5AF27-2D68-4612-B886-71172634F4AF}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tc={5BA9A309-105E-4FAE-A1FC-D8175B3EC4BE}</author>
    <author>tc={446566FC-3EAA-4A95-8A6F-FBAB272757C7}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tc={B149142F-EA85-47B9-87D2-B0E335E2E5C4}</author>
    <author>tc={80152AE0-7A9E-447A-805D-3DF9065B0E38}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tc={EDE99BEF-F48B-4D35-9DA4-F0104DE4BDDF}</author>
    <author>tc={2E00A9B5-9335-4BAE-AFCA-55F669A6A21F}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tc={CE653C7C-A806-4013-99F6-D4578BC78FF8}</author>
    <author>tc={A84AE108-310C-493B-B8AB-9BDE9E9EE33A}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tc={2A141B49-F976-4ECC-9846-10F69199413D}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tc={749A0105-470D-46A7-B357-B72E1F0749CF}</author>
    <author>tc={76DBDC2E-31D2-46B5-BE36-149134668A42}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tc={818F6D35-C7CD-4194-AF88-76740B4981E1}</author>
    <author>tc={351037D9-A076-4B34-AE9C-308EE0874224}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tc={C07BB1EC-1CF1-432B-80A5-BC15016D68B6}</author>
    <author>tc={54AE95BD-37AA-4AC9-84E4-F6E2EFA8B0D3}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tc={A893B35B-9A6A-4060-AE82-E5700B0757D9}</author>
    <author>tc={94EC975F-CA0D-4179-97E6-223F2DBE3A1C}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tc={1471DB18-F19F-4E55-BEB3-62E1109094BF}</author>
    <author>tc={37841089-F94B-48FD-8C35-A869A79B4135}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tc={E1AEDE5A-409C-48E3-AF30-629ECDBB9AAD}</author>
    <author>tc={33D190F8-2824-4473-A356-805439E9C39E}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tc={7C7DEE89-0338-469E-A666-5AEE4B5667F5}</author>
    <author>tc={16DB35FF-7203-4D13-AC50-22E226FF11BF}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tc={72D2D471-4C77-44A3-8F16-A4CDB11ED589}</author>
    <author>tc={5AE2C6C2-D6A7-4752-BF59-4ABC7D8AE00A}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tc={16C7DABA-922A-4ECF-BD4E-00B0DB208F4D}</author>
    <author>tc={54533ADD-C133-498F-81F7-2CA11CC820E7}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tc={1476B8FB-94F1-43F9-81CF-C2C5CC5038F5}</author>
    <author>tc={8EF12030-30A7-4651-8EE2-126CBA099F08}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tc={AB962FE3-839B-451E-A4A0-87EDD822823B}</author>
    <author>tc={C17F4CA0-7CB5-49D3-9B6F-E7F3814C2D40}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tc={13FEBA0F-9BFC-4555-8C69-B6230AB70978}</author>
    <author>tc={5F96545A-D070-48EE-AF38-758C5C5EA29E}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tc={A9620C34-85BF-4E56-A97C-FD182CFD6727}</author>
    <author>tc={3DB6EB74-7981-433C-A33C-D4C4C67D3ADE}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tc={543B4C81-3099-4762-AF0E-96436BB6DD6F}</author>
    <author>tc={4851EA70-5E18-469E-A5F7-454302D9E917}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tc={27157B35-0509-4038-B601-7349641DEAF5}</author>
    <author>tc={819B0D31-0990-43C5-8D34-416109D43163}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tc={23976395-AFF9-43D2-9F0C-DAC7B65F6538}</author>
    <author>tc={80EF6959-9C25-4FCD-892F-6E9955C49FB4}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tc={E0D53ED3-FC67-47B7-80CB-3A43C8B9A457}</author>
    <author>tc={576AB5A8-A2C3-4915-A08F-8BAA867A70BE}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tc={A7013CDC-0DE2-4CD1-B7E5-AC3F29909149}</author>
    <author>tc={132B2547-F55D-4375-9492-90134346F826}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tc={3A05F679-76CF-47D9-B740-DA4ECDE14336}</author>
    <author>tc={0C772C7F-76F4-48F9-BCB6-5E40CE25616D}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tc={874619C2-A6A2-4E68-8FF6-44D40D6B17A0}</author>
    <author>tc={4C1756D7-E150-44E7-AA0D-6E967563E35D}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tc={42D15010-A91E-45AC-BDBA-BFA7A20CFA6A}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tc={7B1AA2A0-BD37-4B19-AA0B-F4E349485E60}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tc={10BBD272-DD03-493B-B203-1052D666CC5F}</author>
    <author>tc={FD752E4F-1ED6-4D3E-9899-F8DD92D46712}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tc={8A67163D-F711-492F-B403-2D77BD341958}</author>
    <author>tc={1889950C-4487-4814-93E0-03BB0C921D75}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tc={856DDBCC-7D52-4A9C-B853-05830761CA0B}</author>
    <author>tc={D8735571-5374-4070-8B8E-11C824424F1A}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tc={BDD35CF7-3711-4363-8C7B-368E6905F044}</author>
    <author>tc={28B97308-905B-4347-B34C-BA85A67338F0}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tc={373B8797-54D6-40E3-AA32-825025893B5E}</author>
    <author>tc={D9CE9D80-7772-477F-96EC-DF16C23FE7B5}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tc={342DF709-954A-4E40-B5B8-FE08796AE67E}</author>
    <author>tc={7D59CBF8-E2BB-4756-9E71-B6A21FC0A1B6}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tc={E7C0E8FD-8569-4912-B948-509C66C1862E}</author>
    <author>tc={81E068B7-A640-4F1C-B7DB-97CC13042263}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tc={3B3B3F9C-72A5-41A0-85B6-221BB75DEFAF}</author>
    <author>tc={BDF3D88A-23B9-4CEA-8AF6-B6A59B8687CA}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tc={5BD7C2DD-1A2A-4FD7-A5AC-650CEFEE7063}</author>
    <author>tc={C8CE1ED7-F90D-471E-8958-C81C585753E7}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tc={3260D0C5-3684-48E1-A66F-41ED21BB040F}</author>
    <author>tc={D2A9FFDD-1B95-4B1F-90C5-E4DBB0C4B4B2}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tc={17DB3F65-5314-45E3-BD31-68BB67A59F5A}</author>
    <author>tc={BF6B728D-B5FA-45BE-9E51-9F00D9EE6634}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tc={76229769-6504-429E-84D2-876BC077977B}</author>
    <author>tc={FCA51EDA-BDE5-4973-86E3-C3C7D9A79FFB}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tc={2A0E6BA3-B0AD-4B93-8E2E-E043539960FC}</author>
    <author>tc={B9F3FC91-3E8E-4CAE-8D7E-F5975D83E866}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tc={D7206317-4246-40E9-816B-E15CA6BDBE91}</author>
    <author>tc={F16F113A-B916-4B7D-AC96-87C30238205C}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tc={DD28DEFF-68AC-49A1-8190-9180702010A5}</author>
    <author>tc={A3336A9F-F6AB-426B-944F-721B569FC65A}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tc={C2727D96-113C-4734-B597-D36F8268A666}</author>
    <author>tc={2212B361-AB6C-45FC-948E-CCC963491569}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tc={5AA56723-8C3B-4523-9B82-AB8BF6C8C874}</author>
    <author>tc={BA6FEA2C-0A22-4108-AB89-F44576E8B5AB}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tc={05C99628-9075-4417-A284-3F459EF04E3C}</author>
    <author>tc={503BE51E-A1F2-4E5A-977D-C7941EDE48E4}</author>
  </authors>
  <commentList>
    <comment ref="Z10" authorId="0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 xr:uid="{97917BEB-36FE-4ACA-8D73-8A5C1BCD8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 xr:uid="{39FE8226-AF04-4575-B410-8DC2A26F838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0" authorId="5" shapeId="0" xr:uid="{62B818D8-E422-437A-AADA-844037255C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0" authorId="6" shapeId="0" xr:uid="{06E220A4-9492-40CB-B43A-A94F15AC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7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8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9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10" shapeId="0" xr:uid="{C136B01B-B0B4-4589-BC6D-EEA050A56D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1" authorId="11" shapeId="0" xr:uid="{5774568B-9C6A-4FBA-87AA-7E09E31255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1" authorId="12" shapeId="0" xr:uid="{E0CC0F8E-F167-4F0E-9A71-203AB79AE1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3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4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5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6" shapeId="0" xr:uid="{5A8DF23D-056D-4F5A-AD9F-BC9200A517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2" authorId="17" shapeId="0" xr:uid="{90EBB90B-D473-45B6-B2CE-D0B384E0FD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2" authorId="18" shapeId="0" xr:uid="{34118B56-2599-4082-A89A-59EA956B10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9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20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21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22" shapeId="0" xr:uid="{7702CBD5-E14D-41C8-8544-5EDAB69DED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3" authorId="23" shapeId="0" xr:uid="{AC72218E-1B69-404C-9298-66BEB4C95A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3" authorId="24" shapeId="0" xr:uid="{06CA9A34-601B-491C-A30B-A3DF1C13DF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5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6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7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8" shapeId="0" xr:uid="{4DDBA288-3D5F-45A5-9E0B-0D6F23E99E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4" authorId="29" shapeId="0" xr:uid="{27D1840D-F1CC-48B9-8708-6E20ABD2C2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4" authorId="30" shapeId="0" xr:uid="{941FB6ED-7B7A-4C52-981C-33F1DBA921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31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32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33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34" shapeId="0" xr:uid="{5B217283-0ED3-4D06-8859-3694B88946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5" authorId="35" shapeId="0" xr:uid="{9ED35F9A-1881-4BFF-BAC7-46176F859A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5" authorId="36" shapeId="0" xr:uid="{AB456B9D-2998-45B0-B566-0DDDED0972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7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8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9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40" shapeId="0" xr:uid="{B7A2E25A-D1F9-4401-ACC8-6AA5B77E94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H16" authorId="41" shapeId="0" xr:uid="{37A1F069-014B-4468-A5AB-6DB9786C73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6" authorId="42" shapeId="0" xr:uid="{8D8AF9A2-FF6D-4CAB-8B9E-76835B7498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43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44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45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46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7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8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9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50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51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52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53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54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55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56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7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8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9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60" shapeId="0" xr:uid="{1901FA0B-9095-4A4D-ADCD-63B2844648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H17" authorId="61" shapeId="0" xr:uid="{05F66FD9-B676-4E68-A2B3-5D6A6772376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62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63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64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65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66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67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8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9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70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71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72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73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74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75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76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77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8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9" shapeId="0" xr:uid="{4455BE66-9121-4172-A40A-87E1D607EE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80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81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82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83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84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85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86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87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8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9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90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91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92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93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94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95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96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97" shapeId="0" xr:uid="{9B13738D-0B32-46ED-93C4-48696A43E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8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9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100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101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102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103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104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105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106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107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8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9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10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11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12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13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14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15" shapeId="0" xr:uid="{CEEF37D3-FB12-4E6C-9C75-6DFF40697E7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16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17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8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9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20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21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22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23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24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25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26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27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8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9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30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31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32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33" shapeId="0" xr:uid="{29693776-7223-4FED-A1C1-E415073A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34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35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36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37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8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9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40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41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42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43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44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45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46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47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8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9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50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51" shapeId="0" xr:uid="{F0D78132-EB5D-4CFE-B83A-A3F4D9741F3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52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53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54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55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56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57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8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9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60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61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62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63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64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65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66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67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8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9" shapeId="0" xr:uid="{A22910A6-2FC7-44EC-A85C-33CBC1FB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70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71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72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73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74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75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76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77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8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9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80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81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82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83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84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85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86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87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8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9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90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91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92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93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94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95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96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97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8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9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200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201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202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203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204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205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206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207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8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9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10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11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12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13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14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15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16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17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8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9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20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21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22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23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24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25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26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27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8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9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30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31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32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33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34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35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36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37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8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9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40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41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42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43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44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45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46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47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8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9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50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51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52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53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54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55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56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57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8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9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60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61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62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63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64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65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66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67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8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9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70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71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72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73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74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75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76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77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8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9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80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81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82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83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84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85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86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87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8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9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90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91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92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93" shapeId="0" xr:uid="{37C6465B-3DFF-47C6-8AB5-452A2E91D7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94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95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96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97" shapeId="0" xr:uid="{CFED3394-5724-48D1-98A0-EFE43258DD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8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9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300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301" shapeId="0" xr:uid="{4AAD2555-5438-4D77-82F0-159F57B7EA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302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303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304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305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306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307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8" shapeId="0" xr:uid="{4D90FF23-A3FB-4785-A25C-92E77362D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9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10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11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12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13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14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15" shapeId="0" xr:uid="{9335B184-E681-4271-8FA7-13D7006529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16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17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8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9" shapeId="0" xr:uid="{B6F0B622-9AF7-4259-92EE-E002E15813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20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21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22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23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24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25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26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27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8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9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30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31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32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33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34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35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36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37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8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9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40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41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42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43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44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45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46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47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8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9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50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51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52" shapeId="0" xr:uid="{9961F120-CCD8-4780-B07A-78BF83FD79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53" shapeId="0" xr:uid="{C24F3626-6276-47B9-B813-DDB55D9007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0" authorId="354" shapeId="0" xr:uid="{392B7A23-B8ED-4511-BC33-73EDBF0E02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0" authorId="355" shapeId="0" xr:uid="{CC76EC8D-B4E2-4D96-ABDB-56CE79B9EE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56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57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58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9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60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61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62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63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64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65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66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67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68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9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70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71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72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73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74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75" shapeId="0" xr:uid="{6829AD9E-8663-42B6-99CC-BF3626F738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1" authorId="376" shapeId="0" xr:uid="{CE359EAC-D141-4282-83BF-3992BB15372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1" authorId="377" shapeId="0" xr:uid="{029DE5F8-4488-4129-9C58-90CE07B155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7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7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8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8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8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8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8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8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8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8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8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8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9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9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9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9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9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9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9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97" shapeId="0" xr:uid="{D1A33E18-5F5F-4E6E-B4B3-591734C0A1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2" authorId="398" shapeId="0" xr:uid="{23A4F92F-6C50-4F3B-8852-5B5117DB9E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2" authorId="399" shapeId="0" xr:uid="{EABA0384-81FC-4C05-A9A1-F509D40C3E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400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401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402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403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404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405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406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407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408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409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410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11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12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13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14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15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16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17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18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19" shapeId="0" xr:uid="{AE4BB25F-A8B4-4593-9D6C-DB6DF75049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3" authorId="420" shapeId="0" xr:uid="{890D0C99-579B-40AA-98E9-361EFCB4418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3" authorId="421" shapeId="0" xr:uid="{2DB72063-C5ED-424A-9ED6-799ADBD528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22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23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24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25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26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27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28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29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30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31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32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33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34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35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36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37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38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39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40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41" shapeId="0" xr:uid="{B51C8642-8677-4F78-A5E3-2FFE5305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4" authorId="442" shapeId="0" xr:uid="{F10F9807-D606-47DE-8424-3FA5013DE6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4" authorId="443" shapeId="0" xr:uid="{68D7ECC6-2AF3-4B0F-9745-1A9F03AF8F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44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45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46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47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48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49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50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51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52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53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54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55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56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57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58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59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60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61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62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63" shapeId="0" xr:uid="{ABBC02E6-C187-4CDA-84F8-986C9081B9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5" authorId="464" shapeId="0" xr:uid="{13D531C0-1CC0-45F0-BAFA-2A0E4609ADF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5" authorId="465" shapeId="0" xr:uid="{C6E35DA7-E10F-4A3F-9355-6DD657D5E1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66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67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68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69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70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71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72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73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74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75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76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77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78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79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80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81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82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83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84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85" shapeId="0" xr:uid="{D9F811BB-830A-4478-9624-794BF9A317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H116" authorId="486" shapeId="0" xr:uid="{36CAF0C5-1209-4822-95CD-CE62BD95DE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6" authorId="487" shapeId="0" xr:uid="{9A56EFCC-1686-426A-A43A-A1778DFE35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88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89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90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91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92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93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94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95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96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97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98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99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500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501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502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503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504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505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506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507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508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509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510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511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512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513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514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15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16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17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18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19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20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21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22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23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24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25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26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27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28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29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30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31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32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33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34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35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36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37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38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1" authorId="539" shapeId="0" xr:uid="{5A4ABBC4-3C88-40E6-9D01-82F45A3616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40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41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42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43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44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45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46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47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48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49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50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51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52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53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54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55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56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57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58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59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60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61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62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63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64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65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66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67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68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69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70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71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72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73" shapeId="0" xr:uid="{A84A1433-68E3-4B0E-9BB8-3424387A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74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75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76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77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78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79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80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81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82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83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84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85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86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87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88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89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90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91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92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93" shapeId="0" xr:uid="{6800BAE8-56D9-4ECC-B8B9-873BEFA3DC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94" shapeId="0" xr:uid="{94DA86E5-3BD6-4692-9C50-9F24E4454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6" authorId="595" shapeId="0" xr:uid="{2CEDD1D9-F4C9-49F2-AC38-546E69E9B9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6" authorId="596" shapeId="0" xr:uid="{F2207445-76A2-4B41-ACAC-D2991E05CB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97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98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99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600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601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602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603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604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605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606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607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608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609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610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611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612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613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614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615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16" shapeId="0" xr:uid="{7955038F-D97A-4D45-9FEB-955D381F6F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17" shapeId="0" xr:uid="{D05B7C4E-624D-45F9-8EA6-92BE60AB4E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7" authorId="618" shapeId="0" xr:uid="{0C643D50-F608-4261-AF21-166ADF595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7" authorId="619" shapeId="0" xr:uid="{212854EB-D4A5-4C29-B8C5-BA0240A149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20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21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22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23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24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25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26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27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28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29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30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31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32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33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34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35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36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37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38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39" shapeId="0" xr:uid="{6F991FA3-B1E0-48D7-8B35-C8AF5B745E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40" shapeId="0" xr:uid="{6D459372-F429-4DB5-9403-154898CC4A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8" authorId="641" shapeId="0" xr:uid="{88ADA75A-F1BE-4FC2-A6D4-E9249155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8" authorId="642" shapeId="0" xr:uid="{B05F80F2-9BE9-4D4B-B720-5AF08917956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43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44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45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46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47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48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49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50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51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52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53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54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55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56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57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58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59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60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61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62" shapeId="0" xr:uid="{40DB71FD-795B-4CC1-A7CE-C0E221C343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63" shapeId="0" xr:uid="{62B5D616-6022-420F-BE7B-C3900EC83A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29" authorId="664" shapeId="0" xr:uid="{51B82B9C-3C22-4894-93A3-D2820C9DAEF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9" authorId="665" shapeId="0" xr:uid="{89091643-6C61-4E86-90BF-C00717D5E9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66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J130" authorId="667" shapeId="0" xr:uid="{94D147B6-EF0A-4008-BF53-08CA032284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68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69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J131" authorId="670" shapeId="0" xr:uid="{2F0A158A-DC60-4317-AFC6-22F0B1C773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71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72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73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74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75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76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77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78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79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80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81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82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83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84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85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86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87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88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89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90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91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92" shapeId="0" xr:uid="{496F0FAD-5B44-4857-B84E-607F30C2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93" shapeId="0" xr:uid="{9077832B-98AB-4E2A-B1FC-D23E4DBFF9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0" authorId="694" shapeId="0" xr:uid="{A5FA1A3A-7AAC-4E09-83D5-5E841B4116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0" authorId="695" shapeId="0" xr:uid="{1D0F3F70-07F8-42C2-B71A-FFCC7855E8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96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97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98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99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700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701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702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703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704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705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706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707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708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709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710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711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712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713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714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715" shapeId="0" xr:uid="{158B70D7-8B59-463F-96C8-701DEA98EC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1" authorId="716" shapeId="0" xr:uid="{4EDDEA8A-2601-4FD8-9A02-55C49029A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1" authorId="717" shapeId="0" xr:uid="{3468D1BD-F079-4F29-A98D-0170FF27B1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718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719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720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21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22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23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24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25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26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27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28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29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30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31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32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33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34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35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36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37" shapeId="0" xr:uid="{7815D147-0C9A-4A42-B734-82E7660A9F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2" authorId="738" shapeId="0" xr:uid="{8A5DC2D4-1B85-4616-8D7A-D7A90239F8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2" authorId="739" shapeId="0" xr:uid="{3619F587-A911-4941-8F8D-403AF7341D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40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41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42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43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44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45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46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47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48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49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50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51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52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53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54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55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56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57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58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59" shapeId="0" xr:uid="{5A852616-1E83-4195-A11D-162E20562A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3" authorId="760" shapeId="0" xr:uid="{124EBE0B-027D-4613-BD10-6C4552BBE8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3" authorId="761" shapeId="0" xr:uid="{823B2DDD-AE0B-4EBA-97E1-5A34561900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62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63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64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65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66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67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68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69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70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71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72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73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74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75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76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77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78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79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80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81" shapeId="0" xr:uid="{1C247675-BD66-47D0-9928-F22239767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4" authorId="782" shapeId="0" xr:uid="{84D72334-0030-44C5-8C8E-91250E95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4" authorId="783" shapeId="0" xr:uid="{D76FBA06-6CC7-4868-8047-3B66B7884C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84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85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86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87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88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89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90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91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92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93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94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95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96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97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98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99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800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801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802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803" shapeId="0" xr:uid="{DB336F74-B043-44EA-BCBC-A4BA8D6B76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5" authorId="804" shapeId="0" xr:uid="{4B59843C-9415-492D-9100-FFEABD1BB4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5" authorId="805" shapeId="0" xr:uid="{39B54E4A-17F7-43BD-B10D-918122A0B9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806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807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808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809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810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811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812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813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814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815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816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817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818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819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820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821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822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823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824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25" shapeId="0" xr:uid="{4B6BD5EE-E71C-4EF6-AD8E-C5E317F6FC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6" authorId="826" shapeId="0" xr:uid="{BB08AD75-265A-41A6-B47B-EF5C430A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6" authorId="827" shapeId="0" xr:uid="{D1F2CB26-48FD-473B-8685-8B66338757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28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29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30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31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32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33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34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35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36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37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38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39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40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41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42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43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44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45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46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47" shapeId="0" xr:uid="{FA8D1A66-A38C-48AE-8363-B77D5B2F24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7" authorId="848" shapeId="0" xr:uid="{2B31648D-D344-4C12-A765-1C9C9929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7" authorId="849" shapeId="0" xr:uid="{042D348B-97FE-486B-A1BD-F322D73587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50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51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52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53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54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55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56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57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58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59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60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61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62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63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64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65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66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67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68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69" shapeId="0" xr:uid="{2A05906A-964E-44CC-860D-9AEAE70477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8" authorId="870" shapeId="0" xr:uid="{2F5EDAA8-3609-462E-8D17-9E631302F9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8" authorId="871" shapeId="0" xr:uid="{D4C562AF-E0FA-4A60-9559-42B54F0DF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72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73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74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75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76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77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78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79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80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81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82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83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84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85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86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87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88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89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90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91" shapeId="0" xr:uid="{173AF980-D14F-4583-AA01-BF010795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49" authorId="892" shapeId="0" xr:uid="{9344D041-CD1D-40AA-8E75-58D68A7F7C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9" authorId="893" shapeId="0" xr:uid="{CE87CD3B-5710-4632-8327-3FCF1F24A7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94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95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96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97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98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99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900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901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902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903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904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905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906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907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908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909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910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911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912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913" shapeId="0" xr:uid="{1768DD20-351F-4C54-8BEE-F422B3855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0" authorId="914" shapeId="0" xr:uid="{DA739E3D-3B72-4597-A625-3099F5A23E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0" authorId="915" shapeId="0" xr:uid="{5C23F50C-43D6-45C4-9EA4-E555E165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916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917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918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919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920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921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922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923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924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925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926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927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928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929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30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31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32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33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34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35" shapeId="0" xr:uid="{4C4914E0-6B65-4B96-A626-05BF0116E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1" authorId="936" shapeId="0" xr:uid="{66EFB41D-4580-4B3E-92B0-F1D1F90418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1" authorId="937" shapeId="0" xr:uid="{6800BCA0-2610-44CF-B56E-4D82C9DAA0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38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39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40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41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42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43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44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45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46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47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48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49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50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51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52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53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54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55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56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57" shapeId="0" xr:uid="{3D9E2EAB-EA1B-4C27-8888-40DF1210E5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2" authorId="958" shapeId="0" xr:uid="{9A0B66E5-DD26-493D-BDC4-E1BDB8BB2B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2" authorId="959" shapeId="0" xr:uid="{6AD92883-418E-4C6B-9C41-12B0237D97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60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61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62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63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64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65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66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67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68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69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70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71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72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73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74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75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76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77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78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79" shapeId="0" xr:uid="{87988DF6-E520-47BD-8E67-FAE27EE4FE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3" authorId="980" shapeId="0" xr:uid="{66F7B085-D0F2-4E41-B371-FC0C7FADC6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3" authorId="981" shapeId="0" xr:uid="{217D2089-2F4A-4335-A708-C1F9FE78BD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82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83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84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85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86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87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88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89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90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91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92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93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94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95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96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97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98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99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1000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1001" shapeId="0" xr:uid="{7E421059-79DC-4811-AD6F-50ABC448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4" authorId="1002" shapeId="0" xr:uid="{BDEF9D8B-D225-4351-9312-DA3B2C2FCE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4" authorId="1003" shapeId="0" xr:uid="{73F6AE86-F90C-4258-8593-ACC5976199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1004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1005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1006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1007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1008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1009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1010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1011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1012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1013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1014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1015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1016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1017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1018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1019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1020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1021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1022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1023" shapeId="0" xr:uid="{EA2997BD-1E00-4409-9FFB-D2F09D1065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5" authorId="1024" shapeId="0" xr:uid="{E5DE9DA0-CF57-4563-AD6B-E900A577C7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5" authorId="1025" shapeId="0" xr:uid="{3D7B497B-D08B-4D35-99F3-A9C0CB580D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1026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1027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1028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1029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1030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1031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1032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1033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1034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35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36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37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38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39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40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41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42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43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44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45" shapeId="0" xr:uid="{B63965E1-399D-45F2-93FC-A4FC42A298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6" authorId="1046" shapeId="0" xr:uid="{B68FB530-CBFD-4658-89D2-CDDD8BDA9E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6" authorId="1047" shapeId="0" xr:uid="{DB7BD5AE-80EE-48FC-A2C8-F288B42300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48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49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50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51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52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53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54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55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56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57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58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59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60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61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62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63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64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65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66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67" shapeId="0" xr:uid="{CA4C9B30-CE05-44B6-9A57-81542CACB8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7" authorId="1068" shapeId="0" xr:uid="{10A2FF2F-0EC5-4F81-A26B-9E5FB9F705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7" authorId="1069" shapeId="0" xr:uid="{A9780DDC-7214-4D0A-8716-E2F20F27E0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70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71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72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73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74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75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76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77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78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79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80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81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82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83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84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85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86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87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88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89" shapeId="0" xr:uid="{B30F6976-7D76-4B49-BBDF-2A467C495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8" authorId="1090" shapeId="0" xr:uid="{8C161D98-4912-46D7-82CA-1AC6D9C0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8" authorId="1091" shapeId="0" xr:uid="{089A748F-9870-4F4A-9C10-F7F08CEF49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92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93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94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95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96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97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98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99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100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101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102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103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104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105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106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107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108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109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110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111" shapeId="0" xr:uid="{60EEE4E5-FD08-454C-B9EF-64F142004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H159" authorId="1112" shapeId="0" xr:uid="{6D065772-0960-4230-BD8F-1442C2A45B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9" authorId="1113" shapeId="0" xr:uid="{E3F5F159-ACEB-4649-9189-0BB454FB16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114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115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116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117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118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119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120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121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122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123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124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125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126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127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128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129" shapeId="0" xr:uid="{D6A5CB3E-0C48-4F39-968B-7E596D917A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130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131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132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133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134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135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136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137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138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39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40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41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J168" authorId="1142" shapeId="0" xr:uid="{6FF1225F-E818-4293-92AE-746AE74F179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43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44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45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46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47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69" authorId="1148" shapeId="0" xr:uid="{80C58232-605A-460F-92B2-D8267FE5C1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49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50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51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52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53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54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55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0" authorId="1156" shapeId="0" xr:uid="{36B8D749-FA35-4CA7-BB53-1536AB5FEE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57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58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59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60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61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62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63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64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65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1" authorId="1166" shapeId="0" xr:uid="{7CDBC620-DFB2-4B64-B6E9-C00D968719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67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68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69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70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71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72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73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74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75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76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77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3" authorId="1178" shapeId="0" xr:uid="{C65F3CF5-288A-49EB-A985-B70A0A4AB8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79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80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81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82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83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84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H176" authorId="1185" shapeId="0" xr:uid="{999AA4E4-03DF-4618-9EC9-A83931A649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6" authorId="1186" shapeId="0" xr:uid="{67E63634-9E8B-42AF-8EA6-6EB790C0A2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177" authorId="1187" shapeId="0" xr:uid="{C2B70FBA-576C-41CE-A8B1-663DB2396AB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7" authorId="1188" shapeId="0" xr:uid="{A71A3435-D68D-4D53-8C8A-6D9F03CCAD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78" authorId="1189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78" authorId="1190" shapeId="0" xr:uid="{246FB325-5A0B-4B3D-9211-E8449EE30D9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8" authorId="1191" shapeId="0" xr:uid="{809D7D23-71AB-4834-B670-E6C6268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79" authorId="1192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79" authorId="1193" shapeId="0" xr:uid="{4A99B26E-C6C9-4A95-9354-3D7B3160F6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79" authorId="1194" shapeId="0" xr:uid="{2158555C-D4DF-416E-A11C-3F44BEBC7F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0" authorId="1195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80" authorId="1196" shapeId="0" xr:uid="{4F00FB4E-4228-4DE7-9659-3D41DDF1DC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80" authorId="1197" shapeId="0" xr:uid="{E2682F74-58D9-4033-9AE2-13F0365B3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1" authorId="1198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AH181" authorId="1199" shapeId="0" xr:uid="{292D0B11-84D8-483E-BD97-833D1AE26A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181" authorId="1200" shapeId="0" xr:uid="{A8AE9688-CDFF-403F-BE7D-798E6C33E6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2" authorId="1201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202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203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204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205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206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207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208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209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210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211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212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213" shapeId="0" xr:uid="{48706896-B1EE-489D-9AA0-B24778C60F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J204" authorId="1214" shapeId="0" xr:uid="{7A26D4B1-6B86-4C23-B623-E1D6DDC117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215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216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217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218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219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220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221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222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223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224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225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226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227" shapeId="0" xr:uid="{76F3F3BA-1A37-486D-AB69-FFEDB40AEF5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2" authorId="1228" shapeId="0" xr:uid="{1A8E0C0F-BDE6-410F-93EC-DCE9143659C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2" authorId="1229" shapeId="0" xr:uid="{F7DF2FA4-A98E-4F78-944C-97FF724DA11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230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231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232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233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234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235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236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237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238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239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240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241" shapeId="0" xr:uid="{20DE3601-0E84-4728-94C2-2612A2C1806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3" authorId="1242" shapeId="0" xr:uid="{92F64D34-ECAB-4F21-AA7A-27D5FE9A93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3" authorId="1243" shapeId="0" xr:uid="{2B0EC822-1E7A-4253-AB6D-E00093BE4C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244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245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246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247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248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249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250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251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252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53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54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55" shapeId="0" xr:uid="{095CFFF6-1204-438C-BC36-1A04FE8E00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4" authorId="1256" shapeId="0" xr:uid="{AEA82161-A5C8-4BD2-BDB3-1F9A88A504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4" authorId="1257" shapeId="0" xr:uid="{11012A41-5FC0-4C7B-BBC0-A700C2D1CB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58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59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60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61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62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63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64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65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66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67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68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69" shapeId="0" xr:uid="{11DE3AE9-2E2F-4CEE-97E1-76A7D0EF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5" authorId="1270" shapeId="0" xr:uid="{53963812-095B-4898-BC2B-39F790B3C18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5" authorId="1271" shapeId="0" xr:uid="{12293EAE-9E71-4AED-BCAD-967E0660E1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72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73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74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75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76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77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78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79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80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81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82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83" shapeId="0" xr:uid="{13D7664F-778E-4DE2-B96F-3AA407BF76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6" authorId="1284" shapeId="0" xr:uid="{7FCB15FD-0A9B-48DD-810D-BF6E6BD0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6" authorId="1285" shapeId="0" xr:uid="{1ADA637E-9129-4293-889C-E4552C0422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86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87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88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89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90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91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92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93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94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95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96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97" shapeId="0" xr:uid="{FF328F5C-412A-4BC6-BD64-EE30C2C71E5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7" authorId="1298" shapeId="0" xr:uid="{7B330927-92F6-475B-8AFC-08FAA432DF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7" authorId="1299" shapeId="0" xr:uid="{EAEDC70E-EA55-4553-8AB1-F6E771C44E7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300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301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302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303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304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305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306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307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308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309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310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311" shapeId="0" xr:uid="{A6AB81DB-D34A-4220-BE4B-10E87FCC73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H218" authorId="1312" shapeId="0" xr:uid="{8C220044-A9A4-48FA-931C-8BB0BDA33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8" authorId="1313" shapeId="0" xr:uid="{6E0A653B-0C2D-432F-A4FB-6BB2F3D31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314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315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316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317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318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319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320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321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322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323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324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325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326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327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328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329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330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331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332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333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334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335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336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337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338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339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6" authorId="1340" shapeId="0" xr:uid="{F04D0D89-98C6-4048-BA56-CC152405FC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341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342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343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344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345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346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7" authorId="1347" shapeId="0" xr:uid="{6A51A96C-D6AD-4897-B6CB-0E7CA2AD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348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349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350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351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352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353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354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355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356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357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58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59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60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61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62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63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64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65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66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67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68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69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70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71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72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73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74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75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76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77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78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79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80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272" authorId="1381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82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83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84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85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86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87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88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89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90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91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92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93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94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95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96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97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98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99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400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401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402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403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404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80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276" authorId="1405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406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407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408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409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410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411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412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413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414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415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416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417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418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419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420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421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422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423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424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425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426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427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428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429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430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431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432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433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434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435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436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437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438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439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440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441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442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443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444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445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446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447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448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449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450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451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452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453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454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455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456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457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58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59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60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61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62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63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64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65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66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67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68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69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70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71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72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73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74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75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76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77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78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79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80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81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82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83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84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85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86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87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88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89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90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91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92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93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94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95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96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97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98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99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500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501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502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503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504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505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506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507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508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509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510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511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512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513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514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515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516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517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518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519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520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521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522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523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524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525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526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527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528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529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530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531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532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533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534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535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536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537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538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539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540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541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542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543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544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545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546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547" shapeId="0" xr:uid="{94ED5E0C-EDC2-4140-BBA3-4537EA481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548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549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550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551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552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553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554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555" shapeId="0" xr:uid="{5C5850B9-AFAC-4C43-B885-D319BE80C9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556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557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58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59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60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61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62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63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64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65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66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67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68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69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70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71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72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73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74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75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76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77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78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79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80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81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82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83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84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85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86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87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88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89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90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91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92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93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94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95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96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97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98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99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600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601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602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603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604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605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606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607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608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609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610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611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612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613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614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615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616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617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618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619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620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621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622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623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624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625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626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627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628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629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630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631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632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633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634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AH324" authorId="1635" shapeId="0" xr:uid="{0D61E097-367C-45B8-A34C-8D9F59031D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4" authorId="1636" shapeId="0" xr:uid="{12D8E619-3733-464F-B164-A4D8E8EF5F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5" authorId="1637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638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639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640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641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AH325" authorId="1642" shapeId="0" xr:uid="{F76EBAFC-6F24-459E-B2CA-6A1D4096A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5" authorId="1643" shapeId="0" xr:uid="{61DDD26C-E2FE-4F75-BCE1-3DE9A9E09F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6" authorId="1644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645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646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647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AH326" authorId="1648" shapeId="0" xr:uid="{9DAB514B-A547-47BB-A246-CE439E09C7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6" authorId="1649" shapeId="0" xr:uid="{3CF4A8AC-F0E8-4EF4-868D-6F5059479A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7" authorId="1650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AH327" authorId="1651" shapeId="0" xr:uid="{C725B73C-FB26-4397-8326-77F93BD3DD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AJ327" authorId="1652" shapeId="0" xr:uid="{1D26A78A-515C-48F5-ABF7-654478AB75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N328" authorId="1653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654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AH328" authorId="1655" shapeId="0" xr:uid="{F4DB70F6-B1F0-4258-8281-02D3B8A2C4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28" authorId="1656" shapeId="0" xr:uid="{93D65A58-3DD8-41CA-B2A5-C19F8F0250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29" authorId="1657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658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659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660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661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662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663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664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665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666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667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30" authorId="1668" shapeId="0" xr:uid="{501A85A2-4FBD-40DD-8655-3A418ED69E7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330" authorId="1669" shapeId="0" xr:uid="{BBBB1376-334C-4CC4-9BDC-98DC6EE9B52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70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71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72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73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74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75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76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77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78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79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AH332" authorId="1680" shapeId="0" xr:uid="{6105B2EC-A514-4F07-9398-B0ADB3024B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2" authorId="1681" shapeId="0" xr:uid="{9EBA1961-C3E8-40A3-8CCB-E1D46924DD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3" authorId="1682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83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84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85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86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87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88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89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90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91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AH335" authorId="1692" shapeId="0" xr:uid="{F49F7060-D0E3-4065-8DAB-05A8D27246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5" authorId="1693" shapeId="0" xr:uid="{9DDC5B1F-1B20-4BA5-A02C-7A8F59C8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6" authorId="1694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95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96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97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98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AH336" authorId="1699" shapeId="0" xr:uid="{8C090661-76D4-43AF-9EFA-D19BF219DD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6" authorId="1700" shapeId="0" xr:uid="{D6377102-DB3D-4232-A224-2674264E6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37" authorId="1701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702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703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AH337" authorId="1704" shapeId="0" xr:uid="{C742E7A5-EE50-450A-ACA1-202FE34CA9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7" authorId="1705" shapeId="0" xr:uid="{86D095F2-0C73-499A-8337-F0F0319395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38" authorId="1706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AH338" authorId="1707" shapeId="0" xr:uid="{CE2E525C-1843-47F6-9B4F-3853033EC8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8" authorId="1708" shapeId="0" xr:uid="{E6E3528C-8B58-4419-B1F9-E13542C9DB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N339" authorId="1709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710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AH339" authorId="1711" shapeId="0" xr:uid="{4639A587-7249-4DFB-A84D-C0EEDA7E5E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39" authorId="1712" shapeId="0" xr:uid="{FACBADBE-0864-4D70-B207-33242BBF12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40" authorId="1713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714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715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716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717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718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719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720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721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722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723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41" authorId="1724" shapeId="0" xr:uid="{8AC55EC7-F34B-4F2F-BD38-CCB16FF4A07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341" authorId="1725" shapeId="0" xr:uid="{86417402-4CA2-4919-BE88-15D5DAFE83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726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727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728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729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730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731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732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733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734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735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736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737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738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739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740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741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742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743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744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AH346" authorId="1745" shapeId="0" xr:uid="{00DA6F2B-A751-46F1-BFF3-F4B5514D55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6" authorId="1746" shapeId="0" xr:uid="{A7532D90-0B59-44DB-8AB9-014920CB69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7" authorId="1747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748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749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750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751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AH347" authorId="1752" shapeId="0" xr:uid="{A6854B33-B365-4051-889B-19100EB3414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7" authorId="1753" shapeId="0" xr:uid="{FE461655-2815-4A99-A696-5B708103D1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8" authorId="1754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755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756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757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AH348" authorId="1758" shapeId="0" xr:uid="{14824E1F-8267-417C-8744-D4B674452E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8" authorId="1759" shapeId="0" xr:uid="{4EA16459-99BB-490E-97F3-DFE68D1DE9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49" authorId="1760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AH349" authorId="1761" shapeId="0" xr:uid="{65CAA1BD-75FA-41DE-9B92-3ADE3157B8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49" authorId="1762" shapeId="0" xr:uid="{57CF906B-AB3B-4C52-BE34-3438F2A4F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N350" authorId="1763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764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AH350" authorId="1765" shapeId="0" xr:uid="{F6C21FF8-C29C-41F6-B4A8-94AF3AB163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J350" authorId="1766" shapeId="0" xr:uid="{4276939C-798F-43B6-AFEA-AA6714C6B1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I351" authorId="1767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768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769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770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771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772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773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774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775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776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777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H352" authorId="1778" shapeId="0" xr:uid="{5CC7F1AA-AEBF-49EB-9B41-7D09E61FB1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J352" authorId="1779" shapeId="0" xr:uid="{0F54808A-9F9A-40AB-8707-C38E98EF36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I353" authorId="1780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781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782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783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784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785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786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787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788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789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790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791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792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793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794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795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96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97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98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99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800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801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802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803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804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805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806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807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808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809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810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811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812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813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814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815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816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817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818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819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820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821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822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823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824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825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826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827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828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829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830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831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832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833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834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835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836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837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838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839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840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841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842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843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844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845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846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847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848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849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850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851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852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853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854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855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856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857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858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859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860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861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862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863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864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865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866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867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868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869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870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871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872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873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874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875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876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877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878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879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880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881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882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883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884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885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886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887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888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889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890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891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892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893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894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895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96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97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98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99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900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901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902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903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904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905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906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907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908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909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910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911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912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913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914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915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916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917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918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919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920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921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922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923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924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925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926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927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928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929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930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931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932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933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934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935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936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937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938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939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940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941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942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943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944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945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946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947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948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949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950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951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952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953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954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955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956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957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958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959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960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961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962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963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964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965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966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967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968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969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970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971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972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973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974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975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976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977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978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979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980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981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982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983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984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985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986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987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988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989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990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991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992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993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994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995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96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97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98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99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2000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2001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2002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2003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2004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2005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2006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2007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2008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2009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2010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2011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2012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2013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2014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2015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2016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2017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2018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2019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2020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2021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2022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2023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2024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2025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2026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2027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2028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2029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2030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2031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2032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2033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2034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2035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2036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2037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2038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2039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2040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2041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2042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2043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2044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2045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2046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2047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2048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2049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2050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2051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2052" shapeId="0" xr:uid="{DC68CD5E-5CDB-4D53-A9EF-4ED5DA77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0" authorId="2053" shapeId="0" xr:uid="{60A23BAD-8271-477B-8C74-39B749F85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0" authorId="2054" shapeId="0" xr:uid="{D9D23F6A-B9A8-45D0-BF06-D3BC554553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2055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2056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2057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2058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2059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2060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2061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2062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2063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2064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2065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2066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2067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2068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2069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2070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2071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2072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2073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2074" shapeId="0" xr:uid="{AE0502EF-50A1-4FDD-BE01-1E219BE23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1" authorId="2075" shapeId="0" xr:uid="{4F913E7B-9D2A-415A-8FEC-BF1E467A4F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1" authorId="2076" shapeId="0" xr:uid="{911D2427-CC56-4DFD-AC40-475B794A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2077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2078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2079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2080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2081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2082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2083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2084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2085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2086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2087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2088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2089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2090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2091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2092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2093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2094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2095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2096" shapeId="0" xr:uid="{4F18D24D-9A8D-4A53-99CA-10B9B2D7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2" authorId="2097" shapeId="0" xr:uid="{8E810622-1327-4BAB-8796-A1D1C00EBA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2" authorId="2098" shapeId="0" xr:uid="{B2BC29BB-31B5-4F0A-874B-9BCF9DE9D7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99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100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101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102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103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104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105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106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107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108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109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110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111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112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113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114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115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116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117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118" shapeId="0" xr:uid="{71B6139A-1051-4D83-B5EC-2C1D036FF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3" authorId="2119" shapeId="0" xr:uid="{4FC4855B-B489-4F2C-8338-0E8C2038F0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3" authorId="2120" shapeId="0" xr:uid="{4806193E-E0AA-4A98-A7ED-75939E8423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121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122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123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124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125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126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127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128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129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130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131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132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133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134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135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136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137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138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139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140" shapeId="0" xr:uid="{4C796C11-9A9D-4A8E-93FC-92BE43E74A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4" authorId="2141" shapeId="0" xr:uid="{7A6A03AB-9FB7-4822-88D2-B69F1656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4" authorId="2142" shapeId="0" xr:uid="{6C2CBF43-F822-428F-B2BC-8E41255BF2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143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144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145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146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147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148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149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150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151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152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153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154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155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156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157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158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159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160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161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162" shapeId="0" xr:uid="{679B0A3B-DD08-44B8-AFB8-3814C565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5" authorId="2163" shapeId="0" xr:uid="{27B620E0-9752-488D-85E4-C8E5B6B6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5" authorId="2164" shapeId="0" xr:uid="{93EA380E-5752-456E-ADA8-186FC071C2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165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166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167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168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169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170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171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172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173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174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175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176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177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178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179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180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181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182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183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184" shapeId="0" xr:uid="{4A7DA3B9-16DB-41A1-9F3E-AB114B41E3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6" authorId="2185" shapeId="0" xr:uid="{C2049B54-843B-4255-A789-5BE9E3DDAA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6" authorId="2186" shapeId="0" xr:uid="{6541EFC4-FFCE-42CE-A853-CD24E7995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187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188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189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190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191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192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193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194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195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196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197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198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199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200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201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202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203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204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205" shapeId="0" xr:uid="{336E172A-5129-45C4-8D7A-F4393CB50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7" authorId="2206" shapeId="0" xr:uid="{1BE31173-728D-4F43-9AAB-40D833B1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7" authorId="2207" shapeId="0" xr:uid="{9DDA4A9D-BE22-4480-A91D-09BDB19C3C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208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209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210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211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212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213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214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215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216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217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218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219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220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221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222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223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224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225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226" shapeId="0" xr:uid="{473ED8BA-9FDB-4247-A737-A57FAAC8A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8" authorId="2227" shapeId="0" xr:uid="{F75657C6-3558-4B40-8F63-D6600BA10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8" authorId="2228" shapeId="0" xr:uid="{50E98F8E-6194-48D0-9BEE-9B60469357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229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230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231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232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233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234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235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236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237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238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239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240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241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242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243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244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245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246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247" shapeId="0" xr:uid="{204CBF72-7FAA-484B-B418-7AE607047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49" authorId="2248" shapeId="0" xr:uid="{A9B86CA5-8905-47E1-9FE9-B5096B65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9" authorId="2249" shapeId="0" xr:uid="{94E5AF27-2D68-4612-B886-71172634F4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250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251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252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253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254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255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256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257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258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259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260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261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262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263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264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265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266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267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268" shapeId="0" xr:uid="{09F28919-EC43-4142-8FE5-6D1F7A1BA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0" authorId="2269" shapeId="0" xr:uid="{5BA9A309-105E-4FAE-A1FC-D8175B3EC4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0" authorId="2270" shapeId="0" xr:uid="{446566FC-3EAA-4A95-8A6F-FBAB27275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271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272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273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274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275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276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277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278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279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280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281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282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283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284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285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286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287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288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289" shapeId="0" xr:uid="{F2A6434F-D898-4F88-965D-B7AFED028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1" authorId="2290" shapeId="0" xr:uid="{B149142F-EA85-47B9-87D2-B0E335E2E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1" authorId="2291" shapeId="0" xr:uid="{80152AE0-7A9E-447A-805D-3DF9065B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292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293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294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295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296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297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298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299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300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301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302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303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304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305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306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307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308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309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310" shapeId="0" xr:uid="{C0D24A89-634D-4BD3-90A8-3CE593B4F2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2" authorId="2311" shapeId="0" xr:uid="{EDE99BEF-F48B-4D35-9DA4-F0104DE4BD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2" authorId="2312" shapeId="0" xr:uid="{2E00A9B5-9335-4BAE-AFCA-55F669A6A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313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314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315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316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317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318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319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320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321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322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323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324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325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326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327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328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329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330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331" shapeId="0" xr:uid="{96016372-F669-45E5-BE0C-1BA8B726C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3" authorId="2332" shapeId="0" xr:uid="{CE653C7C-A806-4013-99F6-D4578BC78F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3" authorId="2333" shapeId="0" xr:uid="{A84AE108-310C-493B-B8AB-9BDE9E9EE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334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335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336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337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338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339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340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341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342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343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344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345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346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347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348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349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350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351" shapeId="0" xr:uid="{6E0CC5CB-28D9-4CFF-A417-9F869640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4" authorId="2352" shapeId="0" xr:uid="{2A141B49-F976-4ECC-9846-10F69199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353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354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355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356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357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358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359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360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361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362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363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364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365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366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367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368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369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370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371" shapeId="0" xr:uid="{1E2CBFDF-845F-4F34-9615-3BC441B9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5" authorId="2372" shapeId="0" xr:uid="{749A0105-470D-46A7-B357-B72E1F0749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5" authorId="2373" shapeId="0" xr:uid="{76DBDC2E-31D2-46B5-BE36-149134668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374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375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376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377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378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379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380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381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382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383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384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385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386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387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388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389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390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391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392" shapeId="0" xr:uid="{534B9A39-619E-458A-B8D3-E4F55B90A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6" authorId="2393" shapeId="0" xr:uid="{818F6D35-C7CD-4194-AF88-76740B49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6" authorId="2394" shapeId="0" xr:uid="{351037D9-A076-4B34-AE9C-308EE08742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395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396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397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398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399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400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401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402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403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404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405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406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407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408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409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410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411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412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413" shapeId="0" xr:uid="{5D650AAE-5913-47A3-BD85-4458A9811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7" authorId="2414" shapeId="0" xr:uid="{C07BB1EC-1CF1-432B-80A5-BC15016D6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7" authorId="2415" shapeId="0" xr:uid="{54AE95BD-37AA-4AC9-84E4-F6E2EFA8B0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416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417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418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419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420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421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422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423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424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425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426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427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428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429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430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431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432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433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434" shapeId="0" xr:uid="{54D66BD0-E484-40BB-80B2-B727F2778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8" authorId="2435" shapeId="0" xr:uid="{A893B35B-9A6A-4060-AE82-E5700B0757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8" authorId="2436" shapeId="0" xr:uid="{94EC975F-CA0D-4179-97E6-223F2DBE3A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437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438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439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440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441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442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443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444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445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446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447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448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449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450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451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452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453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454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455" shapeId="0" xr:uid="{0BB1C060-F470-42BD-9258-749E75FE9F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59" authorId="2456" shapeId="0" xr:uid="{1471DB18-F19F-4E55-BEB3-62E1109094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9" authorId="2457" shapeId="0" xr:uid="{37841089-F94B-48FD-8C35-A869A79B41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458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459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460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461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462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463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464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465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466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467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468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469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470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471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472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473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474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475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476" shapeId="0" xr:uid="{E1EC547B-E91E-4F26-B3A4-1CE33AA79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0" authorId="2477" shapeId="0" xr:uid="{E1AEDE5A-409C-48E3-AF30-629ECDBB9A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0" authorId="2478" shapeId="0" xr:uid="{33D190F8-2824-4473-A356-805439E9C3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479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480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481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482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483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484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485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486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487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488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489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490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491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492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493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494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495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496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497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498" shapeId="0" xr:uid="{BFA7D320-CAC9-459A-ACF8-7729272E8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1" authorId="2499" shapeId="0" xr:uid="{7C7DEE89-0338-469E-A666-5AEE4B5667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1" authorId="2500" shapeId="0" xr:uid="{16DB35FF-7203-4D13-AC50-22E226FF11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501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502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503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504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505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506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507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508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509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510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511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512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513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514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515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516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517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518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519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520" shapeId="0" xr:uid="{4BC9CC0F-1DB3-48DB-8E9E-7D59E6BA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2" authorId="2521" shapeId="0" xr:uid="{72D2D471-4C77-44A3-8F16-A4CDB11ED5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2" authorId="2522" shapeId="0" xr:uid="{5AE2C6C2-D6A7-4752-BF59-4ABC7D8A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523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524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525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526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527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528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529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530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531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532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533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534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535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536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537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538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539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540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541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542" shapeId="0" xr:uid="{85D1ECF4-1128-4D64-8ECF-3E61753FF9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3" authorId="2543" shapeId="0" xr:uid="{16C7DABA-922A-4ECF-BD4E-00B0DB20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3" authorId="2544" shapeId="0" xr:uid="{54533ADD-C133-498F-81F7-2CA11CC820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545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546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547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548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549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550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551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552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553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554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555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556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557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558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559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560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561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562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563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564" shapeId="0" xr:uid="{04C22816-4EBF-4062-B1F0-219DF9901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4" authorId="2565" shapeId="0" xr:uid="{1476B8FB-94F1-43F9-81CF-C2C5CC503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4" authorId="2566" shapeId="0" xr:uid="{8EF12030-30A7-4651-8EE2-126CBA099F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567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568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569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570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571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572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573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574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575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576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577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578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579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580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581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582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583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584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585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586" shapeId="0" xr:uid="{705FF05B-8C24-43CA-86FF-12CECA1B6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5" authorId="2587" shapeId="0" xr:uid="{AB962FE3-839B-451E-A4A0-87EDD82282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5" authorId="2588" shapeId="0" xr:uid="{C17F4CA0-7CB5-49D3-9B6F-E7F3814C2D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589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590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591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592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593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594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595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596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597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598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599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600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601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602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603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604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605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606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607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608" shapeId="0" xr:uid="{F6CD15AB-97FA-4FAC-9918-B2D0B5F8C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6" authorId="2609" shapeId="0" xr:uid="{13FEBA0F-9BFC-4555-8C69-B6230AB709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6" authorId="2610" shapeId="0" xr:uid="{5F96545A-D070-48EE-AF38-758C5C5EA2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611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612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613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614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615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616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617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618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619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620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621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622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623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624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625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626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627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628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629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630" shapeId="0" xr:uid="{459A349E-51F9-44C9-AA01-EE702A644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7" authorId="2631" shapeId="0" xr:uid="{A9620C34-85BF-4E56-A97C-FD182CFD67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7" authorId="2632" shapeId="0" xr:uid="{3DB6EB74-7981-433C-A33C-D4C4C67D3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63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63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63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63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63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63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63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64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64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64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64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64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64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64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64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64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64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65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65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652" shapeId="0" xr:uid="{8B12D2A7-BE00-4E5B-BDBD-AFB6B17A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8" authorId="2653" shapeId="0" xr:uid="{543B4C81-3099-4762-AF0E-96436BB6D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8" authorId="2654" shapeId="0" xr:uid="{4851EA70-5E18-469E-A5F7-454302D9E9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655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656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657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658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659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660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661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662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663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664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665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666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667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668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669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670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671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672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673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674" shapeId="0" xr:uid="{2D644590-DE2C-403D-BA11-776459A21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69" authorId="2675" shapeId="0" xr:uid="{27157B35-0509-4038-B601-7349641DE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9" authorId="2676" shapeId="0" xr:uid="{819B0D31-0990-43C5-8D34-416109D431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677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678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679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680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681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682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683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684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685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686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687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688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689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690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691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692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693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694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695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696" shapeId="0" xr:uid="{F056F299-6D63-4E70-ACBC-2861B4C7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0" authorId="2697" shapeId="0" xr:uid="{23976395-AFF9-43D2-9F0C-DAC7B65F6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0" authorId="2698" shapeId="0" xr:uid="{80EF6959-9C25-4FCD-892F-6E9955C49F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699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700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701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702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703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704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705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706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707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708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709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710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711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712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713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714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715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716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717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718" shapeId="0" xr:uid="{A03A75DF-752E-47E5-B638-DE376094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1" authorId="2719" shapeId="0" xr:uid="{E0D53ED3-FC67-47B7-80CB-3A43C8B9A4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1" authorId="2720" shapeId="0" xr:uid="{576AB5A8-A2C3-4915-A08F-8BAA867A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721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722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723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724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725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726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727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728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729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730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731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732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733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734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735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736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737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738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739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740" shapeId="0" xr:uid="{C3683773-E9FC-4E1A-B776-C79473B6FE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2" authorId="2741" shapeId="0" xr:uid="{A7013CDC-0DE2-4CD1-B7E5-AC3F2990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2" authorId="2742" shapeId="0" xr:uid="{132B2547-F55D-4375-9492-90134346F8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743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744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745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746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747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748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749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750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751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752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753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754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755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756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757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758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759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760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761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762" shapeId="0" xr:uid="{672337EE-A4F8-4CA8-94AF-01F3CDC8F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3" authorId="2763" shapeId="0" xr:uid="{3A05F679-76CF-47D9-B740-DA4ECDE14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3" authorId="2764" shapeId="0" xr:uid="{0C772C7F-76F4-48F9-BCB6-5E40CE2561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765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766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767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768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769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770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771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772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773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774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775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776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777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778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779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780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781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782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783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784" shapeId="0" xr:uid="{53B07662-EB2E-455C-8374-7AFF6519B4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74" authorId="2785" shapeId="0" xr:uid="{874619C2-A6A2-4E68-8FF6-44D40D6B1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4" authorId="2786" shapeId="0" xr:uid="{4C1756D7-E150-44E7-AA0D-6E967563E3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787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788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789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790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791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792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793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794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795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796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797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798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799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800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801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802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803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804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805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806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807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808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809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810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811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812" shapeId="0" xr:uid="{9CCCC4F2-5A0E-4E35-9E4E-A2FD0FAB1C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813" shapeId="0" xr:uid="{DB0E9204-DA38-4437-9F50-2B6A4F66CF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3" authorId="2814" shapeId="0" xr:uid="{42D15010-A91E-45AC-BDBA-BFA7A20CFA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815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816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817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818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819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820" shapeId="0" xr:uid="{F45FBB27-E9BD-4CD0-B1DE-2AEA05017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821" shapeId="0" xr:uid="{7D0F6272-34C5-4612-B526-04F3CFF880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4" authorId="2822" shapeId="0" xr:uid="{7B1AA2A0-BD37-4B19-AA0B-F4E349485E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823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824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825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826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827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828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829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830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831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832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833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834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835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836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837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838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839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840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841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842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843" shapeId="0" xr:uid="{5E3F293D-8903-4CEE-9283-9BDA066692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844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845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846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847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848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849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850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851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852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853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854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855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856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857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858" shapeId="0" xr:uid="{8E19B5C2-6281-4F30-B41D-D9E3605E0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859" shapeId="0" xr:uid="{78F77570-77F0-498D-90CE-24E4637841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H490" authorId="2860" shapeId="0" xr:uid="{10BBD272-DD03-493B-B203-1052D666C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J490" authorId="2861" shapeId="0" xr:uid="{FD752E4F-1ED6-4D3E-9899-F8DD92D467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862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863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864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865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866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867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868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869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870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871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872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873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874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875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876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877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878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879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880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881" shapeId="0" xr:uid="{BF7F679B-A278-4672-B35A-CF2CEAB11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1" authorId="2882" shapeId="0" xr:uid="{8A67163D-F711-492F-B403-2D77BD341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1" authorId="2883" shapeId="0" xr:uid="{1889950C-4487-4814-93E0-03BB0C921D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884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885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886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887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888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889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890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891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892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893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894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895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896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897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898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899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900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901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902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903" shapeId="0" xr:uid="{CCE081CA-2CF1-49F3-908A-00663BA38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2" authorId="2904" shapeId="0" xr:uid="{856DDBCC-7D52-4A9C-B853-05830761CA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2" authorId="2905" shapeId="0" xr:uid="{D8735571-5374-4070-8B8E-11C824424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906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907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908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909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910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911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912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913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914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915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916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917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918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919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920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921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922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923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924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925" shapeId="0" xr:uid="{2551B1C9-A775-4600-A9F0-41A9B691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3" authorId="2926" shapeId="0" xr:uid="{BDD35CF7-3711-4363-8C7B-368E6905F0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3" authorId="2927" shapeId="0" xr:uid="{28B97308-905B-4347-B34C-BA85A673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928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929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930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931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932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933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934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935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936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937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938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939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940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941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942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943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944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945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946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947" shapeId="0" xr:uid="{9F09D3F7-3C7E-449C-B1CB-B614535041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4" authorId="2948" shapeId="0" xr:uid="{373B8797-54D6-40E3-AA32-825025893B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4" authorId="2949" shapeId="0" xr:uid="{D9CE9D80-7772-477F-96EC-DF16C23FE7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950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951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952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953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954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955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956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957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958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959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960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961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962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963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964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965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966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967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968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969" shapeId="0" xr:uid="{14C6FA34-AC0A-4289-9A0B-0E26DE77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5" authorId="2970" shapeId="0" xr:uid="{342DF709-954A-4E40-B5B8-FE08796AE6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5" authorId="2971" shapeId="0" xr:uid="{7D59CBF8-E2BB-4756-9E71-B6A21FC0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972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973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974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975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976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977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978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979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980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981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982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983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984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985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986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987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988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989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990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991" shapeId="0" xr:uid="{3F2373F1-3774-466A-B123-953D85E03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6" authorId="2992" shapeId="0" xr:uid="{E7C0E8FD-8569-4912-B948-509C66C1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6" authorId="2993" shapeId="0" xr:uid="{81E068B7-A640-4F1C-B7DB-97CC13042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994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995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996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997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998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999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3000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3001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3002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3003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3004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3005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3006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3007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3008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3009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3010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3011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3012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3013" shapeId="0" xr:uid="{2D6F6B38-0EB3-4D99-9479-E459955C5C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7" authorId="3014" shapeId="0" xr:uid="{3B3B3F9C-72A5-41A0-85B6-221BB75DEF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7" authorId="3015" shapeId="0" xr:uid="{BDF3D88A-23B9-4CEA-8AF6-B6A59B86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3016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3017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3018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3019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3020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3021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3022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3023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3024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3025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3026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3027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3028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3029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3030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3031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3032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3033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3034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3035" shapeId="0" xr:uid="{02CA8A83-0B49-4092-92FA-95D3C52E6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8" authorId="3036" shapeId="0" xr:uid="{5BD7C2DD-1A2A-4FD7-A5AC-650CEFEE70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8" authorId="3037" shapeId="0" xr:uid="{C8CE1ED7-F90D-471E-8958-C81C58575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3038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3039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3040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3041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3042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3043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3044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3045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3046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3047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3048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3049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3050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3051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3052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3053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3054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3055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3056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3057" shapeId="0" xr:uid="{A4551770-8219-41E7-A358-0B9D6AC883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499" authorId="3058" shapeId="0" xr:uid="{3260D0C5-3684-48E1-A66F-41ED21BB0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9" authorId="3059" shapeId="0" xr:uid="{D2A9FFDD-1B95-4B1F-90C5-E4DBB0C4B4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3060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3061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3062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3063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3064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3065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3066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3067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3068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3069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3070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3071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3072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3073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3074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3075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3076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3077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3078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3079" shapeId="0" xr:uid="{9F2A1E20-EDF5-42F7-82D6-08835EDE7C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0" authorId="3080" shapeId="0" xr:uid="{17DB3F65-5314-45E3-BD31-68BB67A59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0" authorId="3081" shapeId="0" xr:uid="{BF6B728D-B5FA-45BE-9E51-9F00D9EE6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3082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3083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3084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3085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3086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3087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3088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3089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3090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3091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3092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3093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3094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3095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3096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3097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3098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3099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3100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3101" shapeId="0" xr:uid="{85670370-8FD0-4DD2-B35E-3DDE97DD58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1" authorId="3102" shapeId="0" xr:uid="{76229769-6504-429E-84D2-876BC07797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1" authorId="3103" shapeId="0" xr:uid="{FCA51EDA-BDE5-4973-86E3-C3C7D9A79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3104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3105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3106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3107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3108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3109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3110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3111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3112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3113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3114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3115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3116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3117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3118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3119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3120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3121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3122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3123" shapeId="0" xr:uid="{34AAB246-A810-4D02-B382-33822C3FB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2" authorId="3124" shapeId="0" xr:uid="{2A0E6BA3-B0AD-4B93-8E2E-E043539960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2" authorId="3125" shapeId="0" xr:uid="{B9F3FC91-3E8E-4CAE-8D7E-F5975D83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312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312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312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312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313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313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313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313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313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313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313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313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313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313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314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314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314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314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144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145" shapeId="0" xr:uid="{3EDC0E85-F1FB-4EE7-B327-0AA843F6C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3" authorId="3146" shapeId="0" xr:uid="{D7206317-4246-40E9-816B-E15CA6BDB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3" authorId="3147" shapeId="0" xr:uid="{F16F113A-B916-4B7D-AC96-87C302382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148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149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150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151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152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153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154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155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156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157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158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159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160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161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162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163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164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165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166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167" shapeId="0" xr:uid="{13702F00-755A-4210-9D3B-C81581608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4" authorId="3168" shapeId="0" xr:uid="{DD28DEFF-68AC-49A1-8190-9180702010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4" authorId="3169" shapeId="0" xr:uid="{A3336A9F-F6AB-426B-944F-721B569FC6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170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171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172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173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174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175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176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177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178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179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180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181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182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183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184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185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186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187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188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189" shapeId="0" xr:uid="{0EB8DA39-2ED9-44FE-9621-085FCB02B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5" authorId="3190" shapeId="0" xr:uid="{C2727D96-113C-4734-B597-D36F8268A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5" authorId="3191" shapeId="0" xr:uid="{2212B361-AB6C-45FC-948E-CCC9634915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192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193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194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195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196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197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198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199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200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201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202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203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204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205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206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207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208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209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210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211" shapeId="0" xr:uid="{71CDFEFD-4BCC-4F7F-BCEE-C12882133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6" authorId="3212" shapeId="0" xr:uid="{5AA56723-8C3B-4523-9B82-AB8BF6C8C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6" authorId="3213" shapeId="0" xr:uid="{BA6FEA2C-0A22-4108-AB89-F44576E8B5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214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215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216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217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218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219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220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221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222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223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224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225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226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227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228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229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230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231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232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233" shapeId="0" xr:uid="{343DB719-2669-415B-81E3-40E26D7F9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507" authorId="3234" shapeId="0" xr:uid="{05C99628-9075-4417-A284-3F459EF0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7" authorId="3235" shapeId="0" xr:uid="{503BE51E-A1F2-4E5A-977D-C7941EDE4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<sst xmlns="http://schemas.openxmlformats.org/spreadsheetml/2006/main" count="16751" uniqueCount="575">
  <si>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</si>
  <si>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</si>
  <si>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</si>
  <si>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</si>
  <si>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</si>
  <si>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</si>
  <si>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</si>
  <si>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</si>
  <si>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</si>
  <si>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</si>
  <si>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</si>
  <si>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</si>
  <si>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</si>
  <si>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</si>
  <si>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</si>
  <si>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</si>
  <si>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</si>
  <si>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</si>
  <si>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</si>
  <si>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</si>
  <si>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</si>
  <si>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</si>
  <si>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</si>
  <si>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</si>
  <si>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</si>
  <si>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</si>
  <si>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</si>
  <si>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</si>
  <si>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</si>
  <si>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</si>
  <si>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</si>
  <si>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</si>
  <si>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</si>
  <si>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</si>
  <si>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</si>
  <si>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</si>
  <si>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</si>
  <si>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</si>
  <si>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</si>
  <si>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</si>
  <si>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</si>
  <si>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</si>
  <si>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</si>
  <si>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Rishab</t>
  </si>
  <si>
    <t>Tata Motors</t>
  </si>
  <si>
    <t>Shweta</t>
  </si>
  <si>
    <t>Himanshu Srivastava</t>
  </si>
  <si>
    <t>TATA Power</t>
  </si>
  <si>
    <t>ISUZU (UD Trucks)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</si>
  <si>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</si>
  <si>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</si>
  <si>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</si>
  <si>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</si>
  <si>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</si>
  <si>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</si>
  <si>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</si>
  <si>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</si>
  <si>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</si>
  <si>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</si>
  <si>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</si>
  <si>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</si>
  <si>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</si>
  <si>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</si>
  <si>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</si>
  <si>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</si>
  <si>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</si>
  <si>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</si>
  <si>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</si>
  <si>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</si>
  <si>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</si>
  <si>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</si>
  <si>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</si>
  <si>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</si>
  <si>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</si>
  <si>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</si>
  <si>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</si>
  <si>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</si>
  <si>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</si>
  <si>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</si>
  <si>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</si>
  <si>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</si>
  <si>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</si>
  <si>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</si>
  <si>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</si>
  <si>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</si>
  <si>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</si>
  <si>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</si>
  <si>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</si>
  <si>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</si>
  <si>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</si>
  <si>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</si>
  <si>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</si>
  <si>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</si>
  <si>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</si>
  <si>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</si>
  <si>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</si>
  <si>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</si>
  <si>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</si>
  <si>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</si>
  <si>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</si>
  <si>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</si>
  <si>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</si>
  <si>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</si>
  <si>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</si>
  <si>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</si>
  <si>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</si>
  <si>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</si>
  <si>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</si>
  <si>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</si>
  <si>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</si>
  <si>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</si>
  <si>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</si>
  <si>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</si>
  <si>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</si>
  <si>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</si>
  <si>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</si>
  <si>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</si>
  <si>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</si>
  <si>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</si>
  <si>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</si>
  <si>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</si>
  <si>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</si>
  <si>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</si>
  <si>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</si>
  <si>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</si>
  <si>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</si>
  <si>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</si>
  <si>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</si>
  <si>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</si>
  <si>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</si>
  <si>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</si>
  <si>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</si>
  <si>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</si>
  <si>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</si>
  <si>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</si>
  <si>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</si>
  <si>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</si>
  <si>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</si>
  <si>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</si>
  <si>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</si>
  <si>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</si>
  <si>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</si>
  <si>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</si>
  <si>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</si>
  <si>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</si>
  <si>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</si>
  <si>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</si>
  <si>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</si>
  <si>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</si>
  <si>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</si>
  <si>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</si>
  <si>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</si>
  <si>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</si>
  <si>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</si>
  <si>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</si>
  <si>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</si>
  <si>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</si>
  <si>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</si>
  <si>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</si>
  <si>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</si>
  <si>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</si>
  <si>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</si>
  <si>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</si>
  <si>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</si>
  <si>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</si>
  <si>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</si>
  <si>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</si>
  <si>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</si>
  <si>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</si>
  <si>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</si>
  <si>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</si>
  <si>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</si>
  <si>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</si>
  <si>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</si>
  <si>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</si>
  <si>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</si>
  <si>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</si>
  <si>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</si>
  <si>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</si>
  <si>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</si>
  <si>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</si>
  <si>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</si>
  <si>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</si>
  <si>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</si>
  <si>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</si>
  <si>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</si>
  <si>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</si>
  <si>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</si>
  <si>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</si>
  <si>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</si>
  <si>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</si>
  <si>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</si>
  <si>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</si>
  <si>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</si>
  <si>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</si>
  <si>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</si>
  <si>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</si>
  <si>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</si>
  <si>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</si>
  <si>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</si>
  <si>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</si>
  <si>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</si>
  <si>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</si>
  <si>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</si>
  <si>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</si>
  <si>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</si>
  <si>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</si>
  <si>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</si>
  <si>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</si>
  <si>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</si>
  <si>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</si>
  <si>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</si>
  <si>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</si>
  <si>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</si>
  <si>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</si>
  <si>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</si>
  <si>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</si>
  <si>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</si>
  <si>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</si>
  <si>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</si>
  <si>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</si>
  <si>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</si>
  <si>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</si>
  <si>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</si>
  <si>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</si>
  <si>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</si>
  <si>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</si>
  <si>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</si>
  <si>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</si>
  <si>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</si>
  <si>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</si>
  <si>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</si>
  <si>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</si>
  <si>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</si>
  <si>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</si>
  <si>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</si>
  <si>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</si>
  <si>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</si>
  <si>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</si>
  <si>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</si>
  <si>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</si>
  <si>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</si>
  <si>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</si>
  <si>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</si>
  <si>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</si>
  <si>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</si>
  <si>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</si>
  <si>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</si>
  <si>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</si>
  <si>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</si>
  <si>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</si>
  <si>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</si>
  <si>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</si>
  <si>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</si>
  <si>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</si>
  <si>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</si>
  <si>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</si>
  <si>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</si>
  <si>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</si>
  <si>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</si>
  <si>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</si>
  <si>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</si>
  <si>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</si>
  <si>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</si>
  <si>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</si>
  <si>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</si>
  <si>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</si>
  <si>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</si>
  <si>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</si>
  <si>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</si>
  <si>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</si>
  <si>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</si>
  <si>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</si>
  <si>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</si>
  <si>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</si>
  <si>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</si>
  <si>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</si>
  <si>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</si>
  <si>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</si>
  <si>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</si>
  <si>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</si>
  <si>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</si>
  <si>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</si>
  <si>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</si>
  <si>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</si>
  <si>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</si>
  <si>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</si>
  <si>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</si>
  <si>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</si>
  <si>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</si>
  <si>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</si>
  <si>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</si>
  <si>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</si>
  <si>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</si>
  <si>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</si>
  <si>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</si>
  <si>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</si>
  <si>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</si>
  <si>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</si>
  <si>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</si>
  <si>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</si>
  <si>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</si>
  <si>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</si>
  <si>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</si>
  <si>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</si>
  <si>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</si>
  <si>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</si>
  <si>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</si>
  <si>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</si>
  <si>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</si>
  <si>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</si>
  <si>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</si>
  <si>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</si>
  <si>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</si>
  <si>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</si>
  <si>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</si>
  <si>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</si>
  <si>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</si>
  <si>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</si>
  <si>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</si>
  <si>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</si>
  <si>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</si>
  <si>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</si>
  <si>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</si>
  <si>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</si>
  <si>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</si>
  <si>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</si>
  <si>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</si>
  <si>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</si>
  <si>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</si>
  <si>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</si>
  <si>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</si>
  <si>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</si>
  <si>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</si>
  <si>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</si>
  <si>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</si>
  <si>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</si>
  <si>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</si>
  <si>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</si>
  <si>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</si>
  <si>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</si>
  <si>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</si>
  <si>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</si>
  <si>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</si>
  <si>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</si>
  <si>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</si>
  <si>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</si>
  <si>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</si>
  <si>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</si>
  <si>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</si>
  <si>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</si>
  <si>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</si>
  <si>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</si>
  <si>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</si>
  <si>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</si>
  <si>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</si>
  <si>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</si>
  <si>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</si>
  <si>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</si>
  <si>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</si>
  <si>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</si>
  <si>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</si>
  <si>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</si>
  <si>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</si>
  <si>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</si>
  <si>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</si>
  <si>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</si>
  <si>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</si>
  <si>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</si>
  <si>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</si>
  <si>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</si>
  <si>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</si>
  <si>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</si>
  <si>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</si>
  <si>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</si>
  <si>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</si>
  <si>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</si>
  <si>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</si>
  <si>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</si>
  <si>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</si>
  <si>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</si>
  <si>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</si>
  <si>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</si>
  <si>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</si>
  <si>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</si>
  <si>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</si>
  <si>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</si>
  <si>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</si>
  <si>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</si>
  <si>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</si>
  <si>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</si>
  <si>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</si>
  <si>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</si>
  <si>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</si>
  <si>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</si>
  <si>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</si>
  <si>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</si>
  <si>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</si>
  <si>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</si>
  <si>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</si>
  <si>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</si>
  <si>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</si>
  <si>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</si>
  <si>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</si>
  <si>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</si>
  <si>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</si>
  <si>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</si>
  <si>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</si>
  <si>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</si>
  <si>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</si>
  <si>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</si>
  <si>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</si>
  <si>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</si>
  <si>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</si>
  <si>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</si>
  <si>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</si>
  <si>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</si>
  <si>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</si>
  <si>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</si>
  <si>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</si>
  <si>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</si>
  <si>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</si>
  <si>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</si>
  <si>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</si>
  <si>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</si>
  <si>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</si>
  <si>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</si>
  <si>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</si>
  <si>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</si>
  <si>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</si>
  <si>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</si>
  <si>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</si>
  <si>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</si>
  <si>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</si>
  <si>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</si>
  <si>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</si>
  <si>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</si>
  <si>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</si>
  <si>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</si>
  <si>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</si>
  <si>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</si>
  <si>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</si>
  <si>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</si>
  <si>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</si>
  <si>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</si>
  <si>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</si>
  <si>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</si>
  <si>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</si>
  <si>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</si>
  <si>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</si>
  <si>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</si>
  <si>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</si>
  <si>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</si>
  <si>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</si>
  <si>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</si>
  <si>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</si>
  <si>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</si>
  <si>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</si>
  <si>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</si>
  <si>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</si>
  <si>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</si>
  <si>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</si>
  <si>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</si>
  <si>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</si>
  <si>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</si>
  <si>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</si>
  <si>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</si>
  <si>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</si>
  <si>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</si>
  <si>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</si>
  <si>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</si>
  <si>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</si>
  <si>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</si>
  <si>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</si>
  <si>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</si>
  <si>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</si>
  <si>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</si>
  <si>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</si>
  <si>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</si>
  <si>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</si>
  <si>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</si>
  <si>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</si>
  <si>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</si>
  <si>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</si>
  <si>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</si>
  <si>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</si>
  <si>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</si>
  <si>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</si>
  <si>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</si>
  <si>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</si>
  <si>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</si>
  <si>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</si>
  <si>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</si>
  <si>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</si>
  <si>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</si>
  <si>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</si>
  <si>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</si>
  <si>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</si>
  <si>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</si>
  <si>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</si>
  <si>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</si>
  <si>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</si>
  <si>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</si>
  <si>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</si>
  <si>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</si>
  <si>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</si>
  <si>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>Leap India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</si>
  <si>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</si>
  <si>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</si>
  <si>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</si>
  <si>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</si>
  <si>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</si>
  <si>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</si>
  <si>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</si>
  <si>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</si>
  <si>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</si>
  <si>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</si>
  <si>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</si>
  <si>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</si>
  <si>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</si>
  <si>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</si>
  <si>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</si>
  <si>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</si>
  <si>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</si>
  <si>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</si>
  <si>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</si>
  <si>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</si>
  <si>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</si>
  <si>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</si>
  <si>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</si>
  <si>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</si>
  <si>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</si>
  <si>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</si>
  <si>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</si>
  <si>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</si>
  <si>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</si>
  <si>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</si>
  <si>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</si>
  <si>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</si>
  <si>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</si>
  <si>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</si>
  <si>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</si>
  <si>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</si>
  <si>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</si>
  <si>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</si>
  <si>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</si>
  <si>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</si>
  <si>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</si>
  <si>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</si>
  <si>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</si>
  <si>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</si>
  <si>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</si>
  <si>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</si>
  <si>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</si>
  <si>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</si>
  <si>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</si>
  <si>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</si>
  <si>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</si>
  <si>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</si>
  <si>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</si>
  <si>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</si>
  <si>
    <t>Ambuja Cement</t>
  </si>
  <si>
    <t>Dec25 Score</t>
  </si>
  <si>
    <t>Dec MET/NOT_MET</t>
  </si>
  <si>
    <t>01:03</t>
  </si>
  <si>
    <t>Jan26 Score</t>
  </si>
  <si>
    <t>Jan MET/NOT_MET</t>
  </si>
  <si>
    <t>01:20</t>
  </si>
  <si>
    <t>TBH</t>
  </si>
  <si>
    <t>Feb26 Score</t>
  </si>
  <si>
    <t>Feb MET/NOT_MET</t>
  </si>
  <si>
    <t>01:10</t>
  </si>
  <si>
    <t>01:09</t>
  </si>
  <si>
    <t>01:01</t>
  </si>
  <si>
    <t>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</si>
</sst>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F5FB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9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9" fontId="4" fillId="0" borderId="1" xfId="0" applyNumberFormat="1" applyFont="1" applyBorder="1" applyAlignment="1" applyProtection="1">
      <alignment horizontal="center" vertical="center"/>
      <protection locked="0"/>
    </xf>
    <xf numFmtId="9" fontId="15" fillId="0" borderId="1" xfId="1" applyFont="1" applyFill="1" applyBorder="1" applyAlignment="1">
      <alignment horizontal="center" vertical="center"/>
    </xf>
    <xf numFmtId="9" fontId="15" fillId="5" borderId="1" xfId="1" applyFont="1" applyFill="1" applyBorder="1" applyAlignment="1">
      <alignment horizontal="center" vertical="center"/>
    </xf>
    <xf numFmtId="9" fontId="15" fillId="5" borderId="1" xfId="1" quotePrefix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9" fontId="4" fillId="0" borderId="1" xfId="0" applyNumberFormat="1" applyFont="1" applyBorder="1" applyAlignment="1">
      <alignment horizontal="center" vertical="center"/>
    </xf>
    <xf numFmtId="9" fontId="15" fillId="10" borderId="1" xfId="1" applyFont="1" applyFill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9" fontId="4" fillId="0" borderId="3" xfId="1" applyFont="1" applyFill="1" applyBorder="1" applyAlignment="1" applyProtection="1">
      <alignment horizontal="center" vertical="center"/>
      <protection locked="0"/>
    </xf>
    <xf numFmtId="9" fontId="4" fillId="0" borderId="1" xfId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9" fontId="4" fillId="0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5" xfId="1" applyFont="1" applyBorder="1" applyAlignment="1">
      <alignment horizontal="center"/>
    </xf>
    <xf numFmtId="0" fontId="12" fillId="0" borderId="6" xfId="0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9" fontId="5" fillId="0" borderId="6" xfId="1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6" fillId="0" borderId="6" xfId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 applyProtection="1">
      <alignment horizontal="center" vertical="center"/>
      <protection locked="0"/>
    </xf>
    <xf numFmtId="9" fontId="0" fillId="0" borderId="6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9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/>
    </xf>
    <xf numFmtId="9" fontId="12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9" fontId="4" fillId="0" borderId="5" xfId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3" fillId="0" borderId="5" xfId="0" applyFont="1" applyBorder="1" applyAlignmen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 wrapText="1"/>
    </xf>
    <xf numFmtId="9" fontId="3" fillId="0" borderId="5" xfId="1" applyFont="1" applyFill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3" fillId="0" borderId="2" xfId="0" applyFont="1" applyBorder="1" applyAlignment="1">
      <alignment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6" fillId="0" borderId="2" xfId="1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9" fontId="12" fillId="0" borderId="10" xfId="0" applyNumberFormat="1" applyFont="1" applyBorder="1" applyAlignment="1" applyProtection="1">
      <alignment horizontal="center" vertical="center"/>
      <protection locked="0"/>
    </xf>
    <xf numFmtId="1" fontId="5" fillId="0" borderId="5" xfId="2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5" fillId="4" borderId="5" xfId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9" fontId="4" fillId="0" borderId="2" xfId="1" applyFont="1" applyFill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9" fontId="4" fillId="0" borderId="9" xfId="1" applyFont="1" applyFill="1" applyBorder="1" applyAlignment="1" applyProtection="1">
      <alignment horizontal="center" vertical="center"/>
      <protection locked="0"/>
    </xf>
    <xf numFmtId="9" fontId="12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9" fontId="13" fillId="0" borderId="5" xfId="0" applyNumberFormat="1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wrapText="1" readingOrder="1"/>
    </xf>
    <xf numFmtId="0" fontId="4" fillId="0" borderId="5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1" fontId="12" fillId="0" borderId="1" xfId="1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9" fontId="0" fillId="0" borderId="0" xfId="1" applyFont="1"/>
    <xf numFmtId="1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 applyProtection="1">
      <alignment horizontal="center"/>
      <protection locked="0"/>
    </xf>
    <xf numFmtId="9" fontId="0" fillId="0" borderId="1" xfId="0" applyNumberFormat="1" applyFont="1" applyBorder="1" applyAlignment="1">
      <alignment horizontal="center" vertical="center"/>
    </xf>
    <xf numFmtId="9" fontId="0" fillId="7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1" applyNumberFormat="1" applyFont="1" applyFill="1" applyBorder="1" applyAlignment="1" applyProtection="1">
      <alignment horizontal="center" vertical="center"/>
      <protection locked="0"/>
    </xf>
    <xf numFmtId="9" fontId="15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1" fontId="0" fillId="0" borderId="1" xfId="1" applyNumberFormat="1" applyFont="1" applyFill="1" applyBorder="1" applyAlignment="1" applyProtection="1">
      <alignment horizontal="center" vertical="center"/>
      <protection locked="0"/>
    </xf>
    <xf numFmtId="20" fontId="0" fillId="0" borderId="1" xfId="1" applyNumberFormat="1" applyFont="1" applyFill="1" applyBorder="1" applyAlignment="1" applyProtection="1">
      <alignment horizontal="center" vertical="center"/>
      <protection locked="0"/>
    </xf>
    <xf numFmtId="20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9" fontId="0" fillId="0" borderId="1" xfId="0" quotePrefix="1" applyNumberFormat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/>
    <xf numFmtId="20" fontId="0" fillId="0" borderId="1" xfId="0" applyNumberFormat="1" applyFon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0" fontId="15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11" borderId="1" xfId="0" applyFill="1" applyBorder="1" applyAlignment="1">
      <alignment horizontal="right"/>
    </xf>
  </cellXfs>
  <cellStyles count="3">
    <cellStyle name="Currency 2" xfId="2" xr:uid="{0B5A0569-F9CA-4301-8D80-0E12B1CCEE91}"/>
    <cellStyle name="Normal" xfId="0" builtinId="0"/>
    <cellStyle name="Percent" xfId="1" builtinId="5"/>
  </cellStyles>
  <dxfs count="1990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0" dT="2025-11-24T08:48:01.66" personId="{ED1D359B-D851-4826-88EF-B9650B16DF7A}" id="{BE66B7EB-1174-4C05-BA23-9B252216F247}">
    <text>Account is Inactive</text>
  </threadedComment>
  <threadedComment ref="AA10" dT="2025-11-24T08:48:01.66" personId="{ED1D359B-D851-4826-88EF-B9650B16DF7A}" id="{5F9B2C80-8C01-4E7C-B9A7-E798BB77D0B7}">
    <text>Account is Inactive</text>
  </threadedComment>
  <threadedComment ref="AB10" dT="2025-11-24T08:48:01.66" personId="{ED1D359B-D851-4826-88EF-B9650B16DF7A}" id="{A0C5AC97-D0E5-4815-81D0-7D20BCD528B7}">
    <text>Account is Inactive</text>
  </threadedComment>
  <threadedComment ref="AD10" dT="2025-11-24T08:48:01.66" personId="{ED1D359B-D851-4826-88EF-B9650B16DF7A}" id="{97917BEB-36FE-4ACA-8D73-8A5C1BCD8D36}">
    <text>Account is Inactive</text>
  </threadedComment>
  <threadedComment ref="AF10" dT="2026-02-24T09:47:42.01" personId="{ED1D359B-D851-4826-88EF-B9650B16DF7A}" id="{39FE8226-AF04-4575-B410-8DC2A26F838C}">
    <text>Account is Inactive</text>
  </threadedComment>
  <threadedComment ref="AH10" dT="2026-02-24T09:47:42.01" personId="{ED1D359B-D851-4826-88EF-B9650B16DF7A}" id="{62B818D8-E422-437A-AADA-844037255CC3}">
    <text>Account is Inactive</text>
  </threadedComment>
  <threadedComment ref="AJ10" dT="2026-02-24T09:47:42.01" personId="{ED1D359B-D851-4826-88EF-B9650B16DF7A}" id="{06E220A4-9492-40CB-B43A-A94F15AC3E29}">
    <text>Account is Inactive</text>
  </threadedComment>
  <threadedComment ref="Z11" dT="2025-11-24T08:48:01.66" personId="{ED1D359B-D851-4826-88EF-B9650B16DF7A}" id="{128205FD-0ADD-4A21-A191-749B144607C9}">
    <text>Account is Inactive</text>
  </threadedComment>
  <threadedComment ref="AA11" dT="2025-11-24T08:48:01.66" personId="{ED1D359B-D851-4826-88EF-B9650B16DF7A}" id="{F2955197-42C5-44D9-8598-7FF665A1AE18}">
    <text>Account is Inactive</text>
  </threadedComment>
  <threadedComment ref="AB11" dT="2025-11-24T08:48:01.66" personId="{ED1D359B-D851-4826-88EF-B9650B16DF7A}" id="{F6BC492C-25B8-42CC-A2B3-0692F33403B1}">
    <text>Account is Inactive</text>
  </threadedComment>
  <threadedComment ref="AF11" dT="2026-02-24T09:47:42.01" personId="{ED1D359B-D851-4826-88EF-B9650B16DF7A}" id="{C136B01B-B0B4-4589-BC6D-EEA050A56D39}">
    <text>Account is Inactive</text>
  </threadedComment>
  <threadedComment ref="AH11" dT="2026-02-24T09:47:42.01" personId="{ED1D359B-D851-4826-88EF-B9650B16DF7A}" id="{5774568B-9C6A-4FBA-87AA-7E09E31255E0}">
    <text>Account is Inactive</text>
  </threadedComment>
  <threadedComment ref="AJ11" dT="2026-02-24T09:47:42.01" personId="{ED1D359B-D851-4826-88EF-B9650B16DF7A}" id="{E0CC0F8E-F167-4F0E-9A71-203AB79AE1FF}">
    <text>Account is Inactive</text>
  </threadedComment>
  <threadedComment ref="Z12" dT="2025-11-24T08:48:01.66" personId="{ED1D359B-D851-4826-88EF-B9650B16DF7A}" id="{79177503-DA4D-44DD-9528-C2ACE0868176}">
    <text>Account is Inactive</text>
  </threadedComment>
  <threadedComment ref="AA12" dT="2025-11-24T08:48:01.66" personId="{ED1D359B-D851-4826-88EF-B9650B16DF7A}" id="{2EBFA44C-28B3-40F2-8C00-FA97E266C7D6}">
    <text>Account is Inactive</text>
  </threadedComment>
  <threadedComment ref="AB12" dT="2025-11-24T08:48:01.66" personId="{ED1D359B-D851-4826-88EF-B9650B16DF7A}" id="{EA663C64-3D2F-4ECA-8F65-96F9860FBB4D}">
    <text>Account is Inactive</text>
  </threadedComment>
  <threadedComment ref="AF12" dT="2026-02-24T09:47:42.01" personId="{ED1D359B-D851-4826-88EF-B9650B16DF7A}" id="{5A8DF23D-056D-4F5A-AD9F-BC9200A517E2}">
    <text>Account is Inactive</text>
  </threadedComment>
  <threadedComment ref="AH12" dT="2026-02-24T09:47:42.01" personId="{ED1D359B-D851-4826-88EF-B9650B16DF7A}" id="{90EBB90B-D473-45B6-B2CE-D0B384E0FDE0}">
    <text>Account is Inactive</text>
  </threadedComment>
  <threadedComment ref="AJ12" dT="2026-02-24T09:47:42.01" personId="{ED1D359B-D851-4826-88EF-B9650B16DF7A}" id="{34118B56-2599-4082-A89A-59EA956B107D}">
    <text>Account is Inactive</text>
  </threadedComment>
  <threadedComment ref="Z13" dT="2025-11-24T08:48:01.66" personId="{ED1D359B-D851-4826-88EF-B9650B16DF7A}" id="{6809E1A8-04ED-429A-A485-1827DE430319}">
    <text>Account is Inactive</text>
  </threadedComment>
  <threadedComment ref="AA13" dT="2025-11-24T08:48:01.66" personId="{ED1D359B-D851-4826-88EF-B9650B16DF7A}" id="{800F4D36-0FD9-4696-8548-AB232EAF41EA}">
    <text>Account is Inactive</text>
  </threadedComment>
  <threadedComment ref="AB13" dT="2025-11-24T08:48:01.66" personId="{ED1D359B-D851-4826-88EF-B9650B16DF7A}" id="{C4F10919-2F55-4A0B-901B-F38B4F2F1DA1}">
    <text>Account is Inactive</text>
  </threadedComment>
  <threadedComment ref="AF13" dT="2026-02-24T09:47:42.01" personId="{ED1D359B-D851-4826-88EF-B9650B16DF7A}" id="{7702CBD5-E14D-41C8-8544-5EDAB69DED8B}">
    <text>Account is Inactive</text>
  </threadedComment>
  <threadedComment ref="AH13" dT="2026-02-24T09:47:42.01" personId="{ED1D359B-D851-4826-88EF-B9650B16DF7A}" id="{AC72218E-1B69-404C-9298-66BEB4C95A16}">
    <text>Account is Inactive</text>
  </threadedComment>
  <threadedComment ref="AJ13" dT="2026-02-24T09:47:42.01" personId="{ED1D359B-D851-4826-88EF-B9650B16DF7A}" id="{06CA9A34-601B-491C-A30B-A3DF1C13DF6F}">
    <text>Account is Inactive</text>
  </threadedComment>
  <threadedComment ref="Z14" dT="2025-11-24T08:48:01.66" personId="{ED1D359B-D851-4826-88EF-B9650B16DF7A}" id="{AD76F86A-FF9B-41E6-B196-6CCC108A629E}">
    <text>Account is Inactive</text>
  </threadedComment>
  <threadedComment ref="AA14" dT="2025-11-24T08:48:01.66" personId="{ED1D359B-D851-4826-88EF-B9650B16DF7A}" id="{3921DF08-160B-41DC-A7F6-63C9657E7DB2}">
    <text>Account is Inactive</text>
  </threadedComment>
  <threadedComment ref="AB14" dT="2025-11-24T08:48:01.66" personId="{ED1D359B-D851-4826-88EF-B9650B16DF7A}" id="{890EAAC2-70A4-4922-86E1-27909D11F34C}">
    <text>Account is Inactive</text>
  </threadedComment>
  <threadedComment ref="AF14" dT="2026-02-24T09:47:42.01" personId="{ED1D359B-D851-4826-88EF-B9650B16DF7A}" id="{4DDBA288-3D5F-45A5-9E0B-0D6F23E99E1D}">
    <text>Account is Inactive</text>
  </threadedComment>
  <threadedComment ref="AH14" dT="2026-02-24T09:47:42.01" personId="{ED1D359B-D851-4826-88EF-B9650B16DF7A}" id="{27D1840D-F1CC-48B9-8708-6E20ABD2C26A}">
    <text>Account is Inactive</text>
  </threadedComment>
  <threadedComment ref="AJ14" dT="2026-02-24T09:47:42.01" personId="{ED1D359B-D851-4826-88EF-B9650B16DF7A}" id="{941FB6ED-7B7A-4C52-981C-33F1DBA921A1}">
    <text>Account is Inactive</text>
  </threadedComment>
  <threadedComment ref="Z15" dT="2025-11-24T08:48:01.66" personId="{ED1D359B-D851-4826-88EF-B9650B16DF7A}" id="{607CE74A-66EF-49AF-A423-D15AD6807E6A}">
    <text>Account is Inactive</text>
  </threadedComment>
  <threadedComment ref="AA15" dT="2025-11-24T08:48:01.66" personId="{ED1D359B-D851-4826-88EF-B9650B16DF7A}" id="{E1DA76CC-C269-4B59-9F12-FF19AA1266FB}">
    <text>Account is Inactive</text>
  </threadedComment>
  <threadedComment ref="AB15" dT="2025-11-24T08:48:01.66" personId="{ED1D359B-D851-4826-88EF-B9650B16DF7A}" id="{6D2D4A80-0A27-4D58-B5F9-FC2C6FF62F65}">
    <text>Account is Inactive</text>
  </threadedComment>
  <threadedComment ref="AF15" dT="2026-02-24T09:47:42.01" personId="{ED1D359B-D851-4826-88EF-B9650B16DF7A}" id="{5B217283-0ED3-4D06-8859-3694B88946C9}">
    <text>Account is Inactive</text>
  </threadedComment>
  <threadedComment ref="AH15" dT="2026-02-24T09:47:42.01" personId="{ED1D359B-D851-4826-88EF-B9650B16DF7A}" id="{9ED35F9A-1881-4BFF-BAC7-46176F859A4D}">
    <text>Account is Inactive</text>
  </threadedComment>
  <threadedComment ref="AJ15" dT="2026-02-24T09:47:42.01" personId="{ED1D359B-D851-4826-88EF-B9650B16DF7A}" id="{AB456B9D-2998-45B0-B566-0DDDED097281}">
    <text>Account is Inactive</text>
  </threadedComment>
  <threadedComment ref="Z16" dT="2025-11-24T08:48:01.66" personId="{ED1D359B-D851-4826-88EF-B9650B16DF7A}" id="{5B2C2BE4-F01A-4D62-A415-775B96EBA8E7}">
    <text>Account is Inactive</text>
  </threadedComment>
  <threadedComment ref="AA16" dT="2025-11-24T08:48:01.66" personId="{ED1D359B-D851-4826-88EF-B9650B16DF7A}" id="{60004511-9CDE-45F1-8DE0-54E2910C1871}">
    <text>Account is Inactive</text>
  </threadedComment>
  <threadedComment ref="AB16" dT="2025-11-24T08:48:01.66" personId="{ED1D359B-D851-4826-88EF-B9650B16DF7A}" id="{5092A264-D0DD-4D85-9306-A01F9F14DBE4}">
    <text>Account is Inactive</text>
  </threadedComment>
  <threadedComment ref="AF16" dT="2026-02-24T09:47:42.01" personId="{ED1D359B-D851-4826-88EF-B9650B16DF7A}" id="{B7A2E25A-D1F9-4401-ACC8-6AA5B77E9447}">
    <text>Account is Inactive</text>
  </threadedComment>
  <threadedComment ref="AH16" dT="2026-02-24T09:47:42.01" personId="{ED1D359B-D851-4826-88EF-B9650B16DF7A}" id="{37A1F069-014B-4468-A5AB-6DB9786C7310}">
    <text>Account is Inactive</text>
  </threadedComment>
  <threadedComment ref="AJ16" dT="2026-02-24T09:47:42.01" personId="{ED1D359B-D851-4826-88EF-B9650B16DF7A}" id="{8D8AF9A2-FF6D-4CAB-8B9E-76835B7498A7}">
    <text>Account is Inactive</text>
  </threadedComment>
  <threadedComment ref="L17" dT="2025-06-25T08:59:31.56" personId="{ED1D359B-D851-4826-88EF-B9650B16DF7A}" id="{BF435AF8-735D-4E5A-BED2-C1A1A429F31B}">
    <text>Ops. will not report May numbers as they will have to finalize the SLA with Client</text>
  </threadedComment>
  <threadedComment ref="M17" dT="2025-06-25T08:59:31.56" personId="{ED1D359B-D851-4826-88EF-B9650B16DF7A}" id="{A037AC92-12CC-426D-9E07-AD209A263758}">
    <text>Ops. will not report May numbers as they will have to finalize the SLA with Client</text>
  </threadedComment>
  <threadedComment ref="N17" dT="2025-06-25T08:59:31.56" personId="{ED1D359B-D851-4826-88EF-B9650B16DF7A}" id="{B8E10C1E-C1C7-4E98-B480-EB1A25AF919E}">
    <text>Ops. will not report May numbers as they will have to finalize the SLA with Client</text>
  </threadedComment>
  <threadedComment ref="O17" dT="2025-06-25T08:59:31.56" personId="{ED1D359B-D851-4826-88EF-B9650B16DF7A}" id="{ECDD2CD6-2EA3-45BE-AEAA-F51ED2560FBE}">
    <text>Ops. will not report May numbers as they will have to finalize the SLA with Client</text>
  </threadedComment>
  <threadedComment ref="P17" dT="2025-06-25T08:59:31.56" personId="{ED1D359B-D851-4826-88EF-B9650B16DF7A}" id="{5D2865DA-0E3F-48C6-B3AB-753AA1D7C23A}">
    <text>Ops. will not report May numbers as they will have to finalize the SLA with Client</text>
  </threadedComment>
  <threadedComment ref="Q17" dT="2025-06-25T08:59:31.56" personId="{ED1D359B-D851-4826-88EF-B9650B16DF7A}" id="{8C932B02-783D-4A77-86C1-93C5ABC208E7}">
    <text>Ops. will not report May numbers as they will have to finalize the SLA with Client</text>
  </threadedComment>
  <threadedComment ref="R17" dT="2025-06-25T08:59:31.56" personId="{ED1D359B-D851-4826-88EF-B9650B16DF7A}" id="{E8145B72-F79B-4C68-B59B-311CCC732850}">
    <text>Ops. will not report May numbers as they will have to finalize the SLA with Client</text>
  </threadedComment>
  <threadedComment ref="S17" dT="2025-06-25T08:59:31.56" personId="{ED1D359B-D851-4826-88EF-B9650B16DF7A}" id="{6F4BAE61-E493-4A38-B5F1-52A622765C83}">
    <text>Ops. will not report May numbers as they will have to finalize the SLA with Client</text>
  </threadedComment>
  <threadedComment ref="T17" dT="2025-06-25T08:59:31.56" personId="{ED1D359B-D851-4826-88EF-B9650B16DF7A}" id="{01EBD3B3-9D10-4BC4-B3FE-36645A053750}">
    <text>Ops. will not report May numbers as they will have to finalize the SLA with Client</text>
  </threadedComment>
  <threadedComment ref="U17" dT="2025-06-25T08:59:31.56" personId="{ED1D359B-D851-4826-88EF-B9650B16DF7A}" id="{3287699A-B54E-4113-B284-B4B3B77CD654}">
    <text>Ops. will not report May numbers as they will have to finalize the SLA with Client</text>
  </threadedComment>
  <threadedComment ref="V17" dT="2025-06-25T08:59:31.56" personId="{ED1D359B-D851-4826-88EF-B9650B16DF7A}" id="{413E1074-6CF5-4E1E-8B2B-7E6DDE31A96E}">
    <text>Ops. will not report May numbers as they will have to finalize the SLA with Client</text>
  </threadedComment>
  <threadedComment ref="W17" dT="2025-06-25T08:59:31.56" personId="{ED1D359B-D851-4826-88EF-B9650B16DF7A}" id="{F74B6612-468B-4769-B739-EBA3062FFCCA}">
    <text>Ops. will not report May numbers as they will have to finalize the SLA with Client</text>
  </threadedComment>
  <threadedComment ref="X17" dT="2025-06-25T08:59:31.56" personId="{ED1D359B-D851-4826-88EF-B9650B16DF7A}" id="{0344383E-E8A6-4783-91FA-1D06798C549D}">
    <text>Ops. will not report May numbers as they will have to finalize the SLA with Client</text>
  </threadedComment>
  <threadedComment ref="Y17" dT="2025-06-25T08:59:31.56" personId="{ED1D359B-D851-4826-88EF-B9650B16DF7A}" id="{FBB295B8-4FB2-4950-83DC-2B2B7B9BE0B9}">
    <text>Ops. will not report May numbers as they will have to finalize the SLA with Client</text>
  </threadedComment>
  <threadedComment ref="Z17" dT="2025-06-25T08:59:31.56" personId="{ED1D359B-D851-4826-88EF-B9650B16DF7A}" id="{A26FD928-FAF4-4999-A523-53CF2B20E88B}">
    <text>Ops. will not report May numbers as they will have to finalize the SLA with Client</text>
  </threadedComment>
  <threadedComment ref="AA17" dT="2025-06-25T08:59:31.56" personId="{ED1D359B-D851-4826-88EF-B9650B16DF7A}" id="{52E9AC95-D8BD-4E6A-83F9-0A9327784345}">
    <text>Ops. will not report May numbers as they will have to finalize the SLA with Client</text>
  </threadedComment>
  <threadedComment ref="AB17" dT="2025-11-24T08:48:01.66" personId="{ED1D359B-D851-4826-88EF-B9650B16DF7A}" id="{136DB154-1B3C-40CD-8AE6-E634ADFC0F72}">
    <text>Account is Inactive</text>
  </threadedComment>
  <threadedComment ref="AF17" dT="2026-02-24T13:58:27.89" personId="{5E6C111D-6CBD-463B-B75C-C6A667AF4364}" id="{1901FA0B-9095-4A4D-ADCD-63B284464844}">
    <text>Contract on hold</text>
  </threadedComment>
  <threadedComment ref="AH17" dT="2026-02-24T13:58:27.89" personId="{5E6C111D-6CBD-463B-B75C-C6A667AF4364}" id="{05F66FD9-B676-4E68-A2B3-5D6A67723762}">
    <text>Contract on hold</text>
  </threadedComment>
  <threadedComment ref="L18" dT="2025-06-25T08:59:31.56" personId="{ED1D359B-D851-4826-88EF-B9650B16DF7A}" id="{66C9F477-9EE3-4107-91D4-A99F5BB2B19F}">
    <text>Ops. will not report May numbers as they will have to finalize the SLA with Client</text>
  </threadedComment>
  <threadedComment ref="M18" dT="2025-06-25T08:59:31.56" personId="{ED1D359B-D851-4826-88EF-B9650B16DF7A}" id="{91544D97-C882-4AAB-947E-011A5C8C7BA2}">
    <text>Ops. will not report May numbers as they will have to finalize the SLA with Client</text>
  </threadedComment>
  <threadedComment ref="N18" dT="2025-06-25T08:59:31.56" personId="{ED1D359B-D851-4826-88EF-B9650B16DF7A}" id="{E5CA504A-92E6-4572-936F-FF531BC4D5D5}">
    <text>Ops. will not report May numbers as they will have to finalize the SLA with Client</text>
  </threadedComment>
  <threadedComment ref="O18" dT="2025-06-25T08:59:31.56" personId="{ED1D359B-D851-4826-88EF-B9650B16DF7A}" id="{75888DEA-A4D4-44AD-9011-FD7CE4B52CE9}">
    <text>Ops. will not report May numbers as they will have to finalize the SLA with Client</text>
  </threadedComment>
  <threadedComment ref="P18" dT="2025-06-25T08:59:31.56" personId="{ED1D359B-D851-4826-88EF-B9650B16DF7A}" id="{E54C4B8F-5C8D-4779-81D2-3EF0DBB3BEB5}">
    <text>Ops. will not report May numbers as they will have to finalize the SLA with Client</text>
  </threadedComment>
  <threadedComment ref="Q18" dT="2025-06-25T08:59:31.56" personId="{ED1D359B-D851-4826-88EF-B9650B16DF7A}" id="{C113B8D4-12DA-4B35-A05E-F5C206800A5C}">
    <text>Ops. will not report May numbers as they will have to finalize the SLA with Client</text>
  </threadedComment>
  <threadedComment ref="R18" dT="2025-06-25T08:59:31.56" personId="{ED1D359B-D851-4826-88EF-B9650B16DF7A}" id="{488DD937-ADD2-4E4E-B28D-114F082FE61D}">
    <text>Ops. will not report May numbers as they will have to finalize the SLA with Client</text>
  </threadedComment>
  <threadedComment ref="S18" dT="2025-06-25T08:59:31.56" personId="{ED1D359B-D851-4826-88EF-B9650B16DF7A}" id="{D3FD3F76-0E26-434B-BFE0-782429A9A8B0}">
    <text>Ops. will not report May numbers as they will have to finalize the SLA with Client</text>
  </threadedComment>
  <threadedComment ref="T18" dT="2025-06-25T08:59:31.56" personId="{ED1D359B-D851-4826-88EF-B9650B16DF7A}" id="{73135193-8DEB-4C2C-9DE5-23ABEA45C3A4}">
    <text>Ops. will not report May numbers as they will have to finalize the SLA with Client</text>
  </threadedComment>
  <threadedComment ref="U18" dT="2025-06-25T08:59:31.56" personId="{ED1D359B-D851-4826-88EF-B9650B16DF7A}" id="{CD425B01-497A-4358-AE6C-B60A50F23795}">
    <text>Ops. will not report May numbers as they will have to finalize the SLA with Client</text>
  </threadedComment>
  <threadedComment ref="V18" dT="2025-06-25T08:59:31.56" personId="{ED1D359B-D851-4826-88EF-B9650B16DF7A}" id="{47C44651-4FD0-4536-B5C3-3C3E7D2F33E4}">
    <text>Ops. will not report May numbers as they will have to finalize the SLA with Client</text>
  </threadedComment>
  <threadedComment ref="W18" dT="2025-06-25T08:59:31.56" personId="{ED1D359B-D851-4826-88EF-B9650B16DF7A}" id="{0EB81559-0263-4633-8ACD-9A12639CEE34}">
    <text>Ops. will not report May numbers as they will have to finalize the SLA with Client</text>
  </threadedComment>
  <threadedComment ref="X18" dT="2025-06-25T08:59:31.56" personId="{ED1D359B-D851-4826-88EF-B9650B16DF7A}" id="{27C1EE63-CF0E-4A43-8B06-AA7531650810}">
    <text>Ops. will not report May numbers as they will have to finalize the SLA with Client</text>
  </threadedComment>
  <threadedComment ref="Y18" dT="2025-06-25T08:59:31.56" personId="{ED1D359B-D851-4826-88EF-B9650B16DF7A}" id="{79BDF773-0B5A-4B4A-A9C3-90B514DC2DE1}">
    <text>Ops. will not report May numbers as they will have to finalize the SLA with Client</text>
  </threadedComment>
  <threadedComment ref="Z18" dT="2025-06-25T08:59:31.56" personId="{ED1D359B-D851-4826-88EF-B9650B16DF7A}" id="{53353608-78A4-4C8D-A408-8D3EE2600F8D}">
    <text>Ops. will not report May numbers as they will have to finalize the SLA with Client</text>
  </threadedComment>
  <threadedComment ref="AA18" dT="2025-06-25T08:59:31.56" personId="{ED1D359B-D851-4826-88EF-B9650B16DF7A}" id="{4E886FF1-5E91-4333-802B-AC707E2F2F04}">
    <text>Ops. will not report May numbers as they will have to finalize the SLA with Client</text>
  </threadedComment>
  <threadedComment ref="AB18" dT="2025-11-24T08:48:01.66" personId="{ED1D359B-D851-4826-88EF-B9650B16DF7A}" id="{0C753714-E255-472B-B3D9-7B7DCCC05CEA}">
    <text>Account is Inactive</text>
  </threadedComment>
  <threadedComment ref="AF18" dT="2026-02-24T13:58:27.89" personId="{5E6C111D-6CBD-463B-B75C-C6A667AF4364}" id="{4455BE66-9121-4172-A40A-87E1D607EE11}">
    <text>Contract on hold</text>
  </threadedComment>
  <threadedComment ref="L19" dT="2025-06-25T08:59:31.56" personId="{ED1D359B-D851-4826-88EF-B9650B16DF7A}" id="{87845662-88B8-4F55-8C0A-4219022A1453}">
    <text>Ops. will not report May numbers as they will have to finalize the SLA with Client</text>
  </threadedComment>
  <threadedComment ref="M19" dT="2025-06-25T08:59:31.56" personId="{ED1D359B-D851-4826-88EF-B9650B16DF7A}" id="{631B9B4A-428E-4767-A836-2094E89B32EA}">
    <text>Ops. will not report May numbers as they will have to finalize the SLA with Client</text>
  </threadedComment>
  <threadedComment ref="N19" dT="2025-06-25T08:59:31.56" personId="{ED1D359B-D851-4826-88EF-B9650B16DF7A}" id="{5571AD21-44F1-4650-A984-66C1B98EC9C5}">
    <text>Ops. will not report May numbers as they will have to finalize the SLA with Client</text>
  </threadedComment>
  <threadedComment ref="O19" dT="2025-06-25T08:59:31.56" personId="{ED1D359B-D851-4826-88EF-B9650B16DF7A}" id="{9B47CB67-04BA-41EE-B20D-1BB2961D0F62}">
    <text>Ops. will not report May numbers as they will have to finalize the SLA with Client</text>
  </threadedComment>
  <threadedComment ref="P19" dT="2025-06-25T08:59:31.56" personId="{ED1D359B-D851-4826-88EF-B9650B16DF7A}" id="{64C463E2-54D4-45DB-8F3B-9393F74FB7ED}">
    <text>Ops. will not report May numbers as they will have to finalize the SLA with Client</text>
  </threadedComment>
  <threadedComment ref="Q19" dT="2025-06-25T08:59:31.56" personId="{ED1D359B-D851-4826-88EF-B9650B16DF7A}" id="{A7D4DFDC-D753-4381-9350-3704B7D8E3E4}">
    <text>Ops. will not report May numbers as they will have to finalize the SLA with Client</text>
  </threadedComment>
  <threadedComment ref="R19" dT="2025-06-25T08:59:31.56" personId="{ED1D359B-D851-4826-88EF-B9650B16DF7A}" id="{2906682C-18FB-4FED-AAA4-13B887A31967}">
    <text>Ops. will not report May numbers as they will have to finalize the SLA with Client</text>
  </threadedComment>
  <threadedComment ref="S19" dT="2025-06-25T08:59:31.56" personId="{ED1D359B-D851-4826-88EF-B9650B16DF7A}" id="{408EE81C-10C1-4DB9-A848-0800380C3E22}">
    <text>Ops. will not report May numbers as they will have to finalize the SLA with Client</text>
  </threadedComment>
  <threadedComment ref="T19" dT="2025-06-25T08:59:31.56" personId="{ED1D359B-D851-4826-88EF-B9650B16DF7A}" id="{B64AB1B1-C546-459F-8D65-26B0133586FA}">
    <text>Ops. will not report May numbers as they will have to finalize the SLA with Client</text>
  </threadedComment>
  <threadedComment ref="U19" dT="2025-06-25T08:59:31.56" personId="{ED1D359B-D851-4826-88EF-B9650B16DF7A}" id="{2E5F52F6-7CA1-47FA-AC09-23189A3CFD02}">
    <text>Ops. will not report May numbers as they will have to finalize the SLA with Client</text>
  </threadedComment>
  <threadedComment ref="V19" dT="2025-06-25T08:59:31.56" personId="{ED1D359B-D851-4826-88EF-B9650B16DF7A}" id="{4B412DC5-5AB5-4CAC-A2FC-65F1081E9B9A}">
    <text>Ops. will not report May numbers as they will have to finalize the SLA with Client</text>
  </threadedComment>
  <threadedComment ref="W19" dT="2025-06-25T08:59:31.56" personId="{ED1D359B-D851-4826-88EF-B9650B16DF7A}" id="{5F97D0B2-A5F6-4D05-9F43-3EAA69BAE1A4}">
    <text>Ops. will not report May numbers as they will have to finalize the SLA with Client</text>
  </threadedComment>
  <threadedComment ref="X19" dT="2025-06-25T08:59:31.56" personId="{ED1D359B-D851-4826-88EF-B9650B16DF7A}" id="{170FE58B-EFC4-4828-8ECE-8B01FC34D97C}">
    <text>Ops. will not report May numbers as they will have to finalize the SLA with Client</text>
  </threadedComment>
  <threadedComment ref="Y19" dT="2025-06-25T08:59:31.56" personId="{ED1D359B-D851-4826-88EF-B9650B16DF7A}" id="{00746DDE-33B9-4DF3-B980-7B1AF0586619}">
    <text>Ops. will not report May numbers as they will have to finalize the SLA with Client</text>
  </threadedComment>
  <threadedComment ref="Z19" dT="2025-06-25T08:59:31.56" personId="{ED1D359B-D851-4826-88EF-B9650B16DF7A}" id="{A6C9CCD3-81E1-43AB-B14E-5ABA0F3B1567}">
    <text>Ops. will not report May numbers as they will have to finalize the SLA with Client</text>
  </threadedComment>
  <threadedComment ref="AA19" dT="2025-06-25T08:59:31.56" personId="{ED1D359B-D851-4826-88EF-B9650B16DF7A}" id="{20615FAC-4BD4-4080-A969-56C14A757D67}">
    <text>Ops. will not report May numbers as they will have to finalize the SLA with Client</text>
  </threadedComment>
  <threadedComment ref="AB19" dT="2025-11-24T08:48:01.66" personId="{ED1D359B-D851-4826-88EF-B9650B16DF7A}" id="{5D6F07EC-20AC-4FA1-90A3-2734D3D055A0}">
    <text>Account is Inactive</text>
  </threadedComment>
  <threadedComment ref="AF19" dT="2026-02-24T13:58:27.89" personId="{5E6C111D-6CBD-463B-B75C-C6A667AF4364}" id="{9B13738D-0B32-46ED-93C4-48696A43E847}">
    <text>Contract on hold</text>
  </threadedComment>
  <threadedComment ref="L20" dT="2025-06-25T08:59:31.56" personId="{ED1D359B-D851-4826-88EF-B9650B16DF7A}" id="{6385483C-4A6D-402F-88F1-6F7F7F0A408C}">
    <text>Ops. will not report May numbers as they will have to finalize the SLA with Client</text>
  </threadedComment>
  <threadedComment ref="M20" dT="2025-06-25T08:59:31.56" personId="{ED1D359B-D851-4826-88EF-B9650B16DF7A}" id="{116A3A13-E1D6-4002-89C1-A9BAE4777F01}">
    <text>Ops. will not report May numbers as they will have to finalize the SLA with Client</text>
  </threadedComment>
  <threadedComment ref="N20" dT="2025-06-25T08:59:31.56" personId="{ED1D359B-D851-4826-88EF-B9650B16DF7A}" id="{2DC118E7-2CA3-4400-B576-84D2A72F92F8}">
    <text>Ops. will not report May numbers as they will have to finalize the SLA with Client</text>
  </threadedComment>
  <threadedComment ref="O20" dT="2025-06-25T08:59:31.56" personId="{ED1D359B-D851-4826-88EF-B9650B16DF7A}" id="{5B8CFC5D-3EB3-4CC2-A5C0-D7ECA323E6A8}">
    <text>Ops. will not report May numbers as they will have to finalize the SLA with Client</text>
  </threadedComment>
  <threadedComment ref="P20" dT="2025-06-25T08:59:31.56" personId="{ED1D359B-D851-4826-88EF-B9650B16DF7A}" id="{28D6FD8B-5028-4307-8198-DDD295174FB3}">
    <text>Ops. will not report May numbers as they will have to finalize the SLA with Client</text>
  </threadedComment>
  <threadedComment ref="Q20" dT="2025-06-25T08:59:31.56" personId="{ED1D359B-D851-4826-88EF-B9650B16DF7A}" id="{4D0F44D8-E01B-46BE-A8CF-B25DB5880C0F}">
    <text>Ops. will not report May numbers as they will have to finalize the SLA with Client</text>
  </threadedComment>
  <threadedComment ref="R20" dT="2025-06-25T08:59:31.56" personId="{ED1D359B-D851-4826-88EF-B9650B16DF7A}" id="{F2041B43-3817-46EF-80F5-AE82DBF14BB4}">
    <text>Ops. will not report May numbers as they will have to finalize the SLA with Client</text>
  </threadedComment>
  <threadedComment ref="S20" dT="2025-06-25T08:59:31.56" personId="{ED1D359B-D851-4826-88EF-B9650B16DF7A}" id="{733F8505-C2B9-4D70-BE0D-6A1F7636013C}">
    <text>Ops. will not report May numbers as they will have to finalize the SLA with Client</text>
  </threadedComment>
  <threadedComment ref="T20" dT="2025-06-25T08:59:31.56" personId="{ED1D359B-D851-4826-88EF-B9650B16DF7A}" id="{7F14E322-FFAD-4299-A18E-48DE3F63B725}">
    <text>Ops. will not report May numbers as they will have to finalize the SLA with Client</text>
  </threadedComment>
  <threadedComment ref="U20" dT="2025-06-25T08:59:31.56" personId="{ED1D359B-D851-4826-88EF-B9650B16DF7A}" id="{BAE9B8A6-DDEA-4C5D-9225-6C2449EBF0AC}">
    <text>Ops. will not report May numbers as they will have to finalize the SLA with Client</text>
  </threadedComment>
  <threadedComment ref="V20" dT="2025-06-25T08:59:31.56" personId="{ED1D359B-D851-4826-88EF-B9650B16DF7A}" id="{3B29AF4D-6B57-4CF8-9888-EEC0CA151426}">
    <text>Ops. will not report May numbers as they will have to finalize the SLA with Client</text>
  </threadedComment>
  <threadedComment ref="W20" dT="2025-06-25T08:59:31.56" personId="{ED1D359B-D851-4826-88EF-B9650B16DF7A}" id="{4AF58088-7A9D-436C-A64F-3469437FEE4E}">
    <text>Ops. will not report May numbers as they will have to finalize the SLA with Client</text>
  </threadedComment>
  <threadedComment ref="X20" dT="2025-06-25T08:59:31.56" personId="{ED1D359B-D851-4826-88EF-B9650B16DF7A}" id="{FA3048AE-2744-4DFF-AD55-E91369DEF0EF}">
    <text>Ops. will not report May numbers as they will have to finalize the SLA with Client</text>
  </threadedComment>
  <threadedComment ref="Y20" dT="2025-06-25T08:59:31.56" personId="{ED1D359B-D851-4826-88EF-B9650B16DF7A}" id="{37D0B681-72A9-4CF2-84AF-BF0475B72BF8}">
    <text>Ops. will not report May numbers as they will have to finalize the SLA with Client</text>
  </threadedComment>
  <threadedComment ref="Z20" dT="2025-06-25T08:59:31.56" personId="{ED1D359B-D851-4826-88EF-B9650B16DF7A}" id="{FD7CE94C-5F8A-45FD-A2B4-B28DE5E68993}">
    <text>Ops. will not report May numbers as they will have to finalize the SLA with Client</text>
  </threadedComment>
  <threadedComment ref="AA20" dT="2025-06-25T08:59:31.56" personId="{ED1D359B-D851-4826-88EF-B9650B16DF7A}" id="{239B29FA-8988-490E-BC97-75BEADFD3FA5}">
    <text>Ops. will not report May numbers as they will have to finalize the SLA with Client</text>
  </threadedComment>
  <threadedComment ref="AB20" dT="2025-11-24T08:48:01.66" personId="{ED1D359B-D851-4826-88EF-B9650B16DF7A}" id="{22D110CC-E567-4887-8771-35B637822E1E}">
    <text>Account is Inactive</text>
  </threadedComment>
  <threadedComment ref="AF20" dT="2026-02-24T13:58:27.89" personId="{5E6C111D-6CBD-463B-B75C-C6A667AF4364}" id="{CEEF37D3-FB12-4E6C-9C75-6DFF40697E75}">
    <text>Contract on hold</text>
  </threadedComment>
  <threadedComment ref="L21" dT="2025-06-25T08:59:31.56" personId="{ED1D359B-D851-4826-88EF-B9650B16DF7A}" id="{C67F0B73-7194-4821-A150-ECF451B0EED8}">
    <text>Ops. will not report May numbers as they will have to finalize the SLA with Client</text>
  </threadedComment>
  <threadedComment ref="M21" dT="2025-06-25T08:59:31.56" personId="{ED1D359B-D851-4826-88EF-B9650B16DF7A}" id="{B862F6A6-DA8E-4FFC-88A0-62A10C49D2F4}">
    <text>Ops. will not report May numbers as they will have to finalize the SLA with Client</text>
  </threadedComment>
  <threadedComment ref="N21" dT="2025-06-25T08:59:31.56" personId="{ED1D359B-D851-4826-88EF-B9650B16DF7A}" id="{BC3F649D-5180-479E-B6BD-2D1EA32C4541}">
    <text>Ops. will not report May numbers as they will have to finalize the SLA with Client</text>
  </threadedComment>
  <threadedComment ref="O21" dT="2025-06-25T08:59:31.56" personId="{ED1D359B-D851-4826-88EF-B9650B16DF7A}" id="{0FA9A2ED-CEA1-40E6-902D-D08B55A3667E}">
    <text>Ops. will not report May numbers as they will have to finalize the SLA with Client</text>
  </threadedComment>
  <threadedComment ref="P21" dT="2025-06-25T08:59:31.56" personId="{ED1D359B-D851-4826-88EF-B9650B16DF7A}" id="{322D1E08-C254-4C95-815B-D460A7A28C20}">
    <text>Ops. will not report May numbers as they will have to finalize the SLA with Client</text>
  </threadedComment>
  <threadedComment ref="Q21" dT="2025-06-25T08:59:31.56" personId="{ED1D359B-D851-4826-88EF-B9650B16DF7A}" id="{287AFC25-3AE8-4671-8183-B9E85448E826}">
    <text>Ops. will not report May numbers as they will have to finalize the SLA with Client</text>
  </threadedComment>
  <threadedComment ref="R21" dT="2025-06-25T08:59:31.56" personId="{ED1D359B-D851-4826-88EF-B9650B16DF7A}" id="{FF83AA18-D456-4F7D-B7E2-C7FE214391FD}">
    <text>Ops. will not report May numbers as they will have to finalize the SLA with Client</text>
  </threadedComment>
  <threadedComment ref="S21" dT="2025-06-25T08:59:31.56" personId="{ED1D359B-D851-4826-88EF-B9650B16DF7A}" id="{A57E989C-19B4-4826-AD07-B3C7BAD7A0E4}">
    <text>Ops. will not report May numbers as they will have to finalize the SLA with Client</text>
  </threadedComment>
  <threadedComment ref="T21" dT="2025-06-25T08:59:31.56" personId="{ED1D359B-D851-4826-88EF-B9650B16DF7A}" id="{7DF88A5C-960F-44E8-AB87-22BD0A4AE0C4}">
    <text>Ops. will not report May numbers as they will have to finalize the SLA with Client</text>
  </threadedComment>
  <threadedComment ref="U21" dT="2025-06-25T08:59:31.56" personId="{ED1D359B-D851-4826-88EF-B9650B16DF7A}" id="{401B041E-72C5-4C72-9DE6-5522D79D4945}">
    <text>Ops. will not report May numbers as they will have to finalize the SLA with Client</text>
  </threadedComment>
  <threadedComment ref="V21" dT="2025-06-25T08:59:31.56" personId="{ED1D359B-D851-4826-88EF-B9650B16DF7A}" id="{7A2E9139-D3C6-410A-82CE-AC4A50CD432D}">
    <text>Ops. will not report May numbers as they will have to finalize the SLA with Client</text>
  </threadedComment>
  <threadedComment ref="W21" dT="2025-06-25T08:59:31.56" personId="{ED1D359B-D851-4826-88EF-B9650B16DF7A}" id="{B5FCCE84-01E1-46A2-B928-71C064EB73ED}">
    <text>Ops. will not report May numbers as they will have to finalize the SLA with Client</text>
  </threadedComment>
  <threadedComment ref="X21" dT="2025-06-25T08:59:31.56" personId="{ED1D359B-D851-4826-88EF-B9650B16DF7A}" id="{2A75BED7-E20D-49BF-893B-1DE6818C73B7}">
    <text>Ops. will not report May numbers as they will have to finalize the SLA with Client</text>
  </threadedComment>
  <threadedComment ref="Y21" dT="2025-06-25T08:59:31.56" personId="{ED1D359B-D851-4826-88EF-B9650B16DF7A}" id="{BB8370F4-3B4D-4E60-8B23-4952BB0F8B75}">
    <text>Ops. will not report May numbers as they will have to finalize the SLA with Client</text>
  </threadedComment>
  <threadedComment ref="Z21" dT="2025-06-25T08:59:31.56" personId="{ED1D359B-D851-4826-88EF-B9650B16DF7A}" id="{6CB1F6EA-3D25-4574-BA4A-C6224DFEB21D}">
    <text>Ops. will not report May numbers as they will have to finalize the SLA with Client</text>
  </threadedComment>
  <threadedComment ref="AA21" dT="2025-06-25T08:59:31.56" personId="{ED1D359B-D851-4826-88EF-B9650B16DF7A}" id="{8549B3C9-7F0C-4EAE-AB75-0085BB6147E8}">
    <text>Ops. will not report May numbers as they will have to finalize the SLA with Client</text>
  </threadedComment>
  <threadedComment ref="AB21" dT="2025-11-24T08:48:01.66" personId="{ED1D359B-D851-4826-88EF-B9650B16DF7A}" id="{737E264C-3E54-4B85-BAC8-9F33C3C4D0A2}">
    <text>Account is Inactive</text>
  </threadedComment>
  <threadedComment ref="AF21" dT="2026-02-24T13:58:27.89" personId="{5E6C111D-6CBD-463B-B75C-C6A667AF4364}" id="{29693776-7223-4FED-A1C1-E415073A7C46}">
    <text>Contract on hold</text>
  </threadedComment>
  <threadedComment ref="L22" dT="2025-06-25T08:59:31.56" personId="{ED1D359B-D851-4826-88EF-B9650B16DF7A}" id="{270AFF81-89ED-4CEF-A3AA-8BE3DE6AF656}">
    <text>Ops. will not report May numbers as they will have to finalize the SLA with Client</text>
  </threadedComment>
  <threadedComment ref="M22" dT="2025-06-25T08:59:31.56" personId="{ED1D359B-D851-4826-88EF-B9650B16DF7A}" id="{A7C689E4-B695-47E7-A18F-0186275FA7F5}">
    <text>Ops. will not report May numbers as they will have to finalize the SLA with Client</text>
  </threadedComment>
  <threadedComment ref="N22" dT="2025-06-25T08:59:31.56" personId="{ED1D359B-D851-4826-88EF-B9650B16DF7A}" id="{343B47D2-B76D-42F6-838D-2F12BDF7D47B}">
    <text>Ops. will not report May numbers as they will have to finalize the SLA with Client</text>
  </threadedComment>
  <threadedComment ref="O22" dT="2025-06-25T08:59:31.56" personId="{ED1D359B-D851-4826-88EF-B9650B16DF7A}" id="{7FC9DACB-9B87-4C53-9D8C-9C8DF96CE0B1}">
    <text>Ops. will not report May numbers as they will have to finalize the SLA with Client</text>
  </threadedComment>
  <threadedComment ref="P22" dT="2025-06-25T08:59:31.56" personId="{ED1D359B-D851-4826-88EF-B9650B16DF7A}" id="{52A2B4D5-17BC-46FB-81C5-FBE5406C4033}">
    <text>Ops. will not report May numbers as they will have to finalize the SLA with Client</text>
  </threadedComment>
  <threadedComment ref="Q22" dT="2025-06-25T08:59:31.56" personId="{ED1D359B-D851-4826-88EF-B9650B16DF7A}" id="{D0E91E02-0AA9-4996-AAE3-1DCE6A65A788}">
    <text>Ops. will not report May numbers as they will have to finalize the SLA with Client</text>
  </threadedComment>
  <threadedComment ref="R22" dT="2025-06-25T08:59:31.56" personId="{ED1D359B-D851-4826-88EF-B9650B16DF7A}" id="{F63DF763-29FE-48AC-B747-7C4A8AAE457D}">
    <text>Ops. will not report May numbers as they will have to finalize the SLA with Client</text>
  </threadedComment>
  <threadedComment ref="S22" dT="2025-06-25T08:59:31.56" personId="{ED1D359B-D851-4826-88EF-B9650B16DF7A}" id="{3AACFF47-A6D5-4498-822E-B79DA0BEF45F}">
    <text>Ops. will not report May numbers as they will have to finalize the SLA with Client</text>
  </threadedComment>
  <threadedComment ref="T22" dT="2025-06-25T08:59:31.56" personId="{ED1D359B-D851-4826-88EF-B9650B16DF7A}" id="{2F087531-89CA-4B7A-BD2E-50B405AF2F60}">
    <text>Ops. will not report May numbers as they will have to finalize the SLA with Client</text>
  </threadedComment>
  <threadedComment ref="U22" dT="2025-06-25T08:59:31.56" personId="{ED1D359B-D851-4826-88EF-B9650B16DF7A}" id="{8453C4AE-F2CC-420B-9B73-EFBF78F3CD19}">
    <text>Ops. will not report May numbers as they will have to finalize the SLA with Client</text>
  </threadedComment>
  <threadedComment ref="V22" dT="2025-06-25T08:59:31.56" personId="{ED1D359B-D851-4826-88EF-B9650B16DF7A}" id="{7EBC76B5-4500-4A24-9C87-BF76C97F6181}">
    <text>Ops. will not report May numbers as they will have to finalize the SLA with Client</text>
  </threadedComment>
  <threadedComment ref="W22" dT="2025-06-25T08:59:31.56" personId="{ED1D359B-D851-4826-88EF-B9650B16DF7A}" id="{135B7781-6AC5-4667-AB5B-FAAA87A76DD2}">
    <text>Ops. will not report May numbers as they will have to finalize the SLA with Client</text>
  </threadedComment>
  <threadedComment ref="X22" dT="2025-06-25T08:59:31.56" personId="{ED1D359B-D851-4826-88EF-B9650B16DF7A}" id="{49AC0825-7963-4CA3-953D-E8DCBE154506}">
    <text>Ops. will not report May numbers as they will have to finalize the SLA with Client</text>
  </threadedComment>
  <threadedComment ref="Y22" dT="2025-06-25T08:59:31.56" personId="{ED1D359B-D851-4826-88EF-B9650B16DF7A}" id="{E2C5EF6D-ABCE-4B47-BE66-65084C00403A}">
    <text>Ops. will not report May numbers as they will have to finalize the SLA with Client</text>
  </threadedComment>
  <threadedComment ref="Z22" dT="2025-06-25T08:59:31.56" personId="{ED1D359B-D851-4826-88EF-B9650B16DF7A}" id="{728AFC9D-0894-498E-90DA-071305F39C57}">
    <text>Ops. will not report May numbers as they will have to finalize the SLA with Client</text>
  </threadedComment>
  <threadedComment ref="AA22" dT="2025-06-25T08:59:31.56" personId="{ED1D359B-D851-4826-88EF-B9650B16DF7A}" id="{D7F55876-D85F-4B99-B6F1-6AE4AD85D640}">
    <text>Ops. will not report May numbers as they will have to finalize the SLA with Client</text>
  </threadedComment>
  <threadedComment ref="AB22" dT="2025-11-24T08:48:01.66" personId="{ED1D359B-D851-4826-88EF-B9650B16DF7A}" id="{C7ADDD7C-9F82-4185-B094-238F00F4E13F}">
    <text>Account is Inactive</text>
  </threadedComment>
  <threadedComment ref="AF22" dT="2026-02-24T13:58:27.89" personId="{5E6C111D-6CBD-463B-B75C-C6A667AF4364}" id="{F0D78132-EB5D-4CFE-B83A-A3F4D9741F39}">
    <text>Contract on hold</text>
  </threadedComment>
  <threadedComment ref="L23" dT="2025-06-25T08:59:31.56" personId="{ED1D359B-D851-4826-88EF-B9650B16DF7A}" id="{3B9F1908-5642-45C6-B720-F0E004CF5EA8}">
    <text>Ops. will not report May numbers as they will have to finalize the SLA with Client</text>
  </threadedComment>
  <threadedComment ref="M23" dT="2025-06-25T08:59:31.56" personId="{ED1D359B-D851-4826-88EF-B9650B16DF7A}" id="{827AF81A-DC7E-4609-95EF-DA0F6D5EFDBC}">
    <text>Ops. will not report May numbers as they will have to finalize the SLA with Client</text>
  </threadedComment>
  <threadedComment ref="N23" dT="2025-06-25T08:59:31.56" personId="{ED1D359B-D851-4826-88EF-B9650B16DF7A}" id="{AE6C3745-EF2F-4990-A799-D4DE68BC6719}">
    <text>Ops. will not report May numbers as they will have to finalize the SLA with Client</text>
  </threadedComment>
  <threadedComment ref="O23" dT="2025-06-25T08:59:31.56" personId="{ED1D359B-D851-4826-88EF-B9650B16DF7A}" id="{6C31C625-A367-4832-8738-6C25284014DD}">
    <text>Ops. will not report May numbers as they will have to finalize the SLA with Client</text>
  </threadedComment>
  <threadedComment ref="P23" dT="2025-06-25T08:59:31.56" personId="{ED1D359B-D851-4826-88EF-B9650B16DF7A}" id="{25CE2073-1558-45C5-9300-2AFCD6FC4DB4}">
    <text>Ops. will not report May numbers as they will have to finalize the SLA with Client</text>
  </threadedComment>
  <threadedComment ref="Q23" dT="2025-06-25T08:59:31.56" personId="{ED1D359B-D851-4826-88EF-B9650B16DF7A}" id="{BC777CF4-6AFE-4AD2-9D09-A75924B4A519}">
    <text>Ops. will not report May numbers as they will have to finalize the SLA with Client</text>
  </threadedComment>
  <threadedComment ref="R23" dT="2025-06-25T08:59:31.56" personId="{ED1D359B-D851-4826-88EF-B9650B16DF7A}" id="{DF369BC7-C7C1-4935-8945-47D21A0B6651}">
    <text>Ops. will not report May numbers as they will have to finalize the SLA with Client</text>
  </threadedComment>
  <threadedComment ref="S23" dT="2025-06-25T08:59:31.56" personId="{ED1D359B-D851-4826-88EF-B9650B16DF7A}" id="{0141ACE5-F66A-4038-9826-D157C1E52B07}">
    <text>Ops. will not report May numbers as they will have to finalize the SLA with Client</text>
  </threadedComment>
  <threadedComment ref="T23" dT="2025-06-25T08:59:31.56" personId="{ED1D359B-D851-4826-88EF-B9650B16DF7A}" id="{75AAC5D5-D9DC-4464-B934-4EBCA2BB71AF}">
    <text>Ops. will not report May numbers as they will have to finalize the SLA with Client</text>
  </threadedComment>
  <threadedComment ref="U23" dT="2025-06-25T08:59:31.56" personId="{ED1D359B-D851-4826-88EF-B9650B16DF7A}" id="{48557437-1C1F-4DC1-87E3-46AED1BE8615}">
    <text>Ops. will not report May numbers as they will have to finalize the SLA with Client</text>
  </threadedComment>
  <threadedComment ref="V23" dT="2025-06-25T08:59:31.56" personId="{ED1D359B-D851-4826-88EF-B9650B16DF7A}" id="{7A3ECEDB-E6E2-40DD-ADB8-A7C1E1D190BF}">
    <text>Ops. will not report May numbers as they will have to finalize the SLA with Client</text>
  </threadedComment>
  <threadedComment ref="W23" dT="2025-06-25T08:59:31.56" personId="{ED1D359B-D851-4826-88EF-B9650B16DF7A}" id="{93364DD8-A760-4A26-89E2-03A6CE4B9A36}">
    <text>Ops. will not report May numbers as they will have to finalize the SLA with Client</text>
  </threadedComment>
  <threadedComment ref="X23" dT="2025-06-25T08:59:31.56" personId="{ED1D359B-D851-4826-88EF-B9650B16DF7A}" id="{16F7C5DE-9C5E-40EB-AD78-DF8B2313D0BF}">
    <text>Ops. will not report May numbers as they will have to finalize the SLA with Client</text>
  </threadedComment>
  <threadedComment ref="Y23" dT="2025-06-25T08:59:31.56" personId="{ED1D359B-D851-4826-88EF-B9650B16DF7A}" id="{DCDC3537-6D1E-4B85-833C-8AFE4DE3A8E7}">
    <text>Ops. will not report May numbers as they will have to finalize the SLA with Client</text>
  </threadedComment>
  <threadedComment ref="Z23" dT="2025-06-25T08:59:31.56" personId="{ED1D359B-D851-4826-88EF-B9650B16DF7A}" id="{036E9B9E-32B0-4A74-8864-741DE4759B01}">
    <text>Ops. will not report May numbers as they will have to finalize the SLA with Client</text>
  </threadedComment>
  <threadedComment ref="AA23" dT="2025-06-25T08:59:31.56" personId="{ED1D359B-D851-4826-88EF-B9650B16DF7A}" id="{80155399-3E9A-48A5-B26C-20511579FDE7}">
    <text>Ops. will not report May numbers as they will have to finalize the SLA with Client</text>
  </threadedComment>
  <threadedComment ref="AB23" dT="2025-11-24T08:48:01.66" personId="{ED1D359B-D851-4826-88EF-B9650B16DF7A}" id="{DD4D1134-C5A2-47CA-9CD7-D39751EBB461}">
    <text>Account is Inactive</text>
  </threadedComment>
  <threadedComment ref="AF23" dT="2026-02-24T13:58:27.89" personId="{5E6C111D-6CBD-463B-B75C-C6A667AF4364}" id="{A22910A6-2FC7-44EC-A85C-33CBC1FB111C}">
    <text>Contract on hold</text>
  </threadedComment>
  <threadedComment ref="I24" dT="2025-04-18T15:36:30.11" personId="{ED1D359B-D851-4826-88EF-B9650B16DF7A}" id="{BF4DE4C2-E653-44B3-BF1A-93FC0BE224A9}">
    <text>After 03 months target will change and then 06 &amp; 09</text>
  </threadedComment>
  <threadedComment ref="J24" dT="2025-04-18T15:29:54.04" personId="{ED1D359B-D851-4826-88EF-B9650B16DF7A}" id="{C578340D-9FCD-43AA-B3F3-C2F75F33C101}">
    <text>Starts reporting from May</text>
  </threadedComment>
  <threadedComment ref="K24" dT="2025-04-18T15:29:54.04" personId="{ED1D359B-D851-4826-88EF-B9650B16DF7A}" id="{5778DE2D-4A7C-4156-B1C3-726EFC8C218E}">
    <text>Starts reporting from May</text>
  </threadedComment>
  <threadedComment ref="L24" dT="2025-04-18T15:29:54.04" personId="{ED1D359B-D851-4826-88EF-B9650B16DF7A}" id="{97FA0B5D-C64C-41AB-AFD0-352E1D139036}">
    <text>Starts reporting from June</text>
  </threadedComment>
  <threadedComment ref="M24" dT="2025-04-18T15:29:54.04" personId="{ED1D359B-D851-4826-88EF-B9650B16DF7A}" id="{1BE1EB86-2C2C-4B3C-8D37-005F2CD587B2}">
    <text>Starts reporting from June</text>
  </threadedComment>
  <threadedComment ref="N24" dT="2025-04-18T15:29:54.04" personId="{ED1D359B-D851-4826-88EF-B9650B16DF7A}" id="{E592F751-0588-4AF8-9770-18E8E95BC5DD}">
    <text>Starts reporting from July</text>
  </threadedComment>
  <threadedComment ref="O24" dT="2025-04-18T15:29:54.04" personId="{ED1D359B-D851-4826-88EF-B9650B16DF7A}" id="{886A294F-D3EA-4975-87C4-A85CE9821A56}">
    <text>Starts reporting from July</text>
  </threadedComment>
  <threadedComment ref="P24" dT="2025-04-18T15:29:54.04" personId="{ED1D359B-D851-4826-88EF-B9650B16DF7A}" id="{896AC66B-A91E-4537-A1D7-CD4E928F3190}">
    <text>Starts reporting from July</text>
  </threadedComment>
  <threadedComment ref="Q24" dT="2025-04-18T15:29:54.04" personId="{ED1D359B-D851-4826-88EF-B9650B16DF7A}" id="{ECBB39DF-AD10-4D1F-B888-F5E48EBC2E80}">
    <text>Starts reporting from July</text>
  </threadedComment>
  <threadedComment ref="R24" dT="2025-04-18T15:29:54.04" personId="{ED1D359B-D851-4826-88EF-B9650B16DF7A}" id="{C22D0BF3-00B3-4788-B8D3-944CDD78D5A8}">
    <text>Starts reporting from July</text>
  </threadedComment>
  <threadedComment ref="S24" dT="2025-04-18T15:29:54.04" personId="{ED1D359B-D851-4826-88EF-B9650B16DF7A}" id="{4DEFB859-3AC5-45B9-AAE1-9EB26E93C08A}">
    <text>Starts reporting from July</text>
  </threadedComment>
  <threadedComment ref="T24" dT="2025-04-18T15:29:54.04" personId="{ED1D359B-D851-4826-88EF-B9650B16DF7A}" id="{52985732-43B5-4217-AA51-9FFEAB34E29A}">
    <text>Starts reporting from July</text>
  </threadedComment>
  <threadedComment ref="U24" dT="2025-04-18T15:29:54.04" personId="{ED1D359B-D851-4826-88EF-B9650B16DF7A}" id="{0517C88A-4AEC-45F2-9842-C08FD95630B3}">
    <text>Starts reporting from July</text>
  </threadedComment>
  <threadedComment ref="I25" dT="2025-04-18T15:38:42.88" personId="{ED1D359B-D851-4826-88EF-B9650B16DF7A}" id="{7C102636-1EE1-423B-9329-2472BF77DEEC}">
    <text>After 03 months target will change and then 06 &amp; 09</text>
  </threadedComment>
  <threadedComment ref="J25" dT="2025-04-18T15:29:54.04" personId="{ED1D359B-D851-4826-88EF-B9650B16DF7A}" id="{560F9117-6D05-4506-9B01-D1FBEFA4F952}">
    <text>Starts reporting from May</text>
  </threadedComment>
  <threadedComment ref="K25" dT="2025-04-18T15:29:54.04" personId="{ED1D359B-D851-4826-88EF-B9650B16DF7A}" id="{7B9B83FD-8621-40D3-A557-1FE70494529B}">
    <text>Starts reporting from May</text>
  </threadedComment>
  <threadedComment ref="L25" dT="2025-04-18T15:29:54.04" personId="{ED1D359B-D851-4826-88EF-B9650B16DF7A}" id="{EBDBF113-C735-49FC-B67F-67D37E9EDF79}">
    <text>Starts reporting from June</text>
  </threadedComment>
  <threadedComment ref="M25" dT="2025-04-18T15:29:54.04" personId="{ED1D359B-D851-4826-88EF-B9650B16DF7A}" id="{807EE895-C255-4526-80C6-B6377632A680}">
    <text>Starts reporting from June</text>
  </threadedComment>
  <threadedComment ref="N25" dT="2025-04-18T15:29:54.04" personId="{ED1D359B-D851-4826-88EF-B9650B16DF7A}" id="{4796D892-F848-43EE-AF22-37BAF501F825}">
    <text>Starts reporting from July</text>
  </threadedComment>
  <threadedComment ref="O25" dT="2025-04-18T15:29:54.04" personId="{ED1D359B-D851-4826-88EF-B9650B16DF7A}" id="{83520C39-094D-4073-B30E-841A1A4673BE}">
    <text>Starts reporting from July</text>
  </threadedComment>
  <threadedComment ref="P25" dT="2025-04-18T15:29:54.04" personId="{ED1D359B-D851-4826-88EF-B9650B16DF7A}" id="{84C685C8-968B-481D-90ED-59C8AE01D932}">
    <text>Starts reporting from July</text>
  </threadedComment>
  <threadedComment ref="Q25" dT="2025-04-18T15:29:54.04" personId="{ED1D359B-D851-4826-88EF-B9650B16DF7A}" id="{8BFFFB48-A21B-4EE1-A1FB-92FADD4E446C}">
    <text>Starts reporting from July</text>
  </threadedComment>
  <threadedComment ref="R25" dT="2025-04-18T15:29:54.04" personId="{ED1D359B-D851-4826-88EF-B9650B16DF7A}" id="{3FD21D04-FDBF-485B-8A77-18913DBF817B}">
    <text>Starts reporting from July</text>
  </threadedComment>
  <threadedComment ref="S25" dT="2025-04-18T15:29:54.04" personId="{ED1D359B-D851-4826-88EF-B9650B16DF7A}" id="{66FD57CD-459A-44F5-A156-882D8C6DF8AA}">
    <text>Starts reporting from July</text>
  </threadedComment>
  <threadedComment ref="T25" dT="2025-04-18T15:29:54.04" personId="{ED1D359B-D851-4826-88EF-B9650B16DF7A}" id="{6584C9B4-B909-44EA-9548-58898B2C8B96}">
    <text>Starts reporting from July</text>
  </threadedComment>
  <threadedComment ref="U25" dT="2025-04-18T15:29:54.04" personId="{ED1D359B-D851-4826-88EF-B9650B16DF7A}" id="{41E03DC4-546E-45A6-B913-AACE66645625}">
    <text>Starts reporting from July</text>
  </threadedComment>
  <threadedComment ref="I26" dT="2025-04-18T15:38:50.48" personId="{ED1D359B-D851-4826-88EF-B9650B16DF7A}" id="{71F334F3-240A-438F-806D-14F5114FDAD8}">
    <text>After 03 months target will change and then 06 &amp; 09</text>
  </threadedComment>
  <threadedComment ref="J26" dT="2025-04-18T15:29:54.04" personId="{ED1D359B-D851-4826-88EF-B9650B16DF7A}" id="{1E662880-A986-4E69-8E7E-1145E2DA8E1B}">
    <text>Starts reporting from May</text>
  </threadedComment>
  <threadedComment ref="K26" dT="2025-04-18T15:29:54.04" personId="{ED1D359B-D851-4826-88EF-B9650B16DF7A}" id="{2CD874EA-AD38-4DB4-83C3-31A609FDEAC5}">
    <text>Starts reporting from May</text>
  </threadedComment>
  <threadedComment ref="L26" dT="2025-04-18T15:29:54.04" personId="{ED1D359B-D851-4826-88EF-B9650B16DF7A}" id="{2B422FA0-6144-4930-A026-64B7F0DE6AEE}">
    <text>Starts reporting from June</text>
  </threadedComment>
  <threadedComment ref="M26" dT="2025-04-18T15:29:54.04" personId="{ED1D359B-D851-4826-88EF-B9650B16DF7A}" id="{99BA5406-67C3-48FF-BB6D-96D8F1CB1A2F}">
    <text>Starts reporting from June</text>
  </threadedComment>
  <threadedComment ref="N26" dT="2025-04-18T15:29:54.04" personId="{ED1D359B-D851-4826-88EF-B9650B16DF7A}" id="{0A285459-C59E-4326-BA9C-F63E42676D8A}">
    <text>Starts reporting from July</text>
  </threadedComment>
  <threadedComment ref="O26" dT="2025-04-18T15:29:54.04" personId="{ED1D359B-D851-4826-88EF-B9650B16DF7A}" id="{455040A2-AC64-4C71-9B2F-8EE03708C4EC}">
    <text>Starts reporting from July</text>
  </threadedComment>
  <threadedComment ref="P26" dT="2025-04-18T15:29:54.04" personId="{ED1D359B-D851-4826-88EF-B9650B16DF7A}" id="{FD9BCCF5-6B3A-4FE6-A2C6-379E0CF03C79}">
    <text>Starts reporting from July</text>
  </threadedComment>
  <threadedComment ref="Q26" dT="2025-04-18T15:29:54.04" personId="{ED1D359B-D851-4826-88EF-B9650B16DF7A}" id="{6F42D401-7743-4881-90F6-0CE302DBAB5E}">
    <text>Starts reporting from July</text>
  </threadedComment>
  <threadedComment ref="R26" dT="2025-04-18T15:29:54.04" personId="{ED1D359B-D851-4826-88EF-B9650B16DF7A}" id="{4A41A9CB-ED67-42A8-A5D6-B743FB88D2AC}">
    <text>Starts reporting from July</text>
  </threadedComment>
  <threadedComment ref="S26" dT="2025-04-18T15:29:54.04" personId="{ED1D359B-D851-4826-88EF-B9650B16DF7A}" id="{5B4EDE5F-A669-4466-9BE8-518B61787627}">
    <text>Starts reporting from July</text>
  </threadedComment>
  <threadedComment ref="T26" dT="2025-04-18T15:29:54.04" personId="{ED1D359B-D851-4826-88EF-B9650B16DF7A}" id="{15AEFA39-B9A8-498A-9A4F-6B917CC4490D}">
    <text>Starts reporting from July</text>
  </threadedComment>
  <threadedComment ref="U26" dT="2025-04-18T15:29:54.04" personId="{ED1D359B-D851-4826-88EF-B9650B16DF7A}" id="{F8D7F6C2-B6BD-470A-A4B9-9FFE39050636}">
    <text>Starts reporting from July</text>
  </threadedComment>
  <threadedComment ref="I27" dT="2025-04-18T15:38:55.86" personId="{ED1D359B-D851-4826-88EF-B9650B16DF7A}" id="{68D2FDDA-3D9A-4B84-805A-0FB51D6DC079}">
    <text>After 03 months target will change and then 06 &amp; 09</text>
  </threadedComment>
  <threadedComment ref="J27" dT="2025-04-18T15:29:54.04" personId="{ED1D359B-D851-4826-88EF-B9650B16DF7A}" id="{AF7BAED6-FBD7-4BD8-86EA-40569FA68A73}">
    <text>Starts reporting from May</text>
  </threadedComment>
  <threadedComment ref="K27" dT="2025-04-18T15:29:54.04" personId="{ED1D359B-D851-4826-88EF-B9650B16DF7A}" id="{DDF5ACDA-08BF-49B7-A5F2-F52110024C69}">
    <text>Starts reporting from May</text>
  </threadedComment>
  <threadedComment ref="L27" dT="2025-04-18T15:29:54.04" personId="{ED1D359B-D851-4826-88EF-B9650B16DF7A}" id="{521A30AD-F1FC-4718-A0F7-22BEA7114347}">
    <text>Starts reporting from June</text>
  </threadedComment>
  <threadedComment ref="M27" dT="2025-04-18T15:29:54.04" personId="{ED1D359B-D851-4826-88EF-B9650B16DF7A}" id="{B892E2BE-1B36-4F62-A4B5-5E97D621A5BE}">
    <text>Starts reporting from June</text>
  </threadedComment>
  <threadedComment ref="N27" dT="2025-04-18T15:29:54.04" personId="{ED1D359B-D851-4826-88EF-B9650B16DF7A}" id="{66A4D8D3-1BCA-4013-895F-1523E82667F2}">
    <text>Starts reporting from July</text>
  </threadedComment>
  <threadedComment ref="O27" dT="2025-04-18T15:29:54.04" personId="{ED1D359B-D851-4826-88EF-B9650B16DF7A}" id="{662ADB49-9780-4B10-825B-8CAB729E9210}">
    <text>Starts reporting from July</text>
  </threadedComment>
  <threadedComment ref="P27" dT="2025-04-18T15:29:54.04" personId="{ED1D359B-D851-4826-88EF-B9650B16DF7A}" id="{137BDE76-EA2D-494B-9860-14852CF33981}">
    <text>Starts reporting from July</text>
  </threadedComment>
  <threadedComment ref="Q27" dT="2025-04-18T15:29:54.04" personId="{ED1D359B-D851-4826-88EF-B9650B16DF7A}" id="{3E08AD27-1A03-4154-8B8C-C632CAEEB233}">
    <text>Starts reporting from July</text>
  </threadedComment>
  <threadedComment ref="R27" dT="2025-04-18T15:29:54.04" personId="{ED1D359B-D851-4826-88EF-B9650B16DF7A}" id="{8C8D9A6F-892A-4D77-9A3F-786B6D754FBA}">
    <text>Starts reporting from July</text>
  </threadedComment>
  <threadedComment ref="S27" dT="2025-04-18T15:29:54.04" personId="{ED1D359B-D851-4826-88EF-B9650B16DF7A}" id="{31942DBC-EE96-42D0-922D-6EFF3ECD6014}">
    <text>Starts reporting from July</text>
  </threadedComment>
  <threadedComment ref="T27" dT="2025-04-18T15:29:54.04" personId="{ED1D359B-D851-4826-88EF-B9650B16DF7A}" id="{D72F0DFA-424E-4F5D-8570-7B4CAB27870F}">
    <text>Starts reporting from July</text>
  </threadedComment>
  <threadedComment ref="U27" dT="2025-04-18T15:29:54.04" personId="{ED1D359B-D851-4826-88EF-B9650B16DF7A}" id="{0D96AFC3-B6BB-4736-BB62-A94BF002CB8E}">
    <text>Starts reporting from July</text>
  </threadedComment>
  <threadedComment ref="J28" dT="2025-04-18T15:29:54.04" personId="{ED1D359B-D851-4826-88EF-B9650B16DF7A}" id="{06AC77B4-7635-4625-A537-A5A9D5083E59}">
    <text>Starts reporting from May</text>
  </threadedComment>
  <threadedComment ref="K28" dT="2025-04-18T15:29:54.04" personId="{ED1D359B-D851-4826-88EF-B9650B16DF7A}" id="{C494EE01-C7A2-4395-9507-F4486E83AEA8}">
    <text>Starts reporting from May</text>
  </threadedComment>
  <threadedComment ref="L28" dT="2025-04-18T15:29:54.04" personId="{ED1D359B-D851-4826-88EF-B9650B16DF7A}" id="{167F885F-B724-41D6-B2DC-30329CED6F4E}">
    <text>Starts reporting from June</text>
  </threadedComment>
  <threadedComment ref="M28" dT="2025-04-18T15:29:54.04" personId="{ED1D359B-D851-4826-88EF-B9650B16DF7A}" id="{64937BD1-1622-4BAB-8542-3E6A76430C94}">
    <text>Starts reporting from June</text>
  </threadedComment>
  <threadedComment ref="N28" dT="2025-04-18T15:29:54.04" personId="{ED1D359B-D851-4826-88EF-B9650B16DF7A}" id="{93F2F4B4-0B96-4C20-8FED-08D71E116A29}">
    <text>Starts reporting from July</text>
  </threadedComment>
  <threadedComment ref="O28" dT="2025-04-18T15:29:54.04" personId="{ED1D359B-D851-4826-88EF-B9650B16DF7A}" id="{38E32475-8052-48FC-99D8-C0FD0A44D340}">
    <text>Starts reporting from July</text>
  </threadedComment>
  <threadedComment ref="P28" dT="2025-04-18T15:29:54.04" personId="{ED1D359B-D851-4826-88EF-B9650B16DF7A}" id="{54A0E979-B3DB-413C-911C-4D5F0C2A94F8}">
    <text>Starts reporting from July</text>
  </threadedComment>
  <threadedComment ref="Q28" dT="2025-04-18T15:29:54.04" personId="{ED1D359B-D851-4826-88EF-B9650B16DF7A}" id="{B01BB1A3-13AF-4CF0-AEA3-F92EF85A662B}">
    <text>Starts reporting from July</text>
  </threadedComment>
  <threadedComment ref="R28" dT="2025-04-18T15:29:54.04" personId="{ED1D359B-D851-4826-88EF-B9650B16DF7A}" id="{B3915D29-FCE2-4DA7-8E45-DB2B87852597}">
    <text>Starts reporting from July</text>
  </threadedComment>
  <threadedComment ref="S28" dT="2025-04-18T15:29:54.04" personId="{ED1D359B-D851-4826-88EF-B9650B16DF7A}" id="{8B4261DE-AC8D-4082-97CA-C1FAC8F6208D}">
    <text>Starts reporting from July</text>
  </threadedComment>
  <threadedComment ref="T28" dT="2025-04-18T15:29:54.04" personId="{ED1D359B-D851-4826-88EF-B9650B16DF7A}" id="{07647694-0278-4EFD-80E7-FAD599813493}">
    <text>Starts reporting from July</text>
  </threadedComment>
  <threadedComment ref="U28" dT="2025-04-18T15:29:54.04" personId="{ED1D359B-D851-4826-88EF-B9650B16DF7A}" id="{F67DFF42-8047-4DA9-AA5E-905486EE09AA}">
    <text>Starts reporting from July</text>
  </threadedComment>
  <threadedComment ref="J29" dT="2025-04-18T15:29:54.04" personId="{ED1D359B-D851-4826-88EF-B9650B16DF7A}" id="{78CAB877-0E22-4136-A09E-20518130DF4B}">
    <text>Starts reporting from May</text>
  </threadedComment>
  <threadedComment ref="K29" dT="2025-04-18T15:29:54.04" personId="{ED1D359B-D851-4826-88EF-B9650B16DF7A}" id="{CA5DADAE-6BED-4ED2-B732-888C05744A6A}">
    <text>Starts reporting from May</text>
  </threadedComment>
  <threadedComment ref="L29" dT="2025-04-18T15:29:54.04" personId="{ED1D359B-D851-4826-88EF-B9650B16DF7A}" id="{B3751563-E956-48B3-A58C-B6B1A9083A3D}">
    <text>Starts reporting from June</text>
  </threadedComment>
  <threadedComment ref="M29" dT="2025-04-18T15:29:54.04" personId="{ED1D359B-D851-4826-88EF-B9650B16DF7A}" id="{B5E8A514-0E92-411A-B241-4F38B26ADA9D}">
    <text>Starts reporting from June</text>
  </threadedComment>
  <threadedComment ref="N29" dT="2025-04-18T15:29:54.04" personId="{ED1D359B-D851-4826-88EF-B9650B16DF7A}" id="{12BAC4B8-5EFC-4F30-91F2-61AE1B34029A}">
    <text>Starts reporting from July</text>
  </threadedComment>
  <threadedComment ref="O29" dT="2025-04-18T15:29:54.04" personId="{ED1D359B-D851-4826-88EF-B9650B16DF7A}" id="{BF925FE9-CFD1-4D0F-A1CF-4F002A23E4A1}">
    <text>Starts reporting from July</text>
  </threadedComment>
  <threadedComment ref="P29" dT="2025-04-18T15:29:54.04" personId="{ED1D359B-D851-4826-88EF-B9650B16DF7A}" id="{98871358-2100-4AC1-972B-08BCC238483A}">
    <text>Starts reporting from July</text>
  </threadedComment>
  <threadedComment ref="Q29" dT="2025-04-18T15:29:54.04" personId="{ED1D359B-D851-4826-88EF-B9650B16DF7A}" id="{92AF742E-672F-4E6E-8BF3-395845C3F5AB}">
    <text>Starts reporting from July</text>
  </threadedComment>
  <threadedComment ref="R29" dT="2025-04-18T15:29:54.04" personId="{ED1D359B-D851-4826-88EF-B9650B16DF7A}" id="{A0C3BBF8-F7DA-407A-969F-944DB0ABDDF1}">
    <text>Starts reporting from July</text>
  </threadedComment>
  <threadedComment ref="S29" dT="2025-04-18T15:29:54.04" personId="{ED1D359B-D851-4826-88EF-B9650B16DF7A}" id="{0B866B59-6EDD-4F68-98BE-C07B5A9C64D0}">
    <text>Starts reporting from July</text>
  </threadedComment>
  <threadedComment ref="T29" dT="2025-04-18T15:29:54.04" personId="{ED1D359B-D851-4826-88EF-B9650B16DF7A}" id="{D1C83AA6-1816-4ABD-81DF-0DEDAD134DDB}">
    <text>Starts reporting from July</text>
  </threadedComment>
  <threadedComment ref="U29" dT="2025-04-18T15:29:54.04" personId="{ED1D359B-D851-4826-88EF-B9650B16DF7A}" id="{FE621DC2-9E79-4849-A1A0-58E4C27E046C}">
    <text>Starts reporting from July</text>
  </threadedComment>
  <threadedComment ref="J30" dT="2025-04-18T15:29:54.04" personId="{ED1D359B-D851-4826-88EF-B9650B16DF7A}" id="{E4C68F69-CDB4-4995-BDD6-D24AB8FCE888}">
    <text>Starts reporting from May</text>
  </threadedComment>
  <threadedComment ref="K30" dT="2025-04-18T15:29:54.04" personId="{ED1D359B-D851-4826-88EF-B9650B16DF7A}" id="{3E96FA34-A2C9-48DD-8B79-877EE3B7C08D}">
    <text>Starts reporting from May</text>
  </threadedComment>
  <threadedComment ref="L30" dT="2025-04-18T15:29:54.04" personId="{ED1D359B-D851-4826-88EF-B9650B16DF7A}" id="{95C7DBF9-DC40-4051-81B7-E7DE45227C26}">
    <text>Starts reporting from June</text>
  </threadedComment>
  <threadedComment ref="M30" dT="2025-04-18T15:29:54.04" personId="{ED1D359B-D851-4826-88EF-B9650B16DF7A}" id="{B9CE81BE-E33C-4278-9326-0EF5B87671C3}">
    <text>Starts reporting from June</text>
  </threadedComment>
  <threadedComment ref="N30" dT="2025-04-18T15:29:54.04" personId="{ED1D359B-D851-4826-88EF-B9650B16DF7A}" id="{23F89DC3-B8DA-4EF1-A785-8CA8DB76790B}">
    <text>Starts reporting from July</text>
  </threadedComment>
  <threadedComment ref="O30" dT="2025-04-18T15:29:54.04" personId="{ED1D359B-D851-4826-88EF-B9650B16DF7A}" id="{D4EEFADB-808F-412E-95AC-9E96EBB1F75D}">
    <text>Starts reporting from July</text>
  </threadedComment>
  <threadedComment ref="P30" dT="2025-04-18T15:29:54.04" personId="{ED1D359B-D851-4826-88EF-B9650B16DF7A}" id="{385E9FC5-FB13-4EEA-AA0D-1AEF61E1E849}">
    <text>Starts reporting from July</text>
  </threadedComment>
  <threadedComment ref="Q30" dT="2025-04-18T15:29:54.04" personId="{ED1D359B-D851-4826-88EF-B9650B16DF7A}" id="{6D5C328E-7A2A-47AF-A5C1-3579B285A40C}">
    <text>Starts reporting from July</text>
  </threadedComment>
  <threadedComment ref="R30" dT="2025-04-18T15:29:54.04" personId="{ED1D359B-D851-4826-88EF-B9650B16DF7A}" id="{79924682-1098-49EA-92F7-56ACA6316522}">
    <text>Starts reporting from July</text>
  </threadedComment>
  <threadedComment ref="S30" dT="2025-04-18T15:29:54.04" personId="{ED1D359B-D851-4826-88EF-B9650B16DF7A}" id="{B0A12FAE-60EC-420F-AE45-C072550D956D}">
    <text>Starts reporting from July</text>
  </threadedComment>
  <threadedComment ref="T30" dT="2025-04-18T15:29:54.04" personId="{ED1D359B-D851-4826-88EF-B9650B16DF7A}" id="{457A85EB-8C91-4323-92D1-D27AB87C75FD}">
    <text>Starts reporting from July</text>
  </threadedComment>
  <threadedComment ref="U30" dT="2025-04-18T15:29:54.04" personId="{ED1D359B-D851-4826-88EF-B9650B16DF7A}" id="{05E77602-2ABC-45DA-B837-B72551FC3357}">
    <text>Starts reporting from July</text>
  </threadedComment>
  <threadedComment ref="J31" dT="2025-04-18T15:29:54.04" personId="{ED1D359B-D851-4826-88EF-B9650B16DF7A}" id="{D7CF3558-B7D7-4162-A5A0-19F9307B1C6B}">
    <text>Starts reporting from May</text>
  </threadedComment>
  <threadedComment ref="K31" dT="2025-04-18T15:29:54.04" personId="{ED1D359B-D851-4826-88EF-B9650B16DF7A}" id="{4EBC6EC8-346D-4B27-B37D-AE4403E34A80}">
    <text>Starts reporting from May</text>
  </threadedComment>
  <threadedComment ref="L31" dT="2025-04-18T15:29:54.04" personId="{ED1D359B-D851-4826-88EF-B9650B16DF7A}" id="{52A34979-60C2-4DDC-AA46-7222F0AA0E2F}">
    <text>Starts reporting from June</text>
  </threadedComment>
  <threadedComment ref="M31" dT="2025-04-18T15:29:54.04" personId="{ED1D359B-D851-4826-88EF-B9650B16DF7A}" id="{44C71894-F407-46D9-826A-E646D6BB7F4D}">
    <text>Starts reporting from June</text>
  </threadedComment>
  <threadedComment ref="N31" dT="2025-04-18T15:29:54.04" personId="{ED1D359B-D851-4826-88EF-B9650B16DF7A}" id="{6EB539BE-B77B-4CFF-9AE9-1F9F4DD218D6}">
    <text>Starts reporting from July</text>
  </threadedComment>
  <threadedComment ref="O31" dT="2025-04-18T15:29:54.04" personId="{ED1D359B-D851-4826-88EF-B9650B16DF7A}" id="{0D7D9BEE-2C13-4B28-AB0F-1BD4769B4C1B}">
    <text>Starts reporting from July</text>
  </threadedComment>
  <threadedComment ref="P31" dT="2025-04-18T15:29:54.04" personId="{ED1D359B-D851-4826-88EF-B9650B16DF7A}" id="{D00C6DE6-9258-4BC2-AC8A-C89A345F3CEC}">
    <text>Starts reporting from July</text>
  </threadedComment>
  <threadedComment ref="Q31" dT="2025-04-18T15:29:54.04" personId="{ED1D359B-D851-4826-88EF-B9650B16DF7A}" id="{82D211AE-5E02-4FB6-9D7D-268E1088283E}">
    <text>Starts reporting from July</text>
  </threadedComment>
  <threadedComment ref="R31" dT="2025-04-18T15:29:54.04" personId="{ED1D359B-D851-4826-88EF-B9650B16DF7A}" id="{8F2164C0-1F31-4671-B8E8-70339BCF2AC3}">
    <text>Starts reporting from July</text>
  </threadedComment>
  <threadedComment ref="S31" dT="2025-04-18T15:29:54.04" personId="{ED1D359B-D851-4826-88EF-B9650B16DF7A}" id="{EC0DB548-C64C-4770-89AC-31E21035CA5D}">
    <text>Starts reporting from July</text>
  </threadedComment>
  <threadedComment ref="T31" dT="2025-04-18T15:29:54.04" personId="{ED1D359B-D851-4826-88EF-B9650B16DF7A}" id="{DAA30CF9-4C17-4326-8A79-211815DCBB73}">
    <text>Starts reporting from July</text>
  </threadedComment>
  <threadedComment ref="U31" dT="2025-04-18T15:29:54.04" personId="{ED1D359B-D851-4826-88EF-B9650B16DF7A}" id="{3FFC7F72-22D7-4374-9815-1761770DB559}">
    <text>Starts reporting from July</text>
  </threadedComment>
  <threadedComment ref="J32" dT="2025-04-18T15:29:54.04" personId="{ED1D359B-D851-4826-88EF-B9650B16DF7A}" id="{4DE96092-9FDE-4EA5-9E81-913889B1D64A}">
    <text>Starts reporting from May</text>
  </threadedComment>
  <threadedComment ref="K32" dT="2025-04-18T15:29:54.04" personId="{ED1D359B-D851-4826-88EF-B9650B16DF7A}" id="{2B0E0796-BA00-47D8-85A7-7C5F270F8D54}">
    <text>Starts reporting from May</text>
  </threadedComment>
  <threadedComment ref="L32" dT="2025-04-18T15:29:54.04" personId="{ED1D359B-D851-4826-88EF-B9650B16DF7A}" id="{40D01753-7FD8-4994-BF9B-76DA0996D970}">
    <text>Starts reporting from June</text>
  </threadedComment>
  <threadedComment ref="M32" dT="2025-04-18T15:29:54.04" personId="{ED1D359B-D851-4826-88EF-B9650B16DF7A}" id="{44DF2578-D2F2-4F58-A256-1DADA7E595C1}">
    <text>Starts reporting from June</text>
  </threadedComment>
  <threadedComment ref="N32" dT="2025-04-18T15:29:54.04" personId="{ED1D359B-D851-4826-88EF-B9650B16DF7A}" id="{59E3ADAA-A6CF-4EC6-977C-61CCE5A2E495}">
    <text>Starts reporting from July</text>
  </threadedComment>
  <threadedComment ref="O32" dT="2025-04-18T15:29:54.04" personId="{ED1D359B-D851-4826-88EF-B9650B16DF7A}" id="{FA1F7390-FE91-49A3-ADE6-CD0C2368D813}">
    <text>Starts reporting from July</text>
  </threadedComment>
  <threadedComment ref="P32" dT="2025-04-18T15:29:54.04" personId="{ED1D359B-D851-4826-88EF-B9650B16DF7A}" id="{C9F2E2D3-1004-49D3-9885-24B991F83E1C}">
    <text>Starts reporting from July</text>
  </threadedComment>
  <threadedComment ref="Q32" dT="2025-04-18T15:29:54.04" personId="{ED1D359B-D851-4826-88EF-B9650B16DF7A}" id="{4A2A6AAC-3559-4A42-825A-8D31FF1922C4}">
    <text>Starts reporting from July</text>
  </threadedComment>
  <threadedComment ref="R32" dT="2025-04-18T15:29:54.04" personId="{ED1D359B-D851-4826-88EF-B9650B16DF7A}" id="{2B6F7936-E5AA-4790-AF8E-7F25213E001F}">
    <text>Starts reporting from July</text>
  </threadedComment>
  <threadedComment ref="S32" dT="2025-04-18T15:29:54.04" personId="{ED1D359B-D851-4826-88EF-B9650B16DF7A}" id="{86CF9E4D-3386-4CAC-9546-091BD56E2094}">
    <text>Starts reporting from July</text>
  </threadedComment>
  <threadedComment ref="T32" dT="2025-04-18T15:29:54.04" personId="{ED1D359B-D851-4826-88EF-B9650B16DF7A}" id="{F088A3C7-8A5D-49E3-91C0-B05715FA173A}">
    <text>Starts reporting from July</text>
  </threadedComment>
  <threadedComment ref="U32" dT="2025-04-18T15:29:54.04" personId="{ED1D359B-D851-4826-88EF-B9650B16DF7A}" id="{CEC2ACA3-864B-4F01-A351-FAB340D5F7E0}">
    <text>Starts reporting from July</text>
  </threadedComment>
  <threadedComment ref="AB37" dT="2025-12-24T10:30:19.32" personId="{385AE97E-DB3C-47AF-B0F4-D63AD85D52E9}" id="{6B8734C4-EBD0-42C6-A267-FE8D02D0A32B}">
    <text>No joiners and offer released</text>
  </threadedComment>
  <threadedComment ref="AB44" dT="2025-12-24T10:30:19.32" personId="{385AE97E-DB3C-47AF-B0F4-D63AD85D52E9}" id="{F59AAE9C-4BA5-487B-A93A-432EFF46F337}">
    <text>No joiners and offer released</text>
  </threadedComment>
  <threadedComment ref="AB51" dT="2025-12-24T10:30:19.32" personId="{385AE97E-DB3C-47AF-B0F4-D63AD85D52E9}" id="{5776F887-48EF-43D7-830D-6348F8F0E211}">
    <text>No joiners and offer released</text>
  </threadedComment>
  <threadedComment ref="AB58" dT="2025-12-24T10:30:19.32" personId="{385AE97E-DB3C-47AF-B0F4-D63AD85D52E9}" id="{9243FFEC-C107-484C-B4B5-DBF663AE45F4}">
    <text>No joiners and offer released</text>
  </threadedComment>
  <threadedComment ref="AB65" dT="2025-12-24T10:30:19.32" personId="{385AE97E-DB3C-47AF-B0F4-D63AD85D52E9}" id="{EB6651B9-22DC-4EEA-A2E6-EF81554F12DB}">
    <text>No joiners and offer released</text>
  </threadedComment>
  <threadedComment ref="AB72" dT="2025-12-24T10:30:19.32" personId="{385AE97E-DB3C-47AF-B0F4-D63AD85D52E9}" id="{BB55117F-F8B3-41C5-A9B6-577E7D2A5D3A}">
    <text>No joiners and offer released</text>
  </threadedComment>
  <threadedComment ref="AB79" dT="2025-12-24T10:30:19.32" personId="{385AE97E-DB3C-47AF-B0F4-D63AD85D52E9}" id="{23709891-F585-4A36-B417-852E80E652A9}">
    <text>No joiners and offer released</text>
  </threadedComment>
  <threadedComment ref="I84" dT="2023-10-10T08:48:18.44" personId="{385AE97E-DB3C-47AF-B0F4-D63AD85D52E9}" id="{4655DB27-B8F7-4FA2-BCD6-06C0FC77C5E9}">
    <text>Target has been changed as per Shweta approval</text>
  </threadedComment>
  <threadedComment ref="J95" dT="2025-06-25T09:20:33.57" personId="{ED1D359B-D851-4826-88EF-B9650B16DF7A}" id="{124CBC8D-8138-454B-BFB8-98A1D50F708C}">
    <text>Starts reporting from May’25</text>
  </threadedComment>
  <threadedComment ref="K95" dT="2025-06-25T09:20:33.57" personId="{ED1D359B-D851-4826-88EF-B9650B16DF7A}" id="{F39FEC1C-926C-4E71-86E9-ED99DBEABCA5}">
    <text>Starts reporting from May’25</text>
  </threadedComment>
  <threadedComment ref="L95" dT="2025-06-19T09:19:30.57" personId="{385AE97E-DB3C-47AF-B0F4-D63AD85D52E9}" id="{D6563B19-ABCB-4FA1-90FC-16014C217C62}">
    <text>15 joiners</text>
  </threadedComment>
  <threadedComment ref="AD95" dT="2026-01-21T11:11:14.45" personId="{803D42D1-F8A1-4625-BA7D-02834BDCA61B}" id="{37C6465B-3DFF-47C6-8AB5-452A2E91D71E}">
    <text>Validated</text>
  </threadedComment>
  <threadedComment ref="J96" dT="2025-06-25T09:20:33.57" personId="{ED1D359B-D851-4826-88EF-B9650B16DF7A}" id="{8191D01E-2934-46CD-9A57-C2AD9DA29139}">
    <text>Starts reporting from May’25</text>
  </threadedComment>
  <threadedComment ref="K96" dT="2025-06-25T09:20:33.57" personId="{ED1D359B-D851-4826-88EF-B9650B16DF7A}" id="{9B28A159-3285-45B1-BCB7-7F66189F7860}">
    <text>Starts reporting from May’25</text>
  </threadedComment>
  <threadedComment ref="L96" dT="2025-06-19T09:21:16.91" personId="{385AE97E-DB3C-47AF-B0F4-D63AD85D52E9}" id="{3962EEC8-6591-4B00-BD60-DF5DD896DB80}">
    <text>20 offers released</text>
  </threadedComment>
  <threadedComment ref="AD96" dT="2026-01-21T11:20:36.85" personId="{803D42D1-F8A1-4625-BA7D-02834BDCA61B}" id="{CFED3394-5724-48D1-98A0-EFE43258DD74}">
    <text>Not Validated. Incorrect Calculation Methodology</text>
  </threadedComment>
  <threadedComment ref="J97" dT="2025-06-25T09:20:33.57" personId="{ED1D359B-D851-4826-88EF-B9650B16DF7A}" id="{23F84AA8-57B0-4EA5-BF4E-0C61E5924914}">
    <text>Starts reporting from May’25</text>
  </threadedComment>
  <threadedComment ref="K97" dT="2025-06-25T09:20:33.57" personId="{ED1D359B-D851-4826-88EF-B9650B16DF7A}" id="{D054197F-CB26-4F79-B44F-4CE67AFD38AF}">
    <text>Starts reporting from May’25</text>
  </threadedComment>
  <threadedComment ref="L97" dT="2025-06-19T09:34:34.27" personId="{385AE97E-DB3C-47AF-B0F4-D63AD85D52E9}" id="{239EF028-2740-440A-A68F-643EADB4EA52}">
    <text>7 positions beyond TTF and 30 open positions</text>
  </threadedComment>
  <threadedComment ref="AD97" dT="2026-01-21T11:19:02.08" personId="{803D42D1-F8A1-4625-BA7D-02834BDCA61B}" id="{4AAD2555-5438-4D77-82F0-159F57B7EAE3}">
    <text>Validated</text>
  </threadedComment>
  <threadedComment ref="J98" dT="2025-06-25T09:20:33.57" personId="{ED1D359B-D851-4826-88EF-B9650B16DF7A}" id="{C4DD21FE-1803-4588-989B-4C5CB048DBCE}">
    <text>Starts reporting from May’25</text>
  </threadedComment>
  <threadedComment ref="K98" dT="2025-06-25T09:20:33.57" personId="{ED1D359B-D851-4826-88EF-B9650B16DF7A}" id="{B71F3CC7-B866-4478-A999-8A484890D711}">
    <text>Starts reporting from May’25</text>
  </threadedComment>
  <threadedComment ref="L98" dT="2025-06-19T09:35:35.06" personId="{385AE97E-DB3C-47AF-B0F4-D63AD85D52E9}" id="{0E667CEE-FD6E-4147-B482-126AA47959EE}">
    <text>35 CV shortlisted and 42 CV shared</text>
  </threadedComment>
  <threadedComment ref="R98" dT="2025-08-20T08:45:01.63" personId="{385AE97E-DB3C-47AF-B0F4-D63AD85D52E9}" id="{386374AD-DC10-447A-9560-F09C733F0E99}">
    <text>105/151</text>
  </threadedComment>
  <threadedComment ref="T98" dT="2025-09-25T09:44:36.85" personId="{385AE97E-DB3C-47AF-B0F4-D63AD85D52E9}" id="{96A0DD00-35F9-4148-9B79-243F9A47605E}">
    <text>Validated</text>
  </threadedComment>
  <threadedComment ref="V98" dT="2025-10-21T06:55:57.44" personId="{385AE97E-DB3C-47AF-B0F4-D63AD85D52E9}" id="{839226EF-937E-4533-8B69-804C62DAEBCA}">
    <text>Validated</text>
  </threadedComment>
  <threadedComment ref="AD98" dT="2026-01-21T11:27:39.10" personId="{803D42D1-F8A1-4625-BA7D-02834BDCA61B}" id="{4D90FF23-A3FB-4785-A25C-92E77362DC45}">
    <text>Not Validated. Incorrect Data</text>
  </threadedComment>
  <threadedComment ref="J99" dT="2025-06-25T09:20:33.57" personId="{ED1D359B-D851-4826-88EF-B9650B16DF7A}" id="{22E7349C-4335-4735-92B0-FA812C04F537}">
    <text>Starts reporting from May’25</text>
  </threadedComment>
  <threadedComment ref="K99" dT="2025-06-25T09:20:33.57" personId="{ED1D359B-D851-4826-88EF-B9650B16DF7A}" id="{AEA09568-8D2B-4E20-8FB9-96222A6272B6}">
    <text>Starts reporting from May’25</text>
  </threadedComment>
  <threadedComment ref="L99" dT="2025-06-19T09:36:00.30" personId="{385AE97E-DB3C-47AF-B0F4-D63AD85D52E9}" id="{6C0C97D0-EC72-4F5C-B86D-863BF194786A}">
    <text>5 selected and 42 CV shared</text>
  </threadedComment>
  <threadedComment ref="R99" dT="2025-08-20T08:45:08.02" personId="{385AE97E-DB3C-47AF-B0F4-D63AD85D52E9}" id="{F1074CC5-6D8B-4492-829D-99C7D312CB8B}">
    <text>13/151</text>
  </threadedComment>
  <threadedComment ref="T99" dT="2025-09-25T09:44:39.80" personId="{385AE97E-DB3C-47AF-B0F4-D63AD85D52E9}" id="{32880B4D-90AB-423D-B302-FFC00B084097}">
    <text>Validated</text>
  </threadedComment>
  <threadedComment ref="V99" dT="2025-10-21T06:56:03.77" personId="{385AE97E-DB3C-47AF-B0F4-D63AD85D52E9}" id="{E32BA4C3-5177-4F36-93D5-244279873B45}">
    <text>Validated</text>
  </threadedComment>
  <threadedComment ref="AD99" dT="2026-01-21T11:27:39.10" personId="{803D42D1-F8A1-4625-BA7D-02834BDCA61B}" id="{9335B184-E681-4271-8FA7-13D7006529CD}">
    <text>Not Validated. Incorrect Data</text>
  </threadedComment>
  <threadedComment ref="J100" dT="2025-06-25T09:20:33.57" personId="{ED1D359B-D851-4826-88EF-B9650B16DF7A}" id="{093CA3ED-27E8-4B57-B578-95ED76AFBD24}">
    <text>Starts reporting from May’25</text>
  </threadedComment>
  <threadedComment ref="K100" dT="2025-06-25T09:20:33.57" personId="{ED1D359B-D851-4826-88EF-B9650B16DF7A}" id="{062BBC72-553A-4AFC-A5AE-26D0C7600F0C}">
    <text>Starts reporting from May’25</text>
  </threadedComment>
  <threadedComment ref="L100" dT="2025-06-19T09:36:29.28" personId="{385AE97E-DB3C-47AF-B0F4-D63AD85D52E9}" id="{CD8DFD3D-2160-4FA6-916E-CD39D1ECAC00}">
    <text>1 offer declined and 21 offer released</text>
  </threadedComment>
  <threadedComment ref="AD100" dT="2026-01-21T10:26:57.25" personId="{803D42D1-F8A1-4625-BA7D-02834BDCA61B}" id="{B6F0B622-9AF7-4259-92EE-E002E1581392}">
    <text>Validated</text>
  </threadedComment>
  <threadedComment ref="J101" dT="2025-06-25T09:20:33.57" personId="{ED1D359B-D851-4826-88EF-B9650B16DF7A}" id="{C32D0E39-A6F9-42FB-B18D-512C5D1A3C7A}">
    <text>Starts reporting from May’25</text>
  </threadedComment>
  <threadedComment ref="K101" dT="2025-06-25T09:20:33.57" personId="{ED1D359B-D851-4826-88EF-B9650B16DF7A}" id="{7AFA49AF-365C-43BD-B25E-9D3B5D73FC19}">
    <text>Starts reporting from May’25</text>
  </threadedComment>
  <threadedComment ref="J102" dT="2025-06-25T09:20:33.57" personId="{ED1D359B-D851-4826-88EF-B9650B16DF7A}" id="{48F42022-91D7-45BA-835B-D65F34ECCAED}">
    <text>Starts reporting from May’25</text>
  </threadedComment>
  <threadedComment ref="K102" dT="2025-06-25T09:20:33.57" personId="{ED1D359B-D851-4826-88EF-B9650B16DF7A}" id="{F4DCA2F6-990E-4723-AC47-6A627CA65A0B}">
    <text>Starts reporting from May’25</text>
  </threadedComment>
  <threadedComment ref="I103" dT="2024-05-12T07:18:21.40" personId="{ED1D359B-D851-4826-88EF-B9650B16DF7A}" id="{B490C1FC-8D6C-424B-B4E9-6A517B16720C}">
    <text>Target not approved</text>
  </threadedComment>
  <threadedComment ref="I104" dT="2024-05-12T07:18:35.38" personId="{ED1D359B-D851-4826-88EF-B9650B16DF7A}" id="{E6409839-40CC-4231-8E2C-ACD82902D279}">
    <text>Target not approved</text>
  </threadedComment>
  <threadedComment ref="I105" dT="2024-05-12T07:18:50.77" personId="{ED1D359B-D851-4826-88EF-B9650B16DF7A}" id="{85495C22-24FE-4F90-AB74-AB237173F0D6}">
    <text>Target not approved</text>
  </threadedComment>
  <threadedComment ref="I106" dT="2024-05-12T07:18:56.25" personId="{ED1D359B-D851-4826-88EF-B9650B16DF7A}" id="{31C02E8A-DE75-4C34-9EF2-7052D8F20B82}">
    <text>Target not approved</text>
  </threadedComment>
  <threadedComment ref="I107" dT="2024-05-12T07:19:02.00" personId="{ED1D359B-D851-4826-88EF-B9650B16DF7A}" id="{97A09605-4F1C-4497-A4FF-6F3027E645B2}">
    <text>Target not approved</text>
  </threadedComment>
  <threadedComment ref="I108" dT="2024-05-12T07:19:08.59" personId="{ED1D359B-D851-4826-88EF-B9650B16DF7A}" id="{DF0AA780-E846-420F-89FF-40587A3D3AB9}">
    <text>Target not approved</text>
  </threadedComment>
  <threadedComment ref="AB108" dT="2025-12-24T12:26:32.70" personId="{385AE97E-DB3C-47AF-B0F4-D63AD85D52E9}" id="{1047F362-F0A4-487F-9184-82130164CEE4}">
    <text>Validated</text>
  </threadedComment>
  <threadedComment ref="I109" dT="2024-05-12T07:19:13.61" personId="{ED1D359B-D851-4826-88EF-B9650B16DF7A}" id="{0C7A3A34-D5FF-411E-B4BC-699D22624001}">
    <text>Target not approved</text>
  </threadedComment>
  <threadedComment ref="AB109" dT="2025-12-24T12:26:38.04" personId="{385AE97E-DB3C-47AF-B0F4-D63AD85D52E9}" id="{8027F21F-49C3-4CAD-BC75-B66D5ACA78BE}">
    <text>Validated</text>
  </threadedComment>
  <threadedComment ref="J110" dT="2025-03-20T07:46:32.46" personId="{ED1D359B-D851-4826-88EF-B9650B16DF7A}" id="{9E35AE1F-1BB5-41FC-9C69-1E6F6818D807}">
    <text>Moved on Enrichment platform</text>
  </threadedComment>
  <threadedComment ref="K110" dT="2025-03-20T07:46:32.46" personId="{ED1D359B-D851-4826-88EF-B9650B16DF7A}" id="{96A8D304-A6F5-4895-9CA0-3A901C0CAB32}">
    <text>Moved on Enrichment platform</text>
  </threadedComment>
  <threadedComment ref="L110" dT="2025-03-20T07:46:32.46" personId="{ED1D359B-D851-4826-88EF-B9650B16DF7A}" id="{23B8A8B5-B226-49DE-980E-FB07CB3AE1F1}">
    <text>Moved on Enrichment platform</text>
  </threadedComment>
  <threadedComment ref="M110" dT="2025-03-20T07:46:32.46" personId="{ED1D359B-D851-4826-88EF-B9650B16DF7A}" id="{88ADDADB-BD4E-49AF-A8CC-269ABDC946CD}">
    <text>Moved on Enrichment platform</text>
  </threadedComment>
  <threadedComment ref="N110" dT="2025-03-20T07:46:32.46" personId="{ED1D359B-D851-4826-88EF-B9650B16DF7A}" id="{E8DA1F78-19EF-4CEB-AC25-DC10B53BBED8}">
    <text>Moved on Enrichment platform</text>
  </threadedComment>
  <threadedComment ref="O110" dT="2025-03-20T07:46:32.46" personId="{ED1D359B-D851-4826-88EF-B9650B16DF7A}" id="{15D675B1-E519-4093-8EAA-67A899A33A72}">
    <text>Moved on Enrichment platform</text>
  </threadedComment>
  <threadedComment ref="P110" dT="2025-03-20T07:46:32.46" personId="{ED1D359B-D851-4826-88EF-B9650B16DF7A}" id="{A9FD2DA8-82BB-4A19-90EE-97BFE5B7BCDE}">
    <text>Moved on Enrichment platform</text>
  </threadedComment>
  <threadedComment ref="Q110" dT="2025-03-20T07:46:32.46" personId="{ED1D359B-D851-4826-88EF-B9650B16DF7A}" id="{13547A23-1E68-41E5-B920-8E5A27059D62}">
    <text>Moved on Enrichment platform</text>
  </threadedComment>
  <threadedComment ref="R110" dT="2025-03-20T07:46:32.46" personId="{ED1D359B-D851-4826-88EF-B9650B16DF7A}" id="{AD6DEE38-10AD-4829-88F5-019F9493DB99}">
    <text>Moved on Enrichment platform</text>
  </threadedComment>
  <threadedComment ref="S110" dT="2025-03-20T07:46:32.46" personId="{ED1D359B-D851-4826-88EF-B9650B16DF7A}" id="{664023C4-6048-4A85-A89F-9E0086267C79}">
    <text>Moved on Enrichment platform</text>
  </threadedComment>
  <threadedComment ref="T110" dT="2025-03-20T07:46:32.46" personId="{ED1D359B-D851-4826-88EF-B9650B16DF7A}" id="{6C108D43-AC9F-4D0E-9915-935E05704BA9}">
    <text>Moved on Enrichment platform</text>
  </threadedComment>
  <threadedComment ref="U110" dT="2025-03-20T07:46:32.46" personId="{ED1D359B-D851-4826-88EF-B9650B16DF7A}" id="{1ACFD8D4-DC3B-4339-A803-216F1ADA671A}">
    <text>Moved on Enrichment platform</text>
  </threadedComment>
  <threadedComment ref="V110" dT="2025-03-20T07:46:32.46" personId="{ED1D359B-D851-4826-88EF-B9650B16DF7A}" id="{244BFC8F-9009-4561-ABC3-5BA098981046}">
    <text>Moved on Enrichment platform</text>
  </threadedComment>
  <threadedComment ref="W110" dT="2025-03-20T07:46:32.46" personId="{ED1D359B-D851-4826-88EF-B9650B16DF7A}" id="{A89F8BA2-99F1-4C17-9634-EFB4CF34B6FE}">
    <text>Moved on Enrichment platform</text>
  </threadedComment>
  <threadedComment ref="X110" dT="2025-03-20T07:46:32.46" personId="{ED1D359B-D851-4826-88EF-B9650B16DF7A}" id="{B14DE95A-CB88-445F-94D1-C8A663B9B573}">
    <text>Moved on Enrichment platform</text>
  </threadedComment>
  <threadedComment ref="Y110" dT="2025-03-20T07:46:32.46" personId="{ED1D359B-D851-4826-88EF-B9650B16DF7A}" id="{B46C79F8-BB25-479D-9210-503DC258CEF3}">
    <text>Moved on Enrichment platform</text>
  </threadedComment>
  <threadedComment ref="Z110" dT="2025-03-20T07:46:32.46" personId="{ED1D359B-D851-4826-88EF-B9650B16DF7A}" id="{8EAA2996-4E62-4AF2-986A-8610DEB79CA1}">
    <text>Moved on Enrichment platform</text>
  </threadedComment>
  <threadedComment ref="AA110" dT="2025-03-20T07:46:32.46" personId="{ED1D359B-D851-4826-88EF-B9650B16DF7A}" id="{F547B045-6405-4AE0-BDB3-E3F3E3A6F708}">
    <text>Moved on Enrichment platform</text>
  </threadedComment>
  <threadedComment ref="AB110" dT="2025-03-20T07:46:32.46" personId="{ED1D359B-D851-4826-88EF-B9650B16DF7A}" id="{91981767-2449-4202-91A8-5C473201C349}">
    <text>Moved on Enrichment platform</text>
  </threadedComment>
  <threadedComment ref="AD110" dT="2025-03-20T07:46:32.46" personId="{ED1D359B-D851-4826-88EF-B9650B16DF7A}" id="{9961F120-CCD8-4780-B07A-78BF83FD795F}">
    <text>Moved on Enrichment platform</text>
  </threadedComment>
  <threadedComment ref="AF110" dT="2025-03-20T07:46:32.46" personId="{ED1D359B-D851-4826-88EF-B9650B16DF7A}" id="{C24F3626-6276-47B9-B813-DDB55D900706}">
    <text>Moved on Enrichment platform</text>
  </threadedComment>
  <threadedComment ref="AH110" dT="2025-03-20T07:46:32.46" personId="{ED1D359B-D851-4826-88EF-B9650B16DF7A}" id="{392B7A23-B8ED-4511-BC33-73EDBF0E0274}">
    <text>Moved on Enrichment platform</text>
  </threadedComment>
  <threadedComment ref="AJ110" dT="2025-03-20T07:46:32.46" personId="{ED1D359B-D851-4826-88EF-B9650B16DF7A}" id="{CC76EC8D-B4E2-4D96-ABDB-56CE79B9EE21}">
    <text>Moved on Enrichment platform</text>
  </threadedComment>
  <threadedComment ref="J111" dT="2025-03-20T07:46:32.46" personId="{ED1D359B-D851-4826-88EF-B9650B16DF7A}" id="{D07A567A-A0AE-47B0-9B99-6C5B2EBC1C66}">
    <text>Moved on Enrichment platform</text>
  </threadedComment>
  <threadedComment ref="K111" dT="2025-03-20T07:46:32.46" personId="{ED1D359B-D851-4826-88EF-B9650B16DF7A}" id="{37B62DAE-4D2B-474C-A4EA-F83026B43712}">
    <text>Moved on Enrichment platform</text>
  </threadedComment>
  <threadedComment ref="L111" dT="2025-03-20T07:46:32.46" personId="{ED1D359B-D851-4826-88EF-B9650B16DF7A}" id="{D00B029E-2B2C-47F9-9031-21BECFB8F24A}">
    <text>Moved on Enrichment platform</text>
  </threadedComment>
  <threadedComment ref="M111" dT="2025-03-20T07:46:32.46" personId="{ED1D359B-D851-4826-88EF-B9650B16DF7A}" id="{45C00CD5-6FA6-4804-BF4B-629EAC35AC14}">
    <text>Moved on Enrichment platform</text>
  </threadedComment>
  <threadedComment ref="N111" dT="2025-03-20T07:46:32.46" personId="{ED1D359B-D851-4826-88EF-B9650B16DF7A}" id="{5FBAB226-2C9C-4DB8-B21A-9AB8D2E0B306}">
    <text>Moved on Enrichment platform</text>
  </threadedComment>
  <threadedComment ref="O111" dT="2025-03-20T07:46:32.46" personId="{ED1D359B-D851-4826-88EF-B9650B16DF7A}" id="{E1BE2457-CC6A-407F-96B9-59DF38E995D2}">
    <text>Moved on Enrichment platform</text>
  </threadedComment>
  <threadedComment ref="P111" dT="2025-03-20T07:46:32.46" personId="{ED1D359B-D851-4826-88EF-B9650B16DF7A}" id="{79E0556F-BC8F-481B-AF16-FE0F20BA57CB}">
    <text>Moved on Enrichment platform</text>
  </threadedComment>
  <threadedComment ref="Q111" dT="2025-03-20T07:46:32.46" personId="{ED1D359B-D851-4826-88EF-B9650B16DF7A}" id="{9DCBAE1B-30C8-4E82-A6D6-22002AA402C6}">
    <text>Moved on Enrichment platform</text>
  </threadedComment>
  <threadedComment ref="R111" dT="2025-03-20T07:46:32.46" personId="{ED1D359B-D851-4826-88EF-B9650B16DF7A}" id="{43C1ADE8-4DAD-48BC-BF44-453827C77AA5}">
    <text>Moved on Enrichment platform</text>
  </threadedComment>
  <threadedComment ref="S111" dT="2025-03-20T07:46:32.46" personId="{ED1D359B-D851-4826-88EF-B9650B16DF7A}" id="{0627F897-44A7-4255-8A30-BA03C04D2D80}">
    <text>Moved on Enrichment platform</text>
  </threadedComment>
  <threadedComment ref="T111" dT="2025-03-20T07:46:32.46" personId="{ED1D359B-D851-4826-88EF-B9650B16DF7A}" id="{6A00A711-21FC-4561-BCF5-1C43A73024DA}">
    <text>Moved on Enrichment platform</text>
  </threadedComment>
  <threadedComment ref="U111" dT="2025-03-20T07:46:32.46" personId="{ED1D359B-D851-4826-88EF-B9650B16DF7A}" id="{1A964515-0215-4E89-9316-8E94C11488EE}">
    <text>Moved on Enrichment platform</text>
  </threadedComment>
  <threadedComment ref="V111" dT="2025-03-20T07:46:32.46" personId="{ED1D359B-D851-4826-88EF-B9650B16DF7A}" id="{EE29DBD3-2A8A-4F94-9593-42F941BEB184}">
    <text>Moved on Enrichment platform</text>
  </threadedComment>
  <threadedComment ref="W111" dT="2025-03-20T07:46:32.46" personId="{ED1D359B-D851-4826-88EF-B9650B16DF7A}" id="{DA6CABD6-35D5-4A46-A091-50E4D7962E3C}">
    <text>Moved on Enrichment platform</text>
  </threadedComment>
  <threadedComment ref="X111" dT="2025-03-20T07:46:32.46" personId="{ED1D359B-D851-4826-88EF-B9650B16DF7A}" id="{535406C2-F906-4536-82DB-8E2F86BD47C4}">
    <text>Moved on Enrichment platform</text>
  </threadedComment>
  <threadedComment ref="Y111" dT="2025-03-20T07:46:32.46" personId="{ED1D359B-D851-4826-88EF-B9650B16DF7A}" id="{9A572B6B-2565-492B-9301-96EDD15F0363}">
    <text>Moved on Enrichment platform</text>
  </threadedComment>
  <threadedComment ref="Z111" dT="2025-03-20T07:46:32.46" personId="{ED1D359B-D851-4826-88EF-B9650B16DF7A}" id="{AD839207-63D9-4D08-8B61-E317EAF90A44}">
    <text>Moved on Enrichment platform</text>
  </threadedComment>
  <threadedComment ref="AA111" dT="2025-03-20T07:46:32.46" personId="{ED1D359B-D851-4826-88EF-B9650B16DF7A}" id="{F52DCD79-DEAD-40B2-A60A-D81902F41960}">
    <text>Moved on Enrichment platform</text>
  </threadedComment>
  <threadedComment ref="AB111" dT="2025-03-20T07:46:32.46" personId="{ED1D359B-D851-4826-88EF-B9650B16DF7A}" id="{2C766EFE-F5C5-4B56-8D78-A53A7A9C7A3A}">
    <text>Moved on Enrichment platform</text>
  </threadedComment>
  <threadedComment ref="AF111" dT="2025-03-20T07:46:32.46" personId="{ED1D359B-D851-4826-88EF-B9650B16DF7A}" id="{6829AD9E-8663-42B6-99CC-BF3626F73880}">
    <text>Moved on Enrichment platform</text>
  </threadedComment>
  <threadedComment ref="AH111" dT="2025-03-20T07:46:32.46" personId="{ED1D359B-D851-4826-88EF-B9650B16DF7A}" id="{CE359EAC-D141-4282-83BF-3992BB15372B}">
    <text>Moved on Enrichment platform</text>
  </threadedComment>
  <threadedComment ref="AJ111" dT="2025-03-20T07:46:32.46" personId="{ED1D359B-D851-4826-88EF-B9650B16DF7A}" id="{029DE5F8-4488-4129-9C58-90CE07B155DB}">
    <text>Moved on Enrichment platform</text>
  </threadedComment>
  <threadedComment ref="J112" dT="2025-03-20T07:46:32.46" personId="{ED1D359B-D851-4826-88EF-B9650B16DF7A}" id="{95D1B552-53E2-496D-BC1C-8D2E6001E16D}">
    <text>Moved on Enrichment platform</text>
  </threadedComment>
  <threadedComment ref="K112" dT="2025-03-20T07:46:32.46" personId="{ED1D359B-D851-4826-88EF-B9650B16DF7A}" id="{4B398EE4-668B-476A-8B2A-0454A7B03CBF}">
    <text>Moved on Enrichment platform</text>
  </threadedComment>
  <threadedComment ref="L112" dT="2025-03-20T07:46:32.46" personId="{ED1D359B-D851-4826-88EF-B9650B16DF7A}" id="{82130F23-DBB5-410E-B697-1F794965D868}">
    <text>Moved on Enrichment platform</text>
  </threadedComment>
  <threadedComment ref="M112" dT="2025-03-20T07:46:32.46" personId="{ED1D359B-D851-4826-88EF-B9650B16DF7A}" id="{D9653E9A-3FF1-45A4-8B93-5173EB1B3276}">
    <text>Moved on Enrichment platform</text>
  </threadedComment>
  <threadedComment ref="N112" dT="2025-03-20T07:46:32.46" personId="{ED1D359B-D851-4826-88EF-B9650B16DF7A}" id="{820E40C3-A60A-462D-82DA-66A6ADF5F2A0}">
    <text>Moved on Enrichment platform</text>
  </threadedComment>
  <threadedComment ref="O112" dT="2025-03-20T07:46:32.46" personId="{ED1D359B-D851-4826-88EF-B9650B16DF7A}" id="{B6A9E658-11DE-401E-89D1-DEDEE3B69B38}">
    <text>Moved on Enrichment platform</text>
  </threadedComment>
  <threadedComment ref="P112" dT="2025-03-20T07:46:32.46" personId="{ED1D359B-D851-4826-88EF-B9650B16DF7A}" id="{6FB7A9A8-36C4-4C30-B707-F8DA19897929}">
    <text>Moved on Enrichment platform</text>
  </threadedComment>
  <threadedComment ref="Q112" dT="2025-03-20T07:46:32.46" personId="{ED1D359B-D851-4826-88EF-B9650B16DF7A}" id="{C609065C-48CA-4287-8E69-277481229D17}">
    <text>Moved on Enrichment platform</text>
  </threadedComment>
  <threadedComment ref="R112" dT="2025-03-20T07:46:32.46" personId="{ED1D359B-D851-4826-88EF-B9650B16DF7A}" id="{63C63E1E-4631-445F-B65C-B4C6B300F728}">
    <text>Moved on Enrichment platform</text>
  </threadedComment>
  <threadedComment ref="S112" dT="2025-03-20T07:46:32.46" personId="{ED1D359B-D851-4826-88EF-B9650B16DF7A}" id="{B4A8F40D-3363-49FB-A2C4-04AD4E1EF823}">
    <text>Moved on Enrichment platform</text>
  </threadedComment>
  <threadedComment ref="T112" dT="2025-03-20T07:46:32.46" personId="{ED1D359B-D851-4826-88EF-B9650B16DF7A}" id="{B8F4239A-40F0-4374-B7D6-142A4F75E3B2}">
    <text>Moved on Enrichment platform</text>
  </threadedComment>
  <threadedComment ref="U112" dT="2025-03-20T07:46:32.46" personId="{ED1D359B-D851-4826-88EF-B9650B16DF7A}" id="{189F31A6-3BA9-496D-A236-E75CCFF85FCE}">
    <text>Moved on Enrichment platform</text>
  </threadedComment>
  <threadedComment ref="V112" dT="2025-03-20T07:46:32.46" personId="{ED1D359B-D851-4826-88EF-B9650B16DF7A}" id="{58EF6C85-6874-4D50-9446-879072CDCF14}">
    <text>Moved on Enrichment platform</text>
  </threadedComment>
  <threadedComment ref="W112" dT="2025-03-20T07:46:32.46" personId="{ED1D359B-D851-4826-88EF-B9650B16DF7A}" id="{5029F566-6AE5-4748-9736-55FA6651101F}">
    <text>Moved on Enrichment platform</text>
  </threadedComment>
  <threadedComment ref="X112" dT="2025-03-20T07:46:32.46" personId="{ED1D359B-D851-4826-88EF-B9650B16DF7A}" id="{B408AAED-FCA1-4C5B-BA3E-B923A929D32C}">
    <text>Moved on Enrichment platform</text>
  </threadedComment>
  <threadedComment ref="Y112" dT="2025-03-20T07:46:32.46" personId="{ED1D359B-D851-4826-88EF-B9650B16DF7A}" id="{FC720C5B-B6F9-4B1E-8BE2-6639CB5EBE87}">
    <text>Moved on Enrichment platform</text>
  </threadedComment>
  <threadedComment ref="Z112" dT="2025-03-20T07:46:32.46" personId="{ED1D359B-D851-4826-88EF-B9650B16DF7A}" id="{A282EB32-65AB-4E3B-818D-A1F1956BBCDB}">
    <text>Moved on Enrichment platform</text>
  </threadedComment>
  <threadedComment ref="AA112" dT="2025-03-20T07:46:32.46" personId="{ED1D359B-D851-4826-88EF-B9650B16DF7A}" id="{4B17B912-B575-486C-BE29-B891CF456937}">
    <text>Moved on Enrichment platform</text>
  </threadedComment>
  <threadedComment ref="AB112" dT="2025-03-20T07:46:32.46" personId="{ED1D359B-D851-4826-88EF-B9650B16DF7A}" id="{C69A3290-4BB3-4097-8E9C-C27FB8F5483A}">
    <text>Moved on Enrichment platform</text>
  </threadedComment>
  <threadedComment ref="AF112" dT="2025-03-20T07:46:32.46" personId="{ED1D359B-D851-4826-88EF-B9650B16DF7A}" id="{D1A33E18-5F5F-4E6E-B4B3-591734C0A1E6}">
    <text>Moved on Enrichment platform</text>
  </threadedComment>
  <threadedComment ref="AH112" dT="2025-03-20T07:46:32.46" personId="{ED1D359B-D851-4826-88EF-B9650B16DF7A}" id="{23A4F92F-6C50-4F3B-8852-5B5117DB9E7A}">
    <text>Moved on Enrichment platform</text>
  </threadedComment>
  <threadedComment ref="AJ112" dT="2025-03-20T07:46:32.46" personId="{ED1D359B-D851-4826-88EF-B9650B16DF7A}" id="{EABA0384-81FC-4C05-A9A1-F509D40C3E2A}">
    <text>Moved on Enrichment platform</text>
  </threadedComment>
  <threadedComment ref="J113" dT="2025-03-20T07:46:32.46" personId="{ED1D359B-D851-4826-88EF-B9650B16DF7A}" id="{C00BE1EE-B960-40AD-9BC1-2CC4DFC733ED}">
    <text>Moved on Enrichment platform</text>
  </threadedComment>
  <threadedComment ref="K113" dT="2025-03-20T07:46:32.46" personId="{ED1D359B-D851-4826-88EF-B9650B16DF7A}" id="{8CFA8A0E-CF40-4167-8962-E43BDC6CA8B0}">
    <text>Moved on Enrichment platform</text>
  </threadedComment>
  <threadedComment ref="L113" dT="2025-03-20T07:46:32.46" personId="{ED1D359B-D851-4826-88EF-B9650B16DF7A}" id="{F1BAA0F2-8F47-490E-B080-0C0AA5A212C8}">
    <text>Moved on Enrichment platform</text>
  </threadedComment>
  <threadedComment ref="M113" dT="2025-03-20T07:46:32.46" personId="{ED1D359B-D851-4826-88EF-B9650B16DF7A}" id="{9140F20E-2198-48F9-9DB4-70B63EB24678}">
    <text>Moved on Enrichment platform</text>
  </threadedComment>
  <threadedComment ref="N113" dT="2025-03-20T07:46:32.46" personId="{ED1D359B-D851-4826-88EF-B9650B16DF7A}" id="{29C57551-8F61-4730-9E5E-CDCA74F4E353}">
    <text>Moved on Enrichment platform</text>
  </threadedComment>
  <threadedComment ref="O113" dT="2025-03-20T07:46:32.46" personId="{ED1D359B-D851-4826-88EF-B9650B16DF7A}" id="{B9668BE0-FF38-4269-95F6-34D12D118285}">
    <text>Moved on Enrichment platform</text>
  </threadedComment>
  <threadedComment ref="P113" dT="2025-03-20T07:46:32.46" personId="{ED1D359B-D851-4826-88EF-B9650B16DF7A}" id="{921C3804-6D2B-4539-839F-0EEE8616706A}">
    <text>Moved on Enrichment platform</text>
  </threadedComment>
  <threadedComment ref="Q113" dT="2025-03-20T07:46:32.46" personId="{ED1D359B-D851-4826-88EF-B9650B16DF7A}" id="{84607846-9C9D-4B02-B06D-D9AA7E7EDFD2}">
    <text>Moved on Enrichment platform</text>
  </threadedComment>
  <threadedComment ref="R113" dT="2025-03-20T07:46:32.46" personId="{ED1D359B-D851-4826-88EF-B9650B16DF7A}" id="{B2B8DC37-FF59-4920-9E2A-D51186E3CAD8}">
    <text>Moved on Enrichment platform</text>
  </threadedComment>
  <threadedComment ref="S113" dT="2025-03-20T07:46:32.46" personId="{ED1D359B-D851-4826-88EF-B9650B16DF7A}" id="{032884C3-95BC-4EBD-826E-D1850C5E668B}">
    <text>Moved on Enrichment platform</text>
  </threadedComment>
  <threadedComment ref="T113" dT="2025-03-20T07:46:32.46" personId="{ED1D359B-D851-4826-88EF-B9650B16DF7A}" id="{6EF0EE63-A6F1-46D3-A1FD-9BBE6B2EB88D}">
    <text>Moved on Enrichment platform</text>
  </threadedComment>
  <threadedComment ref="U113" dT="2025-03-20T07:46:32.46" personId="{ED1D359B-D851-4826-88EF-B9650B16DF7A}" id="{887932EE-3E73-430F-AAC0-4B38FC96D7AD}">
    <text>Moved on Enrichment platform</text>
  </threadedComment>
  <threadedComment ref="V113" dT="2025-03-20T07:46:32.46" personId="{ED1D359B-D851-4826-88EF-B9650B16DF7A}" id="{36A84DB8-BE24-44B0-8B3E-0F5FB0458290}">
    <text>Moved on Enrichment platform</text>
  </threadedComment>
  <threadedComment ref="W113" dT="2025-03-20T07:46:32.46" personId="{ED1D359B-D851-4826-88EF-B9650B16DF7A}" id="{CE873426-B0FD-4B65-8061-213F83E3A781}">
    <text>Moved on Enrichment platform</text>
  </threadedComment>
  <threadedComment ref="X113" dT="2025-03-20T07:46:32.46" personId="{ED1D359B-D851-4826-88EF-B9650B16DF7A}" id="{A4220BEC-C936-4E28-A4E6-DC9D271B7986}">
    <text>Moved on Enrichment platform</text>
  </threadedComment>
  <threadedComment ref="Y113" dT="2025-03-20T07:46:32.46" personId="{ED1D359B-D851-4826-88EF-B9650B16DF7A}" id="{9E73730C-A29D-4474-B49C-F067686658A8}">
    <text>Moved on Enrichment platform</text>
  </threadedComment>
  <threadedComment ref="Z113" dT="2025-03-20T07:46:32.46" personId="{ED1D359B-D851-4826-88EF-B9650B16DF7A}" id="{FF273B24-94BB-4597-86A3-90A6F224A620}">
    <text>Moved on Enrichment platform</text>
  </threadedComment>
  <threadedComment ref="AA113" dT="2025-03-20T07:46:32.46" personId="{ED1D359B-D851-4826-88EF-B9650B16DF7A}" id="{9074A952-1DF7-4155-95D3-ADDC86478327}">
    <text>Moved on Enrichment platform</text>
  </threadedComment>
  <threadedComment ref="AB113" dT="2025-03-20T07:46:32.46" personId="{ED1D359B-D851-4826-88EF-B9650B16DF7A}" id="{15D8CF3B-D3E6-4C51-92EF-5A3897E1073D}">
    <text>Moved on Enrichment platform</text>
  </threadedComment>
  <threadedComment ref="AF113" dT="2025-03-20T07:46:32.46" personId="{ED1D359B-D851-4826-88EF-B9650B16DF7A}" id="{AE4BB25F-A8B4-4593-9D6C-DB6DF7504918}">
    <text>Moved on Enrichment platform</text>
  </threadedComment>
  <threadedComment ref="AH113" dT="2025-03-20T07:46:32.46" personId="{ED1D359B-D851-4826-88EF-B9650B16DF7A}" id="{890D0C99-579B-40AA-98E9-361EFCB44188}">
    <text>Moved on Enrichment platform</text>
  </threadedComment>
  <threadedComment ref="AJ113" dT="2025-03-20T07:46:32.46" personId="{ED1D359B-D851-4826-88EF-B9650B16DF7A}" id="{2DB72063-C5ED-424A-9ED6-799ADBD5284F}">
    <text>Moved on Enrichment platform</text>
  </threadedComment>
  <threadedComment ref="J114" dT="2025-03-20T07:46:32.46" personId="{ED1D359B-D851-4826-88EF-B9650B16DF7A}" id="{72D3F26A-B8C0-4C2F-9A25-054B6AB2D2A1}">
    <text>Moved on Enrichment platform</text>
  </threadedComment>
  <threadedComment ref="K114" dT="2025-03-20T07:46:32.46" personId="{ED1D359B-D851-4826-88EF-B9650B16DF7A}" id="{9425FAF6-C0B0-4328-8AA0-AF8FC2B9912D}">
    <text>Moved on Enrichment platform</text>
  </threadedComment>
  <threadedComment ref="L114" dT="2025-03-20T07:46:32.46" personId="{ED1D359B-D851-4826-88EF-B9650B16DF7A}" id="{32AC5B8F-81CB-4AFE-B282-944FA979BADB}">
    <text>Moved on Enrichment platform</text>
  </threadedComment>
  <threadedComment ref="M114" dT="2025-03-20T07:46:32.46" personId="{ED1D359B-D851-4826-88EF-B9650B16DF7A}" id="{EAFE5901-726D-40C9-A41A-F92D047AC39D}">
    <text>Moved on Enrichment platform</text>
  </threadedComment>
  <threadedComment ref="N114" dT="2025-03-20T07:46:32.46" personId="{ED1D359B-D851-4826-88EF-B9650B16DF7A}" id="{66C34EAA-4FE8-4FD9-9B2E-7CAD0782C08D}">
    <text>Moved on Enrichment platform</text>
  </threadedComment>
  <threadedComment ref="O114" dT="2025-03-20T07:46:32.46" personId="{ED1D359B-D851-4826-88EF-B9650B16DF7A}" id="{CB9F62E8-5C11-4D7E-AFDF-B5433C5D7FB6}">
    <text>Moved on Enrichment platform</text>
  </threadedComment>
  <threadedComment ref="P114" dT="2025-03-20T07:46:32.46" personId="{ED1D359B-D851-4826-88EF-B9650B16DF7A}" id="{2FD3CFC0-AEC0-4BD3-9F02-B7D64E96B1AA}">
    <text>Moved on Enrichment platform</text>
  </threadedComment>
  <threadedComment ref="Q114" dT="2025-03-20T07:46:32.46" personId="{ED1D359B-D851-4826-88EF-B9650B16DF7A}" id="{7127C57E-4A86-4CD2-84B8-8AF227851377}">
    <text>Moved on Enrichment platform</text>
  </threadedComment>
  <threadedComment ref="R114" dT="2025-03-20T07:46:32.46" personId="{ED1D359B-D851-4826-88EF-B9650B16DF7A}" id="{40250692-24ED-4514-8A7A-4E5C83687F72}">
    <text>Moved on Enrichment platform</text>
  </threadedComment>
  <threadedComment ref="S114" dT="2025-03-20T07:46:32.46" personId="{ED1D359B-D851-4826-88EF-B9650B16DF7A}" id="{8E7D0832-AE08-49E3-A546-9F8939EE77E4}">
    <text>Moved on Enrichment platform</text>
  </threadedComment>
  <threadedComment ref="T114" dT="2025-03-20T07:46:32.46" personId="{ED1D359B-D851-4826-88EF-B9650B16DF7A}" id="{DDED2836-5A10-454C-AE3E-18480027DC02}">
    <text>Moved on Enrichment platform</text>
  </threadedComment>
  <threadedComment ref="U114" dT="2025-03-20T07:46:32.46" personId="{ED1D359B-D851-4826-88EF-B9650B16DF7A}" id="{8B931444-42FA-4277-B817-E63D597C3E1C}">
    <text>Moved on Enrichment platform</text>
  </threadedComment>
  <threadedComment ref="V114" dT="2025-03-20T07:46:32.46" personId="{ED1D359B-D851-4826-88EF-B9650B16DF7A}" id="{7679F29B-F492-4B28-ACB6-71978A043581}">
    <text>Moved on Enrichment platform</text>
  </threadedComment>
  <threadedComment ref="W114" dT="2025-03-20T07:46:32.46" personId="{ED1D359B-D851-4826-88EF-B9650B16DF7A}" id="{65BA54DD-F6BB-422F-A5F1-B4AFB01984EE}">
    <text>Moved on Enrichment platform</text>
  </threadedComment>
  <threadedComment ref="X114" dT="2025-03-20T07:46:32.46" personId="{ED1D359B-D851-4826-88EF-B9650B16DF7A}" id="{D64738ED-F7BA-456C-BD84-042603F82522}">
    <text>Moved on Enrichment platform</text>
  </threadedComment>
  <threadedComment ref="Y114" dT="2025-03-20T07:46:32.46" personId="{ED1D359B-D851-4826-88EF-B9650B16DF7A}" id="{C1DF8467-65E9-4295-B35A-024CC07C7273}">
    <text>Moved on Enrichment platform</text>
  </threadedComment>
  <threadedComment ref="Z114" dT="2025-03-20T07:46:32.46" personId="{ED1D359B-D851-4826-88EF-B9650B16DF7A}" id="{7878D218-A978-406B-9472-165B314C95B8}">
    <text>Moved on Enrichment platform</text>
  </threadedComment>
  <threadedComment ref="AA114" dT="2025-03-20T07:46:32.46" personId="{ED1D359B-D851-4826-88EF-B9650B16DF7A}" id="{FD1819B7-EF17-41B1-B999-F0BC38EA1837}">
    <text>Moved on Enrichment platform</text>
  </threadedComment>
  <threadedComment ref="AB114" dT="2025-03-20T07:46:32.46" personId="{ED1D359B-D851-4826-88EF-B9650B16DF7A}" id="{A76A1B7F-82C7-4D62-90C9-69767FDD7F7E}">
    <text>Moved on Enrichment platform</text>
  </threadedComment>
  <threadedComment ref="AF114" dT="2025-03-20T07:46:32.46" personId="{ED1D359B-D851-4826-88EF-B9650B16DF7A}" id="{B51C8642-8677-4F78-A5E3-2FFE53054740}">
    <text>Moved on Enrichment platform</text>
  </threadedComment>
  <threadedComment ref="AH114" dT="2025-03-20T07:46:32.46" personId="{ED1D359B-D851-4826-88EF-B9650B16DF7A}" id="{F10F9807-D606-47DE-8424-3FA5013DE6D3}">
    <text>Moved on Enrichment platform</text>
  </threadedComment>
  <threadedComment ref="AJ114" dT="2025-03-20T07:46:32.46" personId="{ED1D359B-D851-4826-88EF-B9650B16DF7A}" id="{68D7ECC6-2AF3-4B0F-9745-1A9F03AF8F37}">
    <text>Moved on Enrichment platform</text>
  </threadedComment>
  <threadedComment ref="J115" dT="2025-03-20T07:46:32.46" personId="{ED1D359B-D851-4826-88EF-B9650B16DF7A}" id="{47BD643D-A5B4-41AD-BA19-EAE17F2EC96E}">
    <text>Moved on Enrichment platform</text>
  </threadedComment>
  <threadedComment ref="K115" dT="2025-03-20T07:46:32.46" personId="{ED1D359B-D851-4826-88EF-B9650B16DF7A}" id="{4D89989C-5299-4339-A39A-9C9F8BF351F2}">
    <text>Moved on Enrichment platform</text>
  </threadedComment>
  <threadedComment ref="L115" dT="2025-03-20T07:46:32.46" personId="{ED1D359B-D851-4826-88EF-B9650B16DF7A}" id="{BA5F0057-6A52-4655-99CD-D584D0050054}">
    <text>Moved on Enrichment platform</text>
  </threadedComment>
  <threadedComment ref="M115" dT="2025-03-20T07:46:32.46" personId="{ED1D359B-D851-4826-88EF-B9650B16DF7A}" id="{AB4BAF76-0F53-40E7-ADF4-C6B59103BFF1}">
    <text>Moved on Enrichment platform</text>
  </threadedComment>
  <threadedComment ref="N115" dT="2025-03-20T07:46:32.46" personId="{ED1D359B-D851-4826-88EF-B9650B16DF7A}" id="{04A7B59A-E99E-4905-A1CF-ACB856884693}">
    <text>Moved on Enrichment platform</text>
  </threadedComment>
  <threadedComment ref="O115" dT="2025-03-20T07:46:32.46" personId="{ED1D359B-D851-4826-88EF-B9650B16DF7A}" id="{F1D665CF-B4E1-4CA1-B9E6-594916F007EB}">
    <text>Moved on Enrichment platform</text>
  </threadedComment>
  <threadedComment ref="P115" dT="2025-03-20T07:46:32.46" personId="{ED1D359B-D851-4826-88EF-B9650B16DF7A}" id="{02ADF876-A302-4124-999B-73D9A3D5AF1C}">
    <text>Moved on Enrichment platform</text>
  </threadedComment>
  <threadedComment ref="Q115" dT="2025-03-20T07:46:32.46" personId="{ED1D359B-D851-4826-88EF-B9650B16DF7A}" id="{0869CF09-0DE9-440E-BB5D-8F0B80C76E48}">
    <text>Moved on Enrichment platform</text>
  </threadedComment>
  <threadedComment ref="R115" dT="2025-03-20T07:46:32.46" personId="{ED1D359B-D851-4826-88EF-B9650B16DF7A}" id="{B4CA604C-8CAE-4513-B0F8-81F626F7B265}">
    <text>Moved on Enrichment platform</text>
  </threadedComment>
  <threadedComment ref="S115" dT="2025-03-20T07:46:32.46" personId="{ED1D359B-D851-4826-88EF-B9650B16DF7A}" id="{934F3583-7B78-41B6-968F-BF1B557BD154}">
    <text>Moved on Enrichment platform</text>
  </threadedComment>
  <threadedComment ref="T115" dT="2025-03-20T07:46:32.46" personId="{ED1D359B-D851-4826-88EF-B9650B16DF7A}" id="{27886594-6A1F-4E6D-8AC2-41AFE0D3693E}">
    <text>Moved on Enrichment platform</text>
  </threadedComment>
  <threadedComment ref="U115" dT="2025-03-20T07:46:32.46" personId="{ED1D359B-D851-4826-88EF-B9650B16DF7A}" id="{877B8AC5-557C-478C-9CF8-AA3819DC090B}">
    <text>Moved on Enrichment platform</text>
  </threadedComment>
  <threadedComment ref="V115" dT="2025-03-20T07:46:32.46" personId="{ED1D359B-D851-4826-88EF-B9650B16DF7A}" id="{89220023-2FA8-4931-A520-C96BAE6A21D5}">
    <text>Moved on Enrichment platform</text>
  </threadedComment>
  <threadedComment ref="W115" dT="2025-03-20T07:46:32.46" personId="{ED1D359B-D851-4826-88EF-B9650B16DF7A}" id="{32F7078C-16DA-42EB-BFF8-15FEDF01F1F8}">
    <text>Moved on Enrichment platform</text>
  </threadedComment>
  <threadedComment ref="X115" dT="2025-03-20T07:46:32.46" personId="{ED1D359B-D851-4826-88EF-B9650B16DF7A}" id="{5DCE8D21-CD5A-413B-ABCC-AADF3C74EDC3}">
    <text>Moved on Enrichment platform</text>
  </threadedComment>
  <threadedComment ref="Y115" dT="2025-03-20T07:46:32.46" personId="{ED1D359B-D851-4826-88EF-B9650B16DF7A}" id="{F668003D-6682-4387-9332-EE75AEB36A3D}">
    <text>Moved on Enrichment platform</text>
  </threadedComment>
  <threadedComment ref="Z115" dT="2025-03-20T07:46:32.46" personId="{ED1D359B-D851-4826-88EF-B9650B16DF7A}" id="{E329787E-0EAD-4E09-A534-C7D96EEC17CA}">
    <text>Moved on Enrichment platform</text>
  </threadedComment>
  <threadedComment ref="AA115" dT="2025-03-20T07:46:32.46" personId="{ED1D359B-D851-4826-88EF-B9650B16DF7A}" id="{099A9070-5732-4600-854E-3A2C1E8AAD52}">
    <text>Moved on Enrichment platform</text>
  </threadedComment>
  <threadedComment ref="AB115" dT="2025-03-20T07:46:32.46" personId="{ED1D359B-D851-4826-88EF-B9650B16DF7A}" id="{7281133C-82E6-46D9-8B0D-CDA084729BD3}">
    <text>Moved on Enrichment platform</text>
  </threadedComment>
  <threadedComment ref="AF115" dT="2025-03-20T07:46:32.46" personId="{ED1D359B-D851-4826-88EF-B9650B16DF7A}" id="{ABBC02E6-C187-4CDA-84F8-986C9081B9A7}">
    <text>Moved on Enrichment platform</text>
  </threadedComment>
  <threadedComment ref="AH115" dT="2025-03-20T07:46:32.46" personId="{ED1D359B-D851-4826-88EF-B9650B16DF7A}" id="{13D531C0-1CC0-45F0-BAFA-2A0E4609ADFD}">
    <text>Moved on Enrichment platform</text>
  </threadedComment>
  <threadedComment ref="AJ115" dT="2025-03-20T07:46:32.46" personId="{ED1D359B-D851-4826-88EF-B9650B16DF7A}" id="{C6E35DA7-E10F-4A3F-9355-6DD657D5E155}">
    <text>Moved on Enrichment platform</text>
  </threadedComment>
  <threadedComment ref="J116" dT="2025-03-20T07:46:32.46" personId="{ED1D359B-D851-4826-88EF-B9650B16DF7A}" id="{D305E0B2-DB96-40C4-A794-31B5442E5821}">
    <text>Moved on Enrichment platform</text>
  </threadedComment>
  <threadedComment ref="K116" dT="2025-03-20T07:46:32.46" personId="{ED1D359B-D851-4826-88EF-B9650B16DF7A}" id="{AE7BEFD5-FBDC-4459-A656-D97B16C4EF26}">
    <text>Moved on Enrichment platform</text>
  </threadedComment>
  <threadedComment ref="L116" dT="2025-03-20T07:46:32.46" personId="{ED1D359B-D851-4826-88EF-B9650B16DF7A}" id="{B9DD11B3-06D5-43B7-BEB3-D5031DABC45C}">
    <text>Moved on Enrichment platform</text>
  </threadedComment>
  <threadedComment ref="M116" dT="2025-03-20T07:46:32.46" personId="{ED1D359B-D851-4826-88EF-B9650B16DF7A}" id="{CF1993A2-4374-4BAB-B775-BD8997CF212E}">
    <text>Moved on Enrichment platform</text>
  </threadedComment>
  <threadedComment ref="N116" dT="2025-03-20T07:46:32.46" personId="{ED1D359B-D851-4826-88EF-B9650B16DF7A}" id="{B76458C6-7652-471B-83E2-ADA1AF044036}">
    <text>Moved on Enrichment platform</text>
  </threadedComment>
  <threadedComment ref="O116" dT="2025-03-20T07:46:32.46" personId="{ED1D359B-D851-4826-88EF-B9650B16DF7A}" id="{251B40AD-6B0C-4D31-ABF5-65798020FFA7}">
    <text>Moved on Enrichment platform</text>
  </threadedComment>
  <threadedComment ref="P116" dT="2025-03-20T07:46:32.46" personId="{ED1D359B-D851-4826-88EF-B9650B16DF7A}" id="{34361F5E-86C2-4B54-BD3E-82BB85D34A75}">
    <text>Moved on Enrichment platform</text>
  </threadedComment>
  <threadedComment ref="Q116" dT="2025-03-20T07:46:32.46" personId="{ED1D359B-D851-4826-88EF-B9650B16DF7A}" id="{E400C185-57AF-4E5A-AD5B-F5E22B892FFB}">
    <text>Moved on Enrichment platform</text>
  </threadedComment>
  <threadedComment ref="R116" dT="2025-03-20T07:46:32.46" personId="{ED1D359B-D851-4826-88EF-B9650B16DF7A}" id="{FED370E0-2B05-45C3-BC92-08AC9521FC08}">
    <text>Moved on Enrichment platform</text>
  </threadedComment>
  <threadedComment ref="S116" dT="2025-03-20T07:46:32.46" personId="{ED1D359B-D851-4826-88EF-B9650B16DF7A}" id="{EF856263-2FD3-44C0-B82C-E9A38795D02E}">
    <text>Moved on Enrichment platform</text>
  </threadedComment>
  <threadedComment ref="T116" dT="2025-03-20T07:46:32.46" personId="{ED1D359B-D851-4826-88EF-B9650B16DF7A}" id="{C2A5FF73-D11F-4630-AEF2-88945CFC7B82}">
    <text>Moved on Enrichment platform</text>
  </threadedComment>
  <threadedComment ref="U116" dT="2025-03-20T07:46:32.46" personId="{ED1D359B-D851-4826-88EF-B9650B16DF7A}" id="{53B5BA72-6961-40A3-A577-6CF7A1F7DF71}">
    <text>Moved on Enrichment platform</text>
  </threadedComment>
  <threadedComment ref="V116" dT="2025-03-20T07:46:32.46" personId="{ED1D359B-D851-4826-88EF-B9650B16DF7A}" id="{FCA06511-6079-45F9-851C-4649680FB884}">
    <text>Moved on Enrichment platform</text>
  </threadedComment>
  <threadedComment ref="W116" dT="2025-03-20T07:46:32.46" personId="{ED1D359B-D851-4826-88EF-B9650B16DF7A}" id="{0E059329-CB0B-4B72-B8CB-E304E82D81D0}">
    <text>Moved on Enrichment platform</text>
  </threadedComment>
  <threadedComment ref="X116" dT="2025-03-20T07:46:32.46" personId="{ED1D359B-D851-4826-88EF-B9650B16DF7A}" id="{010383E5-0873-4BBB-BC3A-822F94C31D74}">
    <text>Moved on Enrichment platform</text>
  </threadedComment>
  <threadedComment ref="Y116" dT="2025-03-20T07:46:32.46" personId="{ED1D359B-D851-4826-88EF-B9650B16DF7A}" id="{EE527DB0-579F-422F-BB91-058A556470DD}">
    <text>Moved on Enrichment platform</text>
  </threadedComment>
  <threadedComment ref="Z116" dT="2025-03-20T07:46:32.46" personId="{ED1D359B-D851-4826-88EF-B9650B16DF7A}" id="{6921F4B1-655A-4629-8FB4-DC5928EE8ACC}">
    <text>Moved on Enrichment platform</text>
  </threadedComment>
  <threadedComment ref="AA116" dT="2025-03-20T07:46:32.46" personId="{ED1D359B-D851-4826-88EF-B9650B16DF7A}" id="{E07DE713-83EA-47F0-8743-0C11AAB73EF7}">
    <text>Moved on Enrichment platform</text>
  </threadedComment>
  <threadedComment ref="AB116" dT="2025-03-20T07:46:32.46" personId="{ED1D359B-D851-4826-88EF-B9650B16DF7A}" id="{5862B365-1787-4F7A-AF5B-D0856169081C}">
    <text>Moved on Enrichment platform</text>
  </threadedComment>
  <threadedComment ref="AF116" dT="2025-03-20T07:46:32.46" personId="{ED1D359B-D851-4826-88EF-B9650B16DF7A}" id="{D9F811BB-830A-4478-9624-794BF9A31787}">
    <text>Moved on Enrichment platform</text>
  </threadedComment>
  <threadedComment ref="AH116" dT="2025-03-20T07:46:32.46" personId="{ED1D359B-D851-4826-88EF-B9650B16DF7A}" id="{36CAF0C5-1209-4822-95CD-CE62BD95DEB3}">
    <text>Moved on Enrichment platform</text>
  </threadedComment>
  <threadedComment ref="AJ116" dT="2025-03-20T07:46:32.46" personId="{ED1D359B-D851-4826-88EF-B9650B16DF7A}" id="{9A56EFCC-1686-426A-A43A-A1778DFE35CA}">
    <text>Moved on Enrichment platform</text>
  </threadedComment>
  <threadedComment ref="L117" dT="2025-06-19T07:50:53.89" personId="{385AE97E-DB3C-47AF-B0F4-D63AD85D52E9}" id="{6F18D429-A910-4382-84FB-86485C6E0C90}">
    <text xml:space="preserve">Due to issue in TADR report </text>
  </threadedComment>
  <threadedComment ref="M117" dT="2025-06-19T07:50:53.89" personId="{385AE97E-DB3C-47AF-B0F4-D63AD85D52E9}" id="{AA96C964-7316-4EC3-8DA7-9F160BEBE666}">
    <text xml:space="preserve">Due to issue in TADR report </text>
  </threadedComment>
  <threadedComment ref="N117" dT="2025-06-19T07:50:53.89" personId="{385AE97E-DB3C-47AF-B0F4-D63AD85D52E9}" id="{9B36A466-CE95-41F4-8AAF-4923758947A7}">
    <text xml:space="preserve">Due to issue in TADR report </text>
  </threadedComment>
  <threadedComment ref="O117" dT="2025-06-19T07:50:53.89" personId="{385AE97E-DB3C-47AF-B0F4-D63AD85D52E9}" id="{D22FC04E-FF21-40D6-B3F4-C89C09F627EE}">
    <text xml:space="preserve">Due to issue in TADR report </text>
  </threadedComment>
  <threadedComment ref="P117" dT="2025-06-19T07:50:53.89" personId="{385AE97E-DB3C-47AF-B0F4-D63AD85D52E9}" id="{360BD127-6307-46B3-9758-A2C9586D8C43}">
    <text xml:space="preserve">Due to issue in TADR report </text>
  </threadedComment>
  <threadedComment ref="Q117" dT="2025-06-19T07:50:53.89" personId="{385AE97E-DB3C-47AF-B0F4-D63AD85D52E9}" id="{872FE3BB-7691-43D4-BBD3-D28568281DAD}">
    <text xml:space="preserve">Due to issue in TADR report </text>
  </threadedComment>
  <threadedComment ref="R117" dT="2025-06-19T07:50:53.89" personId="{385AE97E-DB3C-47AF-B0F4-D63AD85D52E9}" id="{88B7D5BE-F35A-46A5-8EA6-B73BD8F38B42}">
    <text xml:space="preserve">Due to issue in TADR report </text>
  </threadedComment>
  <threadedComment ref="S117" dT="2025-06-19T07:50:53.89" personId="{385AE97E-DB3C-47AF-B0F4-D63AD85D52E9}" id="{04136711-31B3-4321-8CCA-FEBE5A73B68B}">
    <text xml:space="preserve">Due to issue in TADR report </text>
  </threadedComment>
  <threadedComment ref="L118" dT="2025-06-19T07:50:53.89" personId="{385AE97E-DB3C-47AF-B0F4-D63AD85D52E9}" id="{B9BC7D34-5DB9-48B2-9812-42E330062C69}">
    <text xml:space="preserve">Due to issue in TADR report </text>
  </threadedComment>
  <threadedComment ref="M118" dT="2025-06-19T07:50:53.89" personId="{385AE97E-DB3C-47AF-B0F4-D63AD85D52E9}" id="{8583199C-6A13-4D39-A879-93C44602E4F8}">
    <text xml:space="preserve">Due to issue in TADR report </text>
  </threadedComment>
  <threadedComment ref="N118" dT="2025-06-19T07:50:53.89" personId="{385AE97E-DB3C-47AF-B0F4-D63AD85D52E9}" id="{1E5207F7-D560-4A0E-8105-DACF2C08B4A1}">
    <text xml:space="preserve">Due to issue in TADR report </text>
  </threadedComment>
  <threadedComment ref="O118" dT="2025-06-19T07:50:53.89" personId="{385AE97E-DB3C-47AF-B0F4-D63AD85D52E9}" id="{9884A905-6BBF-470F-9522-074E46471E89}">
    <text xml:space="preserve">Due to issue in TADR report </text>
  </threadedComment>
  <threadedComment ref="P118" dT="2025-06-19T07:50:53.89" personId="{385AE97E-DB3C-47AF-B0F4-D63AD85D52E9}" id="{14B75C5B-2ECB-4302-A3A4-CAD70871154A}">
    <text xml:space="preserve">Due to issue in TADR report </text>
  </threadedComment>
  <threadedComment ref="Q118" dT="2025-06-19T07:50:53.89" personId="{385AE97E-DB3C-47AF-B0F4-D63AD85D52E9}" id="{07EAEEE0-82C7-4B4A-9564-EB8036BCF955}">
    <text xml:space="preserve">Due to issue in TADR report </text>
  </threadedComment>
  <threadedComment ref="R118" dT="2025-06-19T07:50:53.89" personId="{385AE97E-DB3C-47AF-B0F4-D63AD85D52E9}" id="{62C49BB3-7E7D-4204-8B46-E8C6365E7276}">
    <text xml:space="preserve">Due to issue in TADR report </text>
  </threadedComment>
  <threadedComment ref="S118" dT="2025-06-19T07:50:53.89" personId="{385AE97E-DB3C-47AF-B0F4-D63AD85D52E9}" id="{A4EC4BF8-C8A1-4F98-80EF-BEBE5DB160C2}">
    <text xml:space="preserve">Due to issue in TADR report </text>
  </threadedComment>
  <threadedComment ref="L119" dT="2025-06-19T07:50:53.89" personId="{385AE97E-DB3C-47AF-B0F4-D63AD85D52E9}" id="{7D4B533B-62FC-4571-9F41-54FBA9E91462}">
    <text xml:space="preserve">Due to issue in TADR report </text>
  </threadedComment>
  <threadedComment ref="M119" dT="2025-06-19T07:50:53.89" personId="{385AE97E-DB3C-47AF-B0F4-D63AD85D52E9}" id="{00C044D5-E702-4CAB-81AB-12611A21723F}">
    <text xml:space="preserve">Due to issue in TADR report </text>
  </threadedComment>
  <threadedComment ref="N119" dT="2025-06-19T07:50:53.89" personId="{385AE97E-DB3C-47AF-B0F4-D63AD85D52E9}" id="{772D7D66-0FCF-427D-8BBF-4D328E864B2B}">
    <text xml:space="preserve">Due to issue in TADR report </text>
  </threadedComment>
  <threadedComment ref="O119" dT="2025-06-19T07:50:53.89" personId="{385AE97E-DB3C-47AF-B0F4-D63AD85D52E9}" id="{C943D4FB-8FA1-4D65-A43E-F344E0E77525}">
    <text xml:space="preserve">Due to issue in TADR report </text>
  </threadedComment>
  <threadedComment ref="P119" dT="2025-06-19T07:50:53.89" personId="{385AE97E-DB3C-47AF-B0F4-D63AD85D52E9}" id="{53346BCE-C244-48DD-86D7-C65B0419C545}">
    <text xml:space="preserve">Due to issue in TADR report </text>
  </threadedComment>
  <threadedComment ref="Q119" dT="2025-06-19T07:50:53.89" personId="{385AE97E-DB3C-47AF-B0F4-D63AD85D52E9}" id="{B2E34802-EB5F-44C0-9906-0A07FAA80045}">
    <text xml:space="preserve">Due to issue in TADR report </text>
  </threadedComment>
  <threadedComment ref="R119" dT="2025-06-19T07:50:53.89" personId="{385AE97E-DB3C-47AF-B0F4-D63AD85D52E9}" id="{739B454B-46EE-4247-BCE7-5E8AFE13AB64}">
    <text xml:space="preserve">Due to issue in TADR report </text>
  </threadedComment>
  <threadedComment ref="S119" dT="2025-06-19T07:50:53.89" personId="{385AE97E-DB3C-47AF-B0F4-D63AD85D52E9}" id="{594FA197-2356-481A-919B-7594496C4C4D}">
    <text xml:space="preserve">Due to issue in TADR report </text>
  </threadedComment>
  <threadedComment ref="L120" dT="2025-06-19T07:50:53.89" personId="{385AE97E-DB3C-47AF-B0F4-D63AD85D52E9}" id="{3E371D4C-22EB-4FEC-92BE-3D267CEF64ED}">
    <text xml:space="preserve">Due to issue in TADR report </text>
  </threadedComment>
  <threadedComment ref="M120" dT="2025-06-19T07:50:53.89" personId="{385AE97E-DB3C-47AF-B0F4-D63AD85D52E9}" id="{E25A3602-D7F2-4A1C-9095-03060356FC42}">
    <text xml:space="preserve">Due to issue in TADR report </text>
  </threadedComment>
  <threadedComment ref="N120" dT="2025-06-19T07:50:53.89" personId="{385AE97E-DB3C-47AF-B0F4-D63AD85D52E9}" id="{A0862B2A-EF11-4CA2-9F26-B5FEC2940FF0}">
    <text xml:space="preserve">Due to issue in TADR report </text>
  </threadedComment>
  <threadedComment ref="O120" dT="2025-06-19T07:50:53.89" personId="{385AE97E-DB3C-47AF-B0F4-D63AD85D52E9}" id="{33CB10F0-4A28-4AC3-B5CF-DD4FC9FE63B8}">
    <text xml:space="preserve">Due to issue in TADR report </text>
  </threadedComment>
  <threadedComment ref="P120" dT="2025-06-19T07:50:53.89" personId="{385AE97E-DB3C-47AF-B0F4-D63AD85D52E9}" id="{B1B9732A-BB50-4585-8AAC-F97FDFD49B97}">
    <text xml:space="preserve">Due to issue in TADR report </text>
  </threadedComment>
  <threadedComment ref="Q120" dT="2025-06-19T07:50:53.89" personId="{385AE97E-DB3C-47AF-B0F4-D63AD85D52E9}" id="{C645E49F-2E5C-4EB5-AC79-1F741499D3A9}">
    <text xml:space="preserve">Due to issue in TADR report </text>
  </threadedComment>
  <threadedComment ref="R120" dT="2025-06-19T07:50:53.89" personId="{385AE97E-DB3C-47AF-B0F4-D63AD85D52E9}" id="{8D413FA1-07D2-4232-BFC5-C7C95670166E}">
    <text xml:space="preserve">Due to issue in TADR report </text>
  </threadedComment>
  <threadedComment ref="S120" dT="2025-06-19T07:50:53.89" personId="{385AE97E-DB3C-47AF-B0F4-D63AD85D52E9}" id="{4797C4CD-37FC-4225-B78F-BA3CD9EA9695}">
    <text xml:space="preserve">Due to issue in TADR report </text>
  </threadedComment>
  <threadedComment ref="J121" dT="2024-09-13T07:20:59.17" personId="{385AE97E-DB3C-47AF-B0F4-D63AD85D52E9}" id="{CF004A2C-97A7-4F8E-9717-14D7A96463FB}">
    <text>NA - No report available</text>
  </threadedComment>
  <threadedComment ref="K121" dT="2024-09-13T07:20:59.17" personId="{385AE97E-DB3C-47AF-B0F4-D63AD85D52E9}" id="{807B5709-99B2-4639-BCE8-D2DC1EC0AF54}">
    <text>NA - No report available</text>
  </threadedComment>
  <threadedComment ref="L121" dT="2025-06-19T07:50:53.89" personId="{385AE97E-DB3C-47AF-B0F4-D63AD85D52E9}" id="{060DF102-AA9A-4514-8704-6BCEF4AF4628}">
    <text xml:space="preserve">Due to issue in TADR report </text>
  </threadedComment>
  <threadedComment ref="M121" dT="2025-06-19T07:50:53.89" personId="{385AE97E-DB3C-47AF-B0F4-D63AD85D52E9}" id="{9B7D56A7-1144-44B6-BBA3-0AA8F3C72C31}">
    <text xml:space="preserve">Due to issue in TADR report </text>
  </threadedComment>
  <threadedComment ref="N121" dT="2025-06-19T07:50:53.89" personId="{385AE97E-DB3C-47AF-B0F4-D63AD85D52E9}" id="{48CA8180-C99C-497E-A226-66DF8E24148C}">
    <text xml:space="preserve">Due to issue in TADR report </text>
  </threadedComment>
  <threadedComment ref="O121" dT="2025-06-19T07:50:53.89" personId="{385AE97E-DB3C-47AF-B0F4-D63AD85D52E9}" id="{E27AB850-E9FE-46E7-B5B0-D47C52FB85F8}">
    <text xml:space="preserve">Due to issue in TADR report </text>
  </threadedComment>
  <threadedComment ref="P121" dT="2025-06-19T07:50:53.89" personId="{385AE97E-DB3C-47AF-B0F4-D63AD85D52E9}" id="{517C1065-1C6B-446C-8BBF-5ECF3854708D}">
    <text xml:space="preserve">Due to issue in TADR report </text>
  </threadedComment>
  <threadedComment ref="Q121" dT="2025-06-19T07:50:53.89" personId="{385AE97E-DB3C-47AF-B0F4-D63AD85D52E9}" id="{D5730D90-A6C3-4EC9-9216-286AB6D20E8D}">
    <text xml:space="preserve">Due to issue in TADR report </text>
  </threadedComment>
  <threadedComment ref="R121" dT="2025-06-19T07:50:53.89" personId="{385AE97E-DB3C-47AF-B0F4-D63AD85D52E9}" id="{F9B18EB9-8A03-4517-BECF-B673AC159729}">
    <text xml:space="preserve">Due to issue in TADR report </text>
  </threadedComment>
  <threadedComment ref="S121" dT="2025-06-19T07:50:53.89" personId="{385AE97E-DB3C-47AF-B0F4-D63AD85D52E9}" id="{BAC2F186-F03B-485F-80E2-2A864A62EF0A}">
    <text xml:space="preserve">Due to issue in TADR report </text>
  </threadedComment>
  <threadedComment ref="T121" dT="2024-09-13T07:20:59.17" personId="{385AE97E-DB3C-47AF-B0F4-D63AD85D52E9}" id="{739C0F1C-96C6-4579-A01E-87B25941DE93}">
    <text>NA - No report available</text>
  </threadedComment>
  <threadedComment ref="U121" dT="2024-09-13T07:20:59.17" personId="{385AE97E-DB3C-47AF-B0F4-D63AD85D52E9}" id="{BC5EC0F7-53C8-4744-BF36-7D717B90C50E}">
    <text>NA - No report available</text>
  </threadedComment>
  <threadedComment ref="V121" dT="2024-09-13T07:20:59.17" personId="{385AE97E-DB3C-47AF-B0F4-D63AD85D52E9}" id="{2654CD77-9981-4CEC-AD52-A17C44D2B6B0}">
    <text>NA - No report available</text>
  </threadedComment>
  <threadedComment ref="W121" dT="2024-09-13T07:20:59.17" personId="{385AE97E-DB3C-47AF-B0F4-D63AD85D52E9}" id="{B09C085D-644E-4317-B21D-1C50EEB72030}">
    <text>NA - No report available</text>
  </threadedComment>
  <threadedComment ref="X121" dT="2024-09-13T07:20:59.17" personId="{385AE97E-DB3C-47AF-B0F4-D63AD85D52E9}" id="{701AF03F-58D4-4228-B3BD-196D4328AD9A}">
    <text>NA - No report available</text>
  </threadedComment>
  <threadedComment ref="Y121" dT="2024-09-13T07:20:59.17" personId="{385AE97E-DB3C-47AF-B0F4-D63AD85D52E9}" id="{1681D8C5-8439-41DC-A588-A0D56EC6B3E4}">
    <text>NA - No report available</text>
  </threadedComment>
  <threadedComment ref="Z121" dT="2024-09-13T07:20:59.17" personId="{385AE97E-DB3C-47AF-B0F4-D63AD85D52E9}" id="{2F03B941-59C7-4E6F-B661-B09D92D96AFE}">
    <text>NA - No report available</text>
  </threadedComment>
  <threadedComment ref="AA121" dT="2024-09-13T07:20:59.17" personId="{385AE97E-DB3C-47AF-B0F4-D63AD85D52E9}" id="{7A7E7A1F-69CB-4916-8562-4C52C4F1E567}">
    <text>NA - No report available</text>
  </threadedComment>
  <threadedComment ref="AB121" dT="2024-09-13T07:20:59.17" personId="{385AE97E-DB3C-47AF-B0F4-D63AD85D52E9}" id="{4243A67A-12E2-4B76-B096-EF82C11B9E5D}">
    <text>NA - No report available</text>
  </threadedComment>
  <threadedComment ref="AJ121" dT="2024-09-13T07:20:59.17" personId="{385AE97E-DB3C-47AF-B0F4-D63AD85D52E9}" id="{5A4ABBC4-3C88-40E6-9D01-82F45A3616C8}">
    <text>NA - No report available</text>
  </threadedComment>
  <threadedComment ref="L122" dT="2025-06-19T07:50:53.89" personId="{385AE97E-DB3C-47AF-B0F4-D63AD85D52E9}" id="{3D1FFEB1-8B0D-4892-AC76-28F3A6D0D180}">
    <text xml:space="preserve">Due to issue in TADR report </text>
  </threadedComment>
  <threadedComment ref="M122" dT="2025-06-19T07:50:53.89" personId="{385AE97E-DB3C-47AF-B0F4-D63AD85D52E9}" id="{2F50D0FF-F0DC-4AA4-8CAF-2A216D6B4EB7}">
    <text xml:space="preserve">Due to issue in TADR report </text>
  </threadedComment>
  <threadedComment ref="N122" dT="2025-06-19T07:50:53.89" personId="{385AE97E-DB3C-47AF-B0F4-D63AD85D52E9}" id="{0D4AF845-DCC4-4E92-968D-9452F941C18E}">
    <text xml:space="preserve">Due to issue in TADR report </text>
  </threadedComment>
  <threadedComment ref="O122" dT="2025-06-19T07:50:53.89" personId="{385AE97E-DB3C-47AF-B0F4-D63AD85D52E9}" id="{1D698593-5FB9-4FFD-AA07-188480CCA9DD}">
    <text xml:space="preserve">Due to issue in TADR report </text>
  </threadedComment>
  <threadedComment ref="P122" dT="2025-06-19T07:50:53.89" personId="{385AE97E-DB3C-47AF-B0F4-D63AD85D52E9}" id="{6315DCC5-E37B-409E-B11E-214FE97F84FA}">
    <text xml:space="preserve">Due to issue in TADR report </text>
  </threadedComment>
  <threadedComment ref="Q122" dT="2025-06-19T07:50:53.89" personId="{385AE97E-DB3C-47AF-B0F4-D63AD85D52E9}" id="{170AD3D1-43DD-4EB6-938A-FE00FB9F5F5A}">
    <text xml:space="preserve">Due to issue in TADR report </text>
  </threadedComment>
  <threadedComment ref="R122" dT="2025-06-19T07:50:53.89" personId="{385AE97E-DB3C-47AF-B0F4-D63AD85D52E9}" id="{BCCA13B5-5F0A-4C66-B305-B5211282300C}">
    <text xml:space="preserve">Due to issue in TADR report </text>
  </threadedComment>
  <threadedComment ref="S122" dT="2025-06-19T07:50:53.89" personId="{385AE97E-DB3C-47AF-B0F4-D63AD85D52E9}" id="{06AA16AA-A6EE-46C6-BAD8-F4B583CFCA3A}">
    <text xml:space="preserve">Due to issue in TADR report </text>
  </threadedComment>
  <threadedComment ref="L123" dT="2025-06-19T07:50:53.89" personId="{385AE97E-DB3C-47AF-B0F4-D63AD85D52E9}" id="{DDA19D04-F862-4F87-AFD2-097EE1F21228}">
    <text xml:space="preserve">Due to issue in TADR report </text>
  </threadedComment>
  <threadedComment ref="M123" dT="2025-06-19T07:50:53.89" personId="{385AE97E-DB3C-47AF-B0F4-D63AD85D52E9}" id="{D0AA0B2A-CCB9-418D-934C-FEDD0C7F99AA}">
    <text xml:space="preserve">Due to issue in TADR report </text>
  </threadedComment>
  <threadedComment ref="N123" dT="2025-06-19T07:50:53.89" personId="{385AE97E-DB3C-47AF-B0F4-D63AD85D52E9}" id="{F9960466-F6C2-4B8A-B389-E6E61789F072}">
    <text xml:space="preserve">Due to issue in TADR report </text>
  </threadedComment>
  <threadedComment ref="O123" dT="2025-06-19T07:50:53.89" personId="{385AE97E-DB3C-47AF-B0F4-D63AD85D52E9}" id="{04FEB751-85CD-4D59-B6A6-81E859D7C468}">
    <text xml:space="preserve">Due to issue in TADR report </text>
  </threadedComment>
  <threadedComment ref="P123" dT="2025-06-19T07:50:53.89" personId="{385AE97E-DB3C-47AF-B0F4-D63AD85D52E9}" id="{C4CC9444-316D-4795-8970-AE958EBD9E17}">
    <text xml:space="preserve">Due to issue in TADR report </text>
  </threadedComment>
  <threadedComment ref="Q123" dT="2025-06-19T07:50:53.89" personId="{385AE97E-DB3C-47AF-B0F4-D63AD85D52E9}" id="{83C088B6-F9F6-4AD4-AD50-5B2ED0C2CB31}">
    <text xml:space="preserve">Due to issue in TADR report </text>
  </threadedComment>
  <threadedComment ref="R123" dT="2025-06-19T07:50:53.89" personId="{385AE97E-DB3C-47AF-B0F4-D63AD85D52E9}" id="{A94938D7-E9B9-4050-A883-F258DFB7E911}">
    <text xml:space="preserve">Due to issue in TADR report </text>
  </threadedComment>
  <threadedComment ref="S123" dT="2025-06-19T07:50:53.89" personId="{385AE97E-DB3C-47AF-B0F4-D63AD85D52E9}" id="{190E05F8-CB95-4CED-B0CE-0199F6547DE9}">
    <text xml:space="preserve">Due to issue in TADR report </text>
  </threadedComment>
  <threadedComment ref="L124" dT="2025-06-19T07:50:53.89" personId="{385AE97E-DB3C-47AF-B0F4-D63AD85D52E9}" id="{080E753E-02A2-4A54-8EE6-94FA890B78E3}">
    <text xml:space="preserve">Due to issue in TADR report </text>
  </threadedComment>
  <threadedComment ref="M124" dT="2025-06-19T07:50:53.89" personId="{385AE97E-DB3C-47AF-B0F4-D63AD85D52E9}" id="{BF5FC4D6-8EAD-4758-BB5B-BA9FCD3FD94F}">
    <text xml:space="preserve">Due to issue in TADR report </text>
  </threadedComment>
  <threadedComment ref="N124" dT="2025-06-19T07:50:53.89" personId="{385AE97E-DB3C-47AF-B0F4-D63AD85D52E9}" id="{0418F2E9-D208-4620-A530-25892CE025DB}">
    <text xml:space="preserve">Due to issue in TADR report </text>
  </threadedComment>
  <threadedComment ref="O124" dT="2025-06-19T07:50:53.89" personId="{385AE97E-DB3C-47AF-B0F4-D63AD85D52E9}" id="{1409F83E-759D-4C84-9B5A-350EB41A30EA}">
    <text xml:space="preserve">Due to issue in TADR report </text>
  </threadedComment>
  <threadedComment ref="P124" dT="2025-06-19T07:50:53.89" personId="{385AE97E-DB3C-47AF-B0F4-D63AD85D52E9}" id="{CB172311-FEF6-456D-8371-57341D2D38DC}">
    <text xml:space="preserve">Due to issue in TADR report </text>
  </threadedComment>
  <threadedComment ref="Q124" dT="2025-06-19T07:50:53.89" personId="{385AE97E-DB3C-47AF-B0F4-D63AD85D52E9}" id="{75EC516E-7077-4F78-85D2-174150B18E5C}">
    <text xml:space="preserve">Due to issue in TADR report </text>
  </threadedComment>
  <threadedComment ref="R124" dT="2025-06-19T07:50:53.89" personId="{385AE97E-DB3C-47AF-B0F4-D63AD85D52E9}" id="{F0A905E8-27D5-455E-8581-EB8004FC17B7}">
    <text xml:space="preserve">Due to issue in TADR report </text>
  </threadedComment>
  <threadedComment ref="S124" dT="2025-06-19T07:50:53.89" personId="{385AE97E-DB3C-47AF-B0F4-D63AD85D52E9}" id="{D055013C-FE2A-4096-8980-A7ACB3EF6804}">
    <text xml:space="preserve">Due to issue in TADR report </text>
  </threadedComment>
  <threadedComment ref="L125" dT="2025-06-19T07:50:53.89" personId="{385AE97E-DB3C-47AF-B0F4-D63AD85D52E9}" id="{F68EF0EE-9930-4C7D-AEF4-3A36D90D3C67}">
    <text xml:space="preserve">Due to issue in TADR report </text>
  </threadedComment>
  <threadedComment ref="M125" dT="2025-06-19T07:50:53.89" personId="{385AE97E-DB3C-47AF-B0F4-D63AD85D52E9}" id="{885DB7BC-092A-42C4-809E-A24560C07CCF}">
    <text xml:space="preserve">Due to issue in TADR report </text>
  </threadedComment>
  <threadedComment ref="N125" dT="2025-06-19T07:50:53.89" personId="{385AE97E-DB3C-47AF-B0F4-D63AD85D52E9}" id="{299D6A86-A58D-492F-B559-CA0801BC19EE}">
    <text xml:space="preserve">Due to issue in TADR report </text>
  </threadedComment>
  <threadedComment ref="O125" dT="2025-06-19T07:50:53.89" personId="{385AE97E-DB3C-47AF-B0F4-D63AD85D52E9}" id="{AD942D7D-A6D9-4957-8F43-89BCF5A1FF47}">
    <text xml:space="preserve">Due to issue in TADR report </text>
  </threadedComment>
  <threadedComment ref="P125" dT="2025-06-19T07:50:53.89" personId="{385AE97E-DB3C-47AF-B0F4-D63AD85D52E9}" id="{B3409F56-BBE0-44BA-846C-8E767A98B9A0}">
    <text xml:space="preserve">Due to issue in TADR report </text>
  </threadedComment>
  <threadedComment ref="Q125" dT="2025-06-19T07:50:53.89" personId="{385AE97E-DB3C-47AF-B0F4-D63AD85D52E9}" id="{5BA7ED97-9722-48E7-A843-5B9CF2A46D89}">
    <text xml:space="preserve">Due to issue in TADR report </text>
  </threadedComment>
  <threadedComment ref="R125" dT="2025-06-19T07:50:53.89" personId="{385AE97E-DB3C-47AF-B0F4-D63AD85D52E9}" id="{951368BA-0BC8-4CAF-BDB0-485941195A44}">
    <text xml:space="preserve">Due to issue in TADR report </text>
  </threadedComment>
  <threadedComment ref="S125" dT="2025-06-19T07:50:53.89" personId="{385AE97E-DB3C-47AF-B0F4-D63AD85D52E9}" id="{A1B576DA-55B4-4616-9E7B-E26EBD133FC1}">
    <text xml:space="preserve">Due to issue in TADR report </text>
  </threadedComment>
  <threadedComment ref="AB125" dT="2024-09-13T07:20:59.17" personId="{385AE97E-DB3C-47AF-B0F4-D63AD85D52E9}" id="{88B6D999-85C2-4E2A-B571-3B14FDF95F0C}">
    <text>NA - No report available</text>
  </threadedComment>
  <threadedComment ref="AD125" dT="2024-09-13T07:20:59.17" personId="{385AE97E-DB3C-47AF-B0F4-D63AD85D52E9}" id="{A84A1433-68E3-4B0E-9BB8-3424387AB3DC}">
    <text>NA - No report available</text>
  </threadedComment>
  <threadedComment ref="J126" dT="2024-09-13T07:20:59.17" personId="{385AE97E-DB3C-47AF-B0F4-D63AD85D52E9}" id="{192444A1-547C-4D43-9210-3376F9520E5F}">
    <text>NA - No report available</text>
  </threadedComment>
  <threadedComment ref="K126" dT="2024-09-13T07:20:59.17" personId="{385AE97E-DB3C-47AF-B0F4-D63AD85D52E9}" id="{B52E92E8-02E6-493B-B80F-0ADBE9DA1CA5}">
    <text>NA - No report available</text>
  </threadedComment>
  <threadedComment ref="L126" dT="2025-06-19T07:50:53.89" personId="{385AE97E-DB3C-47AF-B0F4-D63AD85D52E9}" id="{0C9A80F0-8F5F-4950-BD47-4F6D58027ABC}">
    <text xml:space="preserve">Due to issue in TADR report </text>
  </threadedComment>
  <threadedComment ref="M126" dT="2025-06-19T07:50:53.89" personId="{385AE97E-DB3C-47AF-B0F4-D63AD85D52E9}" id="{F9D69C95-E548-4487-B734-E72195A1EC51}">
    <text xml:space="preserve">Due to issue in TADR report </text>
  </threadedComment>
  <threadedComment ref="N126" dT="2025-06-19T07:50:53.89" personId="{385AE97E-DB3C-47AF-B0F4-D63AD85D52E9}" id="{D64C6E03-C4E6-4C46-B21C-02DBC0B1974D}">
    <text xml:space="preserve">Due to issue in TADR report </text>
  </threadedComment>
  <threadedComment ref="O126" dT="2025-06-19T07:50:53.89" personId="{385AE97E-DB3C-47AF-B0F4-D63AD85D52E9}" id="{67CB6747-1615-40E7-BC72-C32B36505B10}">
    <text xml:space="preserve">Due to issue in TADR report </text>
  </threadedComment>
  <threadedComment ref="P126" dT="2025-06-19T07:50:53.89" personId="{385AE97E-DB3C-47AF-B0F4-D63AD85D52E9}" id="{6E432D93-8388-4085-B256-ACBA7B6D5E22}">
    <text xml:space="preserve">Due to issue in TADR report </text>
  </threadedComment>
  <threadedComment ref="Q126" dT="2025-06-19T07:50:53.89" personId="{385AE97E-DB3C-47AF-B0F4-D63AD85D52E9}" id="{6A7461E2-A8A6-4F03-B5F2-469C2FE4D4AE}">
    <text xml:space="preserve">Due to issue in TADR report </text>
  </threadedComment>
  <threadedComment ref="R126" dT="2025-06-19T07:50:53.89" personId="{385AE97E-DB3C-47AF-B0F4-D63AD85D52E9}" id="{68186A87-941C-4E34-9B6A-69D7632B8150}">
    <text xml:space="preserve">Due to issue in TADR report </text>
  </threadedComment>
  <threadedComment ref="S126" dT="2025-06-19T07:50:53.89" personId="{385AE97E-DB3C-47AF-B0F4-D63AD85D52E9}" id="{594ABB65-D3F6-41FC-A342-B100320FD358}">
    <text xml:space="preserve">Due to issue in TADR report </text>
  </threadedComment>
  <threadedComment ref="T126" dT="2024-09-13T07:20:59.17" personId="{385AE97E-DB3C-47AF-B0F4-D63AD85D52E9}" id="{83576A31-0385-43D7-9FCC-CE57DF9312D5}">
    <text>NA - No report available</text>
  </threadedComment>
  <threadedComment ref="U126" dT="2024-09-13T07:20:59.17" personId="{385AE97E-DB3C-47AF-B0F4-D63AD85D52E9}" id="{5B488AEE-BEF7-4DAD-ADD1-1C1D1070536C}">
    <text>NA - No report available</text>
  </threadedComment>
  <threadedComment ref="V126" dT="2024-09-13T07:20:59.17" personId="{385AE97E-DB3C-47AF-B0F4-D63AD85D52E9}" id="{C76437C4-2D59-439A-9637-C2809FB55137}">
    <text>NA - No report available</text>
  </threadedComment>
  <threadedComment ref="W126" dT="2024-09-13T07:20:59.17" personId="{385AE97E-DB3C-47AF-B0F4-D63AD85D52E9}" id="{EC2A0B3C-E5AF-41AB-ACCE-3D570D6A83B0}">
    <text>NA - No report available</text>
  </threadedComment>
  <threadedComment ref="X126" dT="2024-09-13T07:20:59.17" personId="{385AE97E-DB3C-47AF-B0F4-D63AD85D52E9}" id="{B0A640EE-2810-4866-8D2D-166E31B1619D}">
    <text>NA - No report available</text>
  </threadedComment>
  <threadedComment ref="Y126" dT="2024-09-13T07:20:59.17" personId="{385AE97E-DB3C-47AF-B0F4-D63AD85D52E9}" id="{C8AAE815-1F6D-4102-A2BA-F02C4244CD80}">
    <text>NA - No report available</text>
  </threadedComment>
  <threadedComment ref="Z126" dT="2024-09-13T07:20:59.17" personId="{385AE97E-DB3C-47AF-B0F4-D63AD85D52E9}" id="{906B8DEC-0D0A-47B4-972B-B15D5F2D985A}">
    <text>NA - No report available</text>
  </threadedComment>
  <threadedComment ref="AA126" dT="2024-09-13T07:20:59.17" personId="{385AE97E-DB3C-47AF-B0F4-D63AD85D52E9}" id="{3D735B40-210E-46C5-8A22-7936668E4DC1}">
    <text>NA - No report available</text>
  </threadedComment>
  <threadedComment ref="AB126" dT="2024-09-13T07:20:59.17" personId="{385AE97E-DB3C-47AF-B0F4-D63AD85D52E9}" id="{4240638E-8AE7-4548-8A18-30A7208A0ACA}">
    <text>NA - No report available</text>
  </threadedComment>
  <threadedComment ref="AD126" dT="2024-09-13T07:20:59.17" personId="{385AE97E-DB3C-47AF-B0F4-D63AD85D52E9}" id="{6800BAE8-56D9-4ECC-B8B9-873BEFA3DC4B}">
    <text>NA - No report available</text>
  </threadedComment>
  <threadedComment ref="AF126" dT="2024-09-13T07:20:59.17" personId="{385AE97E-DB3C-47AF-B0F4-D63AD85D52E9}" id="{94DA86E5-3BD6-4692-9C50-9F24E4454BAA}">
    <text>NA - No report available</text>
  </threadedComment>
  <threadedComment ref="AH126" dT="2024-09-13T07:20:59.17" personId="{385AE97E-DB3C-47AF-B0F4-D63AD85D52E9}" id="{2CEDD1D9-F4C9-49F2-AC38-546E69E9B944}">
    <text>NA - No report available</text>
  </threadedComment>
  <threadedComment ref="AJ126" dT="2024-09-13T07:20:59.17" personId="{385AE97E-DB3C-47AF-B0F4-D63AD85D52E9}" id="{F2207445-76A2-4B41-ACAC-D2991E05CB0E}">
    <text>NA - No report available</text>
  </threadedComment>
  <threadedComment ref="J127" dT="2024-09-13T07:20:59.17" personId="{385AE97E-DB3C-47AF-B0F4-D63AD85D52E9}" id="{6C26500D-C5D2-482B-A0FD-234BCE1BA13D}">
    <text>NA - No report available</text>
  </threadedComment>
  <threadedComment ref="K127" dT="2024-09-13T07:20:59.17" personId="{385AE97E-DB3C-47AF-B0F4-D63AD85D52E9}" id="{1FAFE172-BA4A-4793-95BA-E23C2B5684F4}">
    <text>NA - No report available</text>
  </threadedComment>
  <threadedComment ref="L127" dT="2025-06-19T07:50:53.89" personId="{385AE97E-DB3C-47AF-B0F4-D63AD85D52E9}" id="{F3F41B53-7715-4775-BEF0-EE8675D752B7}">
    <text xml:space="preserve">Due to issue in TADR report </text>
  </threadedComment>
  <threadedComment ref="M127" dT="2025-06-19T07:50:53.89" personId="{385AE97E-DB3C-47AF-B0F4-D63AD85D52E9}" id="{13D7D61B-73D4-4F5D-995B-1168D074D1E3}">
    <text xml:space="preserve">Due to issue in TADR report </text>
  </threadedComment>
  <threadedComment ref="N127" dT="2025-06-19T07:50:53.89" personId="{385AE97E-DB3C-47AF-B0F4-D63AD85D52E9}" id="{7722AD34-414B-4AB1-B710-292D330161B0}">
    <text xml:space="preserve">Due to issue in TADR report </text>
  </threadedComment>
  <threadedComment ref="O127" dT="2025-06-19T07:50:53.89" personId="{385AE97E-DB3C-47AF-B0F4-D63AD85D52E9}" id="{8F0EEB98-05AE-496B-B489-05CCD015B0BC}">
    <text xml:space="preserve">Due to issue in TADR report </text>
  </threadedComment>
  <threadedComment ref="P127" dT="2025-06-19T07:50:53.89" personId="{385AE97E-DB3C-47AF-B0F4-D63AD85D52E9}" id="{03E03DC8-2422-43F0-8D30-9B3F98840450}">
    <text xml:space="preserve">Due to issue in TADR report </text>
  </threadedComment>
  <threadedComment ref="Q127" dT="2025-06-19T07:50:53.89" personId="{385AE97E-DB3C-47AF-B0F4-D63AD85D52E9}" id="{84469E58-B298-4D9D-8E16-0271499E92FF}">
    <text xml:space="preserve">Due to issue in TADR report </text>
  </threadedComment>
  <threadedComment ref="R127" dT="2025-06-19T07:50:53.89" personId="{385AE97E-DB3C-47AF-B0F4-D63AD85D52E9}" id="{EAA64620-F12B-4588-8396-D480E5CD0CD8}">
    <text xml:space="preserve">Due to issue in TADR report </text>
  </threadedComment>
  <threadedComment ref="S127" dT="2025-06-19T07:50:53.89" personId="{385AE97E-DB3C-47AF-B0F4-D63AD85D52E9}" id="{2C73514F-2269-4B32-BE4E-CED49CACC313}">
    <text xml:space="preserve">Due to issue in TADR report </text>
  </threadedComment>
  <threadedComment ref="T127" dT="2024-09-13T07:20:59.17" personId="{385AE97E-DB3C-47AF-B0F4-D63AD85D52E9}" id="{F0EE5383-B712-49A5-915D-DADAF8BA6B48}">
    <text>NA - No report available</text>
  </threadedComment>
  <threadedComment ref="U127" dT="2024-09-13T07:20:59.17" personId="{385AE97E-DB3C-47AF-B0F4-D63AD85D52E9}" id="{6ED4F11A-4EDD-46BE-8D8F-D8DB8B5B52E5}">
    <text>NA - No report available</text>
  </threadedComment>
  <threadedComment ref="V127" dT="2024-09-13T07:20:59.17" personId="{385AE97E-DB3C-47AF-B0F4-D63AD85D52E9}" id="{04CBFF03-C523-4BD1-82C0-067F84D92952}">
    <text>NA - No report available</text>
  </threadedComment>
  <threadedComment ref="W127" dT="2024-09-13T07:20:59.17" personId="{385AE97E-DB3C-47AF-B0F4-D63AD85D52E9}" id="{CDEFB83E-079F-4EFE-9F00-DE72FCDF1557}">
    <text>NA - No report available</text>
  </threadedComment>
  <threadedComment ref="X127" dT="2024-09-13T07:20:59.17" personId="{385AE97E-DB3C-47AF-B0F4-D63AD85D52E9}" id="{F192186E-3712-47C5-B4A6-45E96E2AFD29}">
    <text>NA - No report available</text>
  </threadedComment>
  <threadedComment ref="Y127" dT="2024-09-13T07:20:59.17" personId="{385AE97E-DB3C-47AF-B0F4-D63AD85D52E9}" id="{99F8D534-AC3B-4740-945A-5D96BF987EAC}">
    <text>NA - No report available</text>
  </threadedComment>
  <threadedComment ref="Z127" dT="2024-09-13T07:20:59.17" personId="{385AE97E-DB3C-47AF-B0F4-D63AD85D52E9}" id="{48BDB6AA-82DD-45CB-90D8-74E8AEB8E91A}">
    <text>NA - No report available</text>
  </threadedComment>
  <threadedComment ref="AA127" dT="2024-09-13T07:20:59.17" personId="{385AE97E-DB3C-47AF-B0F4-D63AD85D52E9}" id="{E1A00289-B990-45E9-81B3-0C7A609BF37D}">
    <text>NA - No report available</text>
  </threadedComment>
  <threadedComment ref="AB127" dT="2024-09-13T07:20:59.17" personId="{385AE97E-DB3C-47AF-B0F4-D63AD85D52E9}" id="{4EE06BA5-83CF-4946-8543-94DD435D0AFD}">
    <text>NA - No report available</text>
  </threadedComment>
  <threadedComment ref="AD127" dT="2024-09-13T07:20:59.17" personId="{385AE97E-DB3C-47AF-B0F4-D63AD85D52E9}" id="{7955038F-D97A-4D45-9FEB-955D381F6FED}">
    <text>NA - No report available</text>
  </threadedComment>
  <threadedComment ref="AF127" dT="2024-09-13T07:20:59.17" personId="{385AE97E-DB3C-47AF-B0F4-D63AD85D52E9}" id="{D05B7C4E-624D-45F9-8EA6-92BE60AB4E31}">
    <text>NA - No report available</text>
  </threadedComment>
  <threadedComment ref="AH127" dT="2024-09-13T07:20:59.17" personId="{385AE97E-DB3C-47AF-B0F4-D63AD85D52E9}" id="{0C643D50-F608-4261-AF21-166ADF595D04}">
    <text>NA - No report available</text>
  </threadedComment>
  <threadedComment ref="AJ127" dT="2024-09-13T07:20:59.17" personId="{385AE97E-DB3C-47AF-B0F4-D63AD85D52E9}" id="{212854EB-D4A5-4C29-B8C5-BA0240A149C9}">
    <text>NA - No report available</text>
  </threadedComment>
  <threadedComment ref="J128" dT="2024-09-13T07:20:59.17" personId="{385AE97E-DB3C-47AF-B0F4-D63AD85D52E9}" id="{B46B4C2F-FCD4-4C6D-AEF6-AF36D7C6B194}">
    <text>NA - No report available</text>
  </threadedComment>
  <threadedComment ref="K128" dT="2024-09-13T07:20:59.17" personId="{385AE97E-DB3C-47AF-B0F4-D63AD85D52E9}" id="{4D98A99E-0317-41C6-B902-275756F2D138}">
    <text>NA - No report available</text>
  </threadedComment>
  <threadedComment ref="L128" dT="2025-06-19T07:50:53.89" personId="{385AE97E-DB3C-47AF-B0F4-D63AD85D52E9}" id="{B860E020-0194-4DFF-BF38-7BD088D28CA1}">
    <text xml:space="preserve">Due to issue in TADR report </text>
  </threadedComment>
  <threadedComment ref="M128" dT="2025-06-19T07:50:53.89" personId="{385AE97E-DB3C-47AF-B0F4-D63AD85D52E9}" id="{2D25B7F4-087A-4955-AF51-CB1412747BE1}">
    <text xml:space="preserve">Due to issue in TADR report </text>
  </threadedComment>
  <threadedComment ref="N128" dT="2025-06-19T07:50:53.89" personId="{385AE97E-DB3C-47AF-B0F4-D63AD85D52E9}" id="{3EC0BAFE-7F4B-430C-8B2C-1BF2A5E1AD16}">
    <text xml:space="preserve">Due to issue in TADR report </text>
  </threadedComment>
  <threadedComment ref="O128" dT="2025-06-19T07:50:53.89" personId="{385AE97E-DB3C-47AF-B0F4-D63AD85D52E9}" id="{F378B398-5EE6-4B11-8ED4-B452BFC3BC27}">
    <text xml:space="preserve">Due to issue in TADR report </text>
  </threadedComment>
  <threadedComment ref="P128" dT="2025-06-19T07:50:53.89" personId="{385AE97E-DB3C-47AF-B0F4-D63AD85D52E9}" id="{DDF87C20-08ED-4533-9CD1-47308E57ED60}">
    <text xml:space="preserve">Due to issue in TADR report </text>
  </threadedComment>
  <threadedComment ref="Q128" dT="2025-06-19T07:50:53.89" personId="{385AE97E-DB3C-47AF-B0F4-D63AD85D52E9}" id="{D8D3AE84-3FD3-4231-A60C-3BB9F9731C59}">
    <text xml:space="preserve">Due to issue in TADR report </text>
  </threadedComment>
  <threadedComment ref="R128" dT="2025-06-19T07:50:53.89" personId="{385AE97E-DB3C-47AF-B0F4-D63AD85D52E9}" id="{D8492A39-9DC8-4737-BD33-918D775CF6C2}">
    <text xml:space="preserve">Due to issue in TADR report </text>
  </threadedComment>
  <threadedComment ref="S128" dT="2025-06-19T07:50:53.89" personId="{385AE97E-DB3C-47AF-B0F4-D63AD85D52E9}" id="{EA7E4116-460B-40BA-B61D-B4D93C49DB60}">
    <text xml:space="preserve">Due to issue in TADR report </text>
  </threadedComment>
  <threadedComment ref="T128" dT="2024-09-13T07:20:59.17" personId="{385AE97E-DB3C-47AF-B0F4-D63AD85D52E9}" id="{CDC622E3-F399-4B21-99BF-11556B0229F9}">
    <text>NA - No report available</text>
  </threadedComment>
  <threadedComment ref="U128" dT="2024-09-13T07:20:59.17" personId="{385AE97E-DB3C-47AF-B0F4-D63AD85D52E9}" id="{4F0D6D15-67B4-45CE-98E5-A8B209424D88}">
    <text>NA - No report available</text>
  </threadedComment>
  <threadedComment ref="V128" dT="2024-09-13T07:20:59.17" personId="{385AE97E-DB3C-47AF-B0F4-D63AD85D52E9}" id="{7F273909-FE02-41F6-BC2F-2196D4BA5B33}">
    <text>NA - No report available</text>
  </threadedComment>
  <threadedComment ref="W128" dT="2024-09-13T07:20:59.17" personId="{385AE97E-DB3C-47AF-B0F4-D63AD85D52E9}" id="{2F0649FD-F51B-4FE4-9045-5A2AA70FBFE5}">
    <text>NA - No report available</text>
  </threadedComment>
  <threadedComment ref="X128" dT="2024-09-13T07:20:59.17" personId="{385AE97E-DB3C-47AF-B0F4-D63AD85D52E9}" id="{89B5BA62-E466-4125-B1C0-F2A2F7FA5590}">
    <text>NA - No report available</text>
  </threadedComment>
  <threadedComment ref="Y128" dT="2024-09-13T07:20:59.17" personId="{385AE97E-DB3C-47AF-B0F4-D63AD85D52E9}" id="{5DF07F97-8E1B-420E-B864-986F99E21289}">
    <text>NA - No report available</text>
  </threadedComment>
  <threadedComment ref="Z128" dT="2024-09-13T07:20:59.17" personId="{385AE97E-DB3C-47AF-B0F4-D63AD85D52E9}" id="{2AC51E52-9BBE-48E8-9DDE-4F337E308885}">
    <text>NA - No report available</text>
  </threadedComment>
  <threadedComment ref="AA128" dT="2024-09-13T07:20:59.17" personId="{385AE97E-DB3C-47AF-B0F4-D63AD85D52E9}" id="{D05CF30A-62FA-4EBB-9B86-F1093BE67B93}">
    <text>NA - No report available</text>
  </threadedComment>
  <threadedComment ref="AB128" dT="2024-09-13T07:20:59.17" personId="{385AE97E-DB3C-47AF-B0F4-D63AD85D52E9}" id="{B95246FF-13A3-4589-BD9A-72958DF668EF}">
    <text>NA - No report available</text>
  </threadedComment>
  <threadedComment ref="AD128" dT="2024-09-13T07:20:59.17" personId="{385AE97E-DB3C-47AF-B0F4-D63AD85D52E9}" id="{6F991FA3-B1E0-48D7-8B35-C8AF5B745EC6}">
    <text>NA - No report available</text>
  </threadedComment>
  <threadedComment ref="AF128" dT="2024-09-13T07:20:59.17" personId="{385AE97E-DB3C-47AF-B0F4-D63AD85D52E9}" id="{6D459372-F429-4DB5-9403-154898CC4A46}">
    <text>NA - No report available</text>
  </threadedComment>
  <threadedComment ref="AH128" dT="2024-09-13T07:20:59.17" personId="{385AE97E-DB3C-47AF-B0F4-D63AD85D52E9}" id="{88ADA75A-F1BE-4FC2-A6D4-E9249155C35B}">
    <text>NA - No report available</text>
  </threadedComment>
  <threadedComment ref="AJ128" dT="2024-09-13T07:20:59.17" personId="{385AE97E-DB3C-47AF-B0F4-D63AD85D52E9}" id="{B05F80F2-9BE9-4D4B-B720-5AF089179560}">
    <text>NA - No report available</text>
  </threadedComment>
  <threadedComment ref="J129" dT="2024-09-13T07:20:59.17" personId="{385AE97E-DB3C-47AF-B0F4-D63AD85D52E9}" id="{7EF41A5C-DE8A-4BCB-AA4C-83E5266F4931}">
    <text>NA - No report available</text>
  </threadedComment>
  <threadedComment ref="K129" dT="2024-09-13T07:20:59.17" personId="{385AE97E-DB3C-47AF-B0F4-D63AD85D52E9}" id="{E09ED021-C367-4FE3-B3A0-C8C2678DE27D}">
    <text>NA - No report available</text>
  </threadedComment>
  <threadedComment ref="L129" dT="2025-06-19T07:50:53.89" personId="{385AE97E-DB3C-47AF-B0F4-D63AD85D52E9}" id="{24453D05-14F1-4F67-AF04-D5DADE2484CE}">
    <text xml:space="preserve">Due to issue in TADR report </text>
  </threadedComment>
  <threadedComment ref="M129" dT="2025-06-19T07:50:53.89" personId="{385AE97E-DB3C-47AF-B0F4-D63AD85D52E9}" id="{33F083E8-62CF-4FDD-A4BB-8681D6D67049}">
    <text xml:space="preserve">Due to issue in TADR report </text>
  </threadedComment>
  <threadedComment ref="N129" dT="2025-06-19T07:50:53.89" personId="{385AE97E-DB3C-47AF-B0F4-D63AD85D52E9}" id="{1FA63225-EB54-4A1E-8DCA-2ED4688C41BB}">
    <text xml:space="preserve">Due to issue in TADR report </text>
  </threadedComment>
  <threadedComment ref="O129" dT="2025-06-19T07:50:53.89" personId="{385AE97E-DB3C-47AF-B0F4-D63AD85D52E9}" id="{5DB43965-BC5C-4F11-9ECA-3B445180620D}">
    <text xml:space="preserve">Due to issue in TADR report </text>
  </threadedComment>
  <threadedComment ref="P129" dT="2025-06-19T07:50:53.89" personId="{385AE97E-DB3C-47AF-B0F4-D63AD85D52E9}" id="{2875661F-3625-4464-9719-9933B3B7C0DA}">
    <text xml:space="preserve">Due to issue in TADR report </text>
  </threadedComment>
  <threadedComment ref="Q129" dT="2025-06-19T07:50:53.89" personId="{385AE97E-DB3C-47AF-B0F4-D63AD85D52E9}" id="{98D984D8-DFF3-4E74-A587-81AD332C7392}">
    <text xml:space="preserve">Due to issue in TADR report </text>
  </threadedComment>
  <threadedComment ref="R129" dT="2025-06-19T07:50:53.89" personId="{385AE97E-DB3C-47AF-B0F4-D63AD85D52E9}" id="{0E8A5B6E-D394-458B-994D-2F7AD22A83BA}">
    <text xml:space="preserve">Due to issue in TADR report </text>
  </threadedComment>
  <threadedComment ref="S129" dT="2025-06-19T07:50:53.89" personId="{385AE97E-DB3C-47AF-B0F4-D63AD85D52E9}" id="{DD11EAB4-55D3-4CDA-B49E-E4ADEB2AF0EA}">
    <text xml:space="preserve">Due to issue in TADR report </text>
  </threadedComment>
  <threadedComment ref="T129" dT="2024-09-13T07:20:59.17" personId="{385AE97E-DB3C-47AF-B0F4-D63AD85D52E9}" id="{B8DFEA90-6855-4880-84B1-1BCD2540B90D}">
    <text>NA - No report available</text>
  </threadedComment>
  <threadedComment ref="U129" dT="2024-09-13T07:20:59.17" personId="{385AE97E-DB3C-47AF-B0F4-D63AD85D52E9}" id="{ECA25CE3-E68A-4A38-AD2E-5320CA8C825C}">
    <text>NA - No report available</text>
  </threadedComment>
  <threadedComment ref="V129" dT="2024-09-13T07:20:59.17" personId="{385AE97E-DB3C-47AF-B0F4-D63AD85D52E9}" id="{C3D1D6AC-F8A4-4FA5-827A-3A45A3D8B4C5}">
    <text>NA - No report available</text>
  </threadedComment>
  <threadedComment ref="W129" dT="2024-09-13T07:20:59.17" personId="{385AE97E-DB3C-47AF-B0F4-D63AD85D52E9}" id="{6AC35B4B-21A0-42DA-8A0D-E1656FEC8046}">
    <text>NA - No report available</text>
  </threadedComment>
  <threadedComment ref="X129" dT="2024-09-13T07:20:59.17" personId="{385AE97E-DB3C-47AF-B0F4-D63AD85D52E9}" id="{F62ACB10-8411-4777-AB74-8CCA9F17EB4D}">
    <text>NA - No report available</text>
  </threadedComment>
  <threadedComment ref="Y129" dT="2024-09-13T07:20:59.17" personId="{385AE97E-DB3C-47AF-B0F4-D63AD85D52E9}" id="{C366AA31-A96B-49D1-BF7C-8E817A61F0A9}">
    <text>NA - No report available</text>
  </threadedComment>
  <threadedComment ref="Z129" dT="2024-09-13T07:20:59.17" personId="{385AE97E-DB3C-47AF-B0F4-D63AD85D52E9}" id="{AE5A6E61-BC1F-477A-846D-43EEE107C8A4}">
    <text>NA - No report available</text>
  </threadedComment>
  <threadedComment ref="AA129" dT="2024-09-13T07:20:59.17" personId="{385AE97E-DB3C-47AF-B0F4-D63AD85D52E9}" id="{D6CF343E-3304-4CC7-B0B4-E2D607DCCF02}">
    <text>NA - No report available</text>
  </threadedComment>
  <threadedComment ref="AB129" dT="2024-09-13T07:20:59.17" personId="{385AE97E-DB3C-47AF-B0F4-D63AD85D52E9}" id="{F11A6651-830F-4423-B4E0-163F5DAFDC76}">
    <text>NA - No report available</text>
  </threadedComment>
  <threadedComment ref="AD129" dT="2024-09-13T07:20:59.17" personId="{385AE97E-DB3C-47AF-B0F4-D63AD85D52E9}" id="{40DB71FD-795B-4CC1-A7CE-C0E221C343CA}">
    <text>NA - No report available</text>
  </threadedComment>
  <threadedComment ref="AF129" dT="2024-09-13T07:20:59.17" personId="{385AE97E-DB3C-47AF-B0F4-D63AD85D52E9}" id="{62B5D616-6022-420F-BE7B-C3900EC83AD4}">
    <text>NA - No report available</text>
  </threadedComment>
  <threadedComment ref="AH129" dT="2024-09-13T07:20:59.17" personId="{385AE97E-DB3C-47AF-B0F4-D63AD85D52E9}" id="{51B82B9C-3C22-4894-93A3-D2820C9DAEF7}">
    <text>NA - No report available</text>
  </threadedComment>
  <threadedComment ref="AJ129" dT="2024-09-13T07:20:59.17" personId="{385AE97E-DB3C-47AF-B0F4-D63AD85D52E9}" id="{89091643-6C61-4E86-90BF-C00717D5E922}">
    <text>NA - No report available</text>
  </threadedComment>
  <threadedComment ref="L130" dT="2025-06-19T09:17:31.86" personId="{385AE97E-DB3C-47AF-B0F4-D63AD85D52E9}" id="{D9D24098-CA12-41B3-B422-E111B21B2245}">
    <text>No base file as data is from TA One view</text>
  </threadedComment>
  <threadedComment ref="AJ130" dT="2025-06-19T09:17:43.88" personId="{385AE97E-DB3C-47AF-B0F4-D63AD85D52E9}" id="{94D147B6-EF0A-4008-BF53-08CA03228432}">
    <text xml:space="preserve">No base file as data is from TA One view
</text>
  </threadedComment>
  <threadedComment ref="I131" dT="2023-02-09T10:16:20.32" personId="{ED1D359B-D851-4826-88EF-B9650B16DF7A}" id="{F3475B61-4122-4E04-B2BE-BA9CD2CB3ED7}">
    <text>In the month of Dec'22 target was changed from 35 Days to 45 Days</text>
  </threadedComment>
  <threadedComment ref="L131" dT="2025-06-19T09:17:48.57" personId="{385AE97E-DB3C-47AF-B0F4-D63AD85D52E9}" id="{1D628D86-1E23-4C19-B52F-0DFD3F930AB0}">
    <text xml:space="preserve">No base file as data is from TA One view
</text>
  </threadedComment>
  <threadedComment ref="AJ131" dT="2025-06-19T09:17:52.26" personId="{385AE97E-DB3C-47AF-B0F4-D63AD85D52E9}" id="{2F0A158A-DC60-4317-AFC6-22F0B1C7739A}">
    <text xml:space="preserve">No base file as data is from TA One view
</text>
  </threadedComment>
  <threadedComment ref="L132" dT="2025-06-19T09:17:56.15" personId="{385AE97E-DB3C-47AF-B0F4-D63AD85D52E9}" id="{2364F37D-3189-42E4-80FF-DC8608E6B6AA}">
    <text xml:space="preserve">No base file as data is from TA One view
</text>
  </threadedComment>
  <threadedComment ref="L133" dT="2025-06-19T09:17:59.51" personId="{385AE97E-DB3C-47AF-B0F4-D63AD85D52E9}" id="{A8A63C20-3FF5-4047-ACCA-7226FC81AED2}">
    <text xml:space="preserve">No base file as data is from TA One view
</text>
  </threadedComment>
  <threadedComment ref="J140" dT="2025-05-20T07:08:56.53" personId="{385AE97E-DB3C-47AF-B0F4-D63AD85D52E9}" id="{3E1A128D-F420-4A8C-9817-E79178BBBB1D}">
    <text>Removed from SLA’s list</text>
  </threadedComment>
  <threadedComment ref="K140" dT="2025-05-20T07:08:56.53" personId="{385AE97E-DB3C-47AF-B0F4-D63AD85D52E9}" id="{021036B2-EE37-49C3-BD15-D59BDD7E53FE}">
    <text>Removed from SLA’s list</text>
  </threadedComment>
  <threadedComment ref="L140" dT="2025-05-20T07:08:56.53" personId="{385AE97E-DB3C-47AF-B0F4-D63AD85D52E9}" id="{9434B548-156E-4063-A5CC-C0A3B9CB2D3D}">
    <text>Removed from SLA’s list</text>
  </threadedComment>
  <threadedComment ref="M140" dT="2025-05-20T07:08:56.53" personId="{385AE97E-DB3C-47AF-B0F4-D63AD85D52E9}" id="{56D08C90-4EE1-4CE6-AC56-F2F80EE7130F}">
    <text>Removed from SLA’s list</text>
  </threadedComment>
  <threadedComment ref="N140" dT="2025-05-20T07:08:56.53" personId="{385AE97E-DB3C-47AF-B0F4-D63AD85D52E9}" id="{DABBA5CB-706C-4DA0-9B95-532FFBABD6F3}">
    <text>Removed from SLA’s list</text>
  </threadedComment>
  <threadedComment ref="O140" dT="2025-05-20T07:08:56.53" personId="{385AE97E-DB3C-47AF-B0F4-D63AD85D52E9}" id="{6F192BF2-2FA7-4D40-8732-72B324E938E8}">
    <text>Removed from SLA’s list</text>
  </threadedComment>
  <threadedComment ref="P140" dT="2025-05-20T07:08:56.53" personId="{385AE97E-DB3C-47AF-B0F4-D63AD85D52E9}" id="{B34E7F0F-15B7-4773-B462-792D4BE010AF}">
    <text>Removed from SLA’s list</text>
  </threadedComment>
  <threadedComment ref="Q140" dT="2025-05-20T07:08:56.53" personId="{385AE97E-DB3C-47AF-B0F4-D63AD85D52E9}" id="{5F485B8E-0348-42FF-9C8B-9DA190A58DA7}">
    <text>Removed from SLA’s list</text>
  </threadedComment>
  <threadedComment ref="R140" dT="2025-05-20T07:08:56.53" personId="{385AE97E-DB3C-47AF-B0F4-D63AD85D52E9}" id="{D9D4CC06-27B0-47FD-8318-C3A147D038F1}">
    <text>Removed from SLA’s list</text>
  </threadedComment>
  <threadedComment ref="S140" dT="2025-05-20T07:08:56.53" personId="{385AE97E-DB3C-47AF-B0F4-D63AD85D52E9}" id="{9B720292-ABF7-42A5-A9A7-9C337F99F5BF}">
    <text>Removed from SLA’s list</text>
  </threadedComment>
  <threadedComment ref="T140" dT="2025-05-20T07:08:56.53" personId="{385AE97E-DB3C-47AF-B0F4-D63AD85D52E9}" id="{0669E9C3-AAA6-46ED-BA2F-B9C22FC3B96D}">
    <text>Removed from SLA’s list</text>
  </threadedComment>
  <threadedComment ref="U140" dT="2025-05-20T07:08:56.53" personId="{385AE97E-DB3C-47AF-B0F4-D63AD85D52E9}" id="{47810B3C-98BE-4DAE-8E30-1BB0C847149E}">
    <text>Removed from SLA’s list</text>
  </threadedComment>
  <threadedComment ref="V140" dT="2025-05-20T07:08:56.53" personId="{385AE97E-DB3C-47AF-B0F4-D63AD85D52E9}" id="{636A34BD-6FFD-4C5D-B366-5DB65822DE5D}">
    <text>Removed from SLA’s list</text>
  </threadedComment>
  <threadedComment ref="W140" dT="2025-05-20T07:08:56.53" personId="{385AE97E-DB3C-47AF-B0F4-D63AD85D52E9}" id="{AC4CF1A5-D1B8-4D57-8D05-C3E93D929B08}">
    <text>Removed from SLA’s list</text>
  </threadedComment>
  <threadedComment ref="X140" dT="2025-05-20T07:08:56.53" personId="{385AE97E-DB3C-47AF-B0F4-D63AD85D52E9}" id="{4DF1BA31-B7CC-45A5-897B-AA13F63FE45B}">
    <text>Removed from SLA’s list</text>
  </threadedComment>
  <threadedComment ref="Y140" dT="2025-05-20T07:08:56.53" personId="{385AE97E-DB3C-47AF-B0F4-D63AD85D52E9}" id="{7A0BE36A-D34D-449D-A621-7F818ADD00B9}">
    <text>Removed from SLA’s list</text>
  </threadedComment>
  <threadedComment ref="Z140" dT="2025-05-20T07:08:56.53" personId="{385AE97E-DB3C-47AF-B0F4-D63AD85D52E9}" id="{721B4A58-DBB1-43C6-A20F-AE08E1737371}">
    <text>Removed from SLA’s list</text>
  </threadedComment>
  <threadedComment ref="AA140" dT="2025-05-20T07:08:56.53" personId="{385AE97E-DB3C-47AF-B0F4-D63AD85D52E9}" id="{E6232DA9-3FDB-4004-B96F-E5C519604A24}">
    <text>Removed from SLA’s list</text>
  </threadedComment>
  <threadedComment ref="AB140" dT="2025-05-20T07:08:56.53" personId="{385AE97E-DB3C-47AF-B0F4-D63AD85D52E9}" id="{75B0FAB0-0A86-4F56-98DC-88A49CBAA642}">
    <text>Removed from SLA’s list</text>
  </threadedComment>
  <threadedComment ref="AD140" dT="2025-05-20T07:08:56.53" personId="{385AE97E-DB3C-47AF-B0F4-D63AD85D52E9}" id="{496F0FAD-5B44-4857-B84E-607F30C2C376}">
    <text>Removed from SLA’s list</text>
  </threadedComment>
  <threadedComment ref="AF140" dT="2025-05-20T07:08:56.53" personId="{385AE97E-DB3C-47AF-B0F4-D63AD85D52E9}" id="{9077832B-98AB-4E2A-B1FC-D23E4DBFF94C}">
    <text>Removed from SLA’s list</text>
  </threadedComment>
  <threadedComment ref="AH140" dT="2025-05-20T07:08:56.53" personId="{385AE97E-DB3C-47AF-B0F4-D63AD85D52E9}" id="{A5FA1A3A-7AAC-4E09-83D5-5E841B411663}">
    <text>Removed from SLA’s list</text>
  </threadedComment>
  <threadedComment ref="AJ140" dT="2025-05-20T07:08:56.53" personId="{385AE97E-DB3C-47AF-B0F4-D63AD85D52E9}" id="{1D0F3F70-07F8-42C2-B71A-FFCC7855E8BE}">
    <text>Removed from SLA’s list</text>
  </threadedComment>
  <threadedComment ref="J141" dT="2025-05-20T07:08:56.53" personId="{385AE97E-DB3C-47AF-B0F4-D63AD85D52E9}" id="{0E795341-EAD9-4EE3-8A3F-3BB78549BDF2}">
    <text>Removed from SLA’s list</text>
  </threadedComment>
  <threadedComment ref="K141" dT="2025-05-20T07:08:56.53" personId="{385AE97E-DB3C-47AF-B0F4-D63AD85D52E9}" id="{38DE5D03-17EB-4E52-A1C4-F35BC9688FD5}">
    <text>Removed from SLA’s list</text>
  </threadedComment>
  <threadedComment ref="L141" dT="2025-05-20T07:08:56.53" personId="{385AE97E-DB3C-47AF-B0F4-D63AD85D52E9}" id="{42549E50-9B97-4570-8E66-00B2EE29181C}">
    <text>Removed from SLA’s list</text>
  </threadedComment>
  <threadedComment ref="M141" dT="2025-05-20T07:08:56.53" personId="{385AE97E-DB3C-47AF-B0F4-D63AD85D52E9}" id="{31BEE3F3-2F21-45C0-BC70-7444807E592E}">
    <text>Removed from SLA’s list</text>
  </threadedComment>
  <threadedComment ref="N141" dT="2025-05-20T07:08:56.53" personId="{385AE97E-DB3C-47AF-B0F4-D63AD85D52E9}" id="{12D098C6-AFC0-4896-AFCB-B6F9A22484DD}">
    <text>Removed from SLA’s list</text>
  </threadedComment>
  <threadedComment ref="O141" dT="2025-05-20T07:08:56.53" personId="{385AE97E-DB3C-47AF-B0F4-D63AD85D52E9}" id="{19AACCC2-3C6F-4F6F-AA94-649ADDA0F98F}">
    <text>Removed from SLA’s list</text>
  </threadedComment>
  <threadedComment ref="P141" dT="2025-05-20T07:08:56.53" personId="{385AE97E-DB3C-47AF-B0F4-D63AD85D52E9}" id="{04746C00-FA98-4CB7-AAA5-0E796DB37728}">
    <text>Removed from SLA’s list</text>
  </threadedComment>
  <threadedComment ref="Q141" dT="2025-05-20T07:08:56.53" personId="{385AE97E-DB3C-47AF-B0F4-D63AD85D52E9}" id="{1CCDBA5C-1362-43F6-8691-5A26AEBBDBB0}">
    <text>Removed from SLA’s list</text>
  </threadedComment>
  <threadedComment ref="R141" dT="2025-05-20T07:08:56.53" personId="{385AE97E-DB3C-47AF-B0F4-D63AD85D52E9}" id="{54AC0A05-3273-404B-820F-1CBEEBA7A647}">
    <text>Removed from SLA’s list</text>
  </threadedComment>
  <threadedComment ref="S141" dT="2025-05-20T07:08:56.53" personId="{385AE97E-DB3C-47AF-B0F4-D63AD85D52E9}" id="{150D7557-6701-4344-A26A-602F3F86B95C}">
    <text>Removed from SLA’s list</text>
  </threadedComment>
  <threadedComment ref="T141" dT="2025-05-20T07:08:56.53" personId="{385AE97E-DB3C-47AF-B0F4-D63AD85D52E9}" id="{CE28093E-FB57-44DA-A99C-F12A2BAA03EA}">
    <text>Removed from SLA’s list</text>
  </threadedComment>
  <threadedComment ref="U141" dT="2025-05-20T07:08:56.53" personId="{385AE97E-DB3C-47AF-B0F4-D63AD85D52E9}" id="{AD355F52-54DA-4A14-8042-7FD227902780}">
    <text>Removed from SLA’s list</text>
  </threadedComment>
  <threadedComment ref="V141" dT="2025-05-20T07:08:56.53" personId="{385AE97E-DB3C-47AF-B0F4-D63AD85D52E9}" id="{AD6E9F51-E1E3-42C2-8F8B-4A6D3DE25F3A}">
    <text>Removed from SLA’s list</text>
  </threadedComment>
  <threadedComment ref="W141" dT="2025-05-20T07:08:56.53" personId="{385AE97E-DB3C-47AF-B0F4-D63AD85D52E9}" id="{13284456-8B96-4A14-851C-C0A0DFFEAA88}">
    <text>Removed from SLA’s list</text>
  </threadedComment>
  <threadedComment ref="X141" dT="2025-05-20T07:08:56.53" personId="{385AE97E-DB3C-47AF-B0F4-D63AD85D52E9}" id="{6CDACCDC-A1EC-48BF-913B-10A82718BBEA}">
    <text>Removed from SLA’s list</text>
  </threadedComment>
  <threadedComment ref="Y141" dT="2025-05-20T07:08:56.53" personId="{385AE97E-DB3C-47AF-B0F4-D63AD85D52E9}" id="{922BE472-1A39-42DF-B2A9-DB57E592961F}">
    <text>Removed from SLA’s list</text>
  </threadedComment>
  <threadedComment ref="Z141" dT="2025-05-20T07:08:56.53" personId="{385AE97E-DB3C-47AF-B0F4-D63AD85D52E9}" id="{52E9F46C-37C4-4A99-B5D1-90C7D3147EA3}">
    <text>Removed from SLA’s list</text>
  </threadedComment>
  <threadedComment ref="AA141" dT="2025-05-20T07:08:56.53" personId="{385AE97E-DB3C-47AF-B0F4-D63AD85D52E9}" id="{740C0C38-38D3-4033-B369-3B67A7922596}">
    <text>Removed from SLA’s list</text>
  </threadedComment>
  <threadedComment ref="AB141" dT="2025-05-20T07:08:56.53" personId="{385AE97E-DB3C-47AF-B0F4-D63AD85D52E9}" id="{01DFE941-298B-4230-9E40-84B6DDBF45FE}">
    <text>Removed from SLA’s list</text>
  </threadedComment>
  <threadedComment ref="AF141" dT="2025-05-20T07:08:56.53" personId="{385AE97E-DB3C-47AF-B0F4-D63AD85D52E9}" id="{158B70D7-8B59-463F-96C8-701DEA98EC24}">
    <text>Removed from SLA’s list</text>
  </threadedComment>
  <threadedComment ref="AH141" dT="2025-05-20T07:08:56.53" personId="{385AE97E-DB3C-47AF-B0F4-D63AD85D52E9}" id="{4EDDEA8A-2601-4FD8-9A02-55C49029AE5D}">
    <text>Removed from SLA’s list</text>
  </threadedComment>
  <threadedComment ref="AJ141" dT="2025-05-20T07:08:56.53" personId="{385AE97E-DB3C-47AF-B0F4-D63AD85D52E9}" id="{3468D1BD-F079-4F29-A98D-0170FF27B15D}">
    <text>Removed from SLA’s list</text>
  </threadedComment>
  <threadedComment ref="J142" dT="2025-01-16T07:13:52.45" personId="{385AE97E-DB3C-47AF-B0F4-D63AD85D52E9}" id="{EFC824BB-53E0-4A92-8D82-EB08C3D06999}">
    <text>Report not available</text>
  </threadedComment>
  <threadedComment ref="K142" dT="2025-01-16T07:13:52.45" personId="{385AE97E-DB3C-47AF-B0F4-D63AD85D52E9}" id="{2C0AFAB0-0523-4B47-ACFC-956115A678BD}">
    <text>Report not available</text>
  </threadedComment>
  <threadedComment ref="L142" dT="2025-01-16T07:13:52.45" personId="{385AE97E-DB3C-47AF-B0F4-D63AD85D52E9}" id="{81434E27-B6A0-4E0F-8106-D44115EEE655}">
    <text>Report not available</text>
  </threadedComment>
  <threadedComment ref="M142" dT="2025-01-16T07:13:52.45" personId="{385AE97E-DB3C-47AF-B0F4-D63AD85D52E9}" id="{8DDF761E-8D76-4CD2-BCC1-D77370AA078F}">
    <text>Report not available</text>
  </threadedComment>
  <threadedComment ref="N142" dT="2025-01-16T07:13:52.45" personId="{385AE97E-DB3C-47AF-B0F4-D63AD85D52E9}" id="{BC9495AD-9719-4C17-A23F-699D40DA708C}">
    <text>Report not available</text>
  </threadedComment>
  <threadedComment ref="O142" dT="2025-01-16T07:13:52.45" personId="{385AE97E-DB3C-47AF-B0F4-D63AD85D52E9}" id="{221CF938-644A-40BD-9919-7389BA8FC508}">
    <text>Report not available</text>
  </threadedComment>
  <threadedComment ref="P142" dT="2025-01-16T07:13:52.45" personId="{385AE97E-DB3C-47AF-B0F4-D63AD85D52E9}" id="{4F32E11C-BCC3-4BB9-AD23-BD493A5EAC47}">
    <text>Report not available</text>
  </threadedComment>
  <threadedComment ref="Q142" dT="2025-01-16T07:13:52.45" personId="{385AE97E-DB3C-47AF-B0F4-D63AD85D52E9}" id="{C37EE6D4-B358-42B8-B1BD-064492659586}">
    <text>Report not available</text>
  </threadedComment>
  <threadedComment ref="R142" dT="2025-01-16T07:13:52.45" personId="{385AE97E-DB3C-47AF-B0F4-D63AD85D52E9}" id="{C47117A4-A9FE-4529-A102-7D31559BD691}">
    <text>Report not available</text>
  </threadedComment>
  <threadedComment ref="S142" dT="2025-01-16T07:13:52.45" personId="{385AE97E-DB3C-47AF-B0F4-D63AD85D52E9}" id="{F5168DDA-D3B8-420C-B0A7-14CB6DA04E41}">
    <text>Report not available</text>
  </threadedComment>
  <threadedComment ref="T142" dT="2025-01-16T07:13:52.45" personId="{385AE97E-DB3C-47AF-B0F4-D63AD85D52E9}" id="{9D6F62C4-4DDE-4AD3-A67A-C850215D3B3D}">
    <text>Report not available</text>
  </threadedComment>
  <threadedComment ref="U142" dT="2025-01-16T07:13:52.45" personId="{385AE97E-DB3C-47AF-B0F4-D63AD85D52E9}" id="{CE412065-32ED-4DDC-8FC6-61E69812A417}">
    <text>Report not available</text>
  </threadedComment>
  <threadedComment ref="V142" dT="2025-01-16T07:13:52.45" personId="{385AE97E-DB3C-47AF-B0F4-D63AD85D52E9}" id="{56004603-A3B0-41A1-B8C2-2C7788EBCD9E}">
    <text>Report not available</text>
  </threadedComment>
  <threadedComment ref="W142" dT="2025-01-16T07:13:52.45" personId="{385AE97E-DB3C-47AF-B0F4-D63AD85D52E9}" id="{F889E9BC-AEFC-45B2-B222-359C1AA73F35}">
    <text>Report not available</text>
  </threadedComment>
  <threadedComment ref="X142" dT="2025-01-16T07:13:52.45" personId="{385AE97E-DB3C-47AF-B0F4-D63AD85D52E9}" id="{0849949F-2D35-4FC8-B9ED-8903185E447D}">
    <text>Report not available</text>
  </threadedComment>
  <threadedComment ref="Y142" dT="2025-01-16T07:13:52.45" personId="{385AE97E-DB3C-47AF-B0F4-D63AD85D52E9}" id="{8AEADB0D-345C-4CAD-BC80-AB891D695597}">
    <text>Report not available</text>
  </threadedComment>
  <threadedComment ref="Z142" dT="2025-01-16T07:13:52.45" personId="{385AE97E-DB3C-47AF-B0F4-D63AD85D52E9}" id="{38EF1AD7-4694-445A-ABBB-61B7D6BE2364}">
    <text>Report not available</text>
  </threadedComment>
  <threadedComment ref="AA142" dT="2025-01-16T07:13:52.45" personId="{385AE97E-DB3C-47AF-B0F4-D63AD85D52E9}" id="{50B7217F-48E2-4A2E-B0C8-4E13AACA10BA}">
    <text>Report not available</text>
  </threadedComment>
  <threadedComment ref="AB142" dT="2025-01-16T07:13:52.45" personId="{385AE97E-DB3C-47AF-B0F4-D63AD85D52E9}" id="{9CE37AC9-E49D-49C0-9D17-5709B22549FB}">
    <text>Report not available</text>
  </threadedComment>
  <threadedComment ref="AF142" dT="2025-05-20T07:08:56.53" personId="{385AE97E-DB3C-47AF-B0F4-D63AD85D52E9}" id="{7815D147-0C9A-4A42-B734-82E7660A9FEF}">
    <text>Removed from SLA’s list</text>
  </threadedComment>
  <threadedComment ref="AH142" dT="2025-05-20T07:08:56.53" personId="{385AE97E-DB3C-47AF-B0F4-D63AD85D52E9}" id="{8A5DC2D4-1B85-4616-8D7A-D7A90239F89A}">
    <text>Removed from SLA’s list</text>
  </threadedComment>
  <threadedComment ref="AJ142" dT="2025-01-16T07:13:52.45" personId="{385AE97E-DB3C-47AF-B0F4-D63AD85D52E9}" id="{3619F587-A911-4941-8F8D-403AF7341D42}">
    <text>Report not available</text>
  </threadedComment>
  <threadedComment ref="J143" dT="2025-01-16T07:13:52.45" personId="{385AE97E-DB3C-47AF-B0F4-D63AD85D52E9}" id="{E8A1F836-2C9D-4C44-A12B-DBB4A542E7E9}">
    <text>Report not available</text>
  </threadedComment>
  <threadedComment ref="K143" dT="2025-01-16T07:13:52.45" personId="{385AE97E-DB3C-47AF-B0F4-D63AD85D52E9}" id="{46B4E83E-C001-403E-BEDE-6F21AB64AB4F}">
    <text>Report not available</text>
  </threadedComment>
  <threadedComment ref="L143" dT="2025-01-16T07:13:52.45" personId="{385AE97E-DB3C-47AF-B0F4-D63AD85D52E9}" id="{5D09AE23-A0BD-452B-8646-F21D455F578E}">
    <text>Report not available</text>
  </threadedComment>
  <threadedComment ref="M143" dT="2025-01-16T07:13:52.45" personId="{385AE97E-DB3C-47AF-B0F4-D63AD85D52E9}" id="{AE54F906-4E2C-4731-B265-350CD93DB1C7}">
    <text>Report not available</text>
  </threadedComment>
  <threadedComment ref="N143" dT="2025-01-16T07:13:52.45" personId="{385AE97E-DB3C-47AF-B0F4-D63AD85D52E9}" id="{7D22C928-01C8-4E6A-AAB8-54C80596DE20}">
    <text>Report not available</text>
  </threadedComment>
  <threadedComment ref="O143" dT="2025-01-16T07:13:52.45" personId="{385AE97E-DB3C-47AF-B0F4-D63AD85D52E9}" id="{63E48929-98B2-4516-B32A-4ADD4D802671}">
    <text>Report not available</text>
  </threadedComment>
  <threadedComment ref="P143" dT="2025-01-16T07:13:52.45" personId="{385AE97E-DB3C-47AF-B0F4-D63AD85D52E9}" id="{EC3CBB94-45DA-4AEA-8526-677F4354DD81}">
    <text>Report not available</text>
  </threadedComment>
  <threadedComment ref="Q143" dT="2025-01-16T07:13:52.45" personId="{385AE97E-DB3C-47AF-B0F4-D63AD85D52E9}" id="{AA946653-94AE-4B88-B88B-9E3DBFF70508}">
    <text>Report not available</text>
  </threadedComment>
  <threadedComment ref="R143" dT="2025-01-16T07:13:52.45" personId="{385AE97E-DB3C-47AF-B0F4-D63AD85D52E9}" id="{E5A06B4C-ED09-4CC4-BE52-3923B1C41995}">
    <text>Report not available</text>
  </threadedComment>
  <threadedComment ref="S143" dT="2025-01-16T07:13:52.45" personId="{385AE97E-DB3C-47AF-B0F4-D63AD85D52E9}" id="{DF276BC7-75D2-4278-A823-2513C59791C5}">
    <text>Report not available</text>
  </threadedComment>
  <threadedComment ref="T143" dT="2025-01-16T07:13:52.45" personId="{385AE97E-DB3C-47AF-B0F4-D63AD85D52E9}" id="{32EE01BE-3FF8-4D08-ACED-B003EC3298AA}">
    <text>Report not available</text>
  </threadedComment>
  <threadedComment ref="U143" dT="2025-01-16T07:13:52.45" personId="{385AE97E-DB3C-47AF-B0F4-D63AD85D52E9}" id="{5153F2D0-941A-4E74-B073-C441F4EEEE26}">
    <text>Report not available</text>
  </threadedComment>
  <threadedComment ref="V143" dT="2025-01-16T07:13:52.45" personId="{385AE97E-DB3C-47AF-B0F4-D63AD85D52E9}" id="{B5AE2637-4930-4D84-815B-0BB44625F56D}">
    <text>Report not available</text>
  </threadedComment>
  <threadedComment ref="W143" dT="2025-01-16T07:13:52.45" personId="{385AE97E-DB3C-47AF-B0F4-D63AD85D52E9}" id="{3E8089BF-6DEF-476B-B50B-8C499DE45DF5}">
    <text>Report not available</text>
  </threadedComment>
  <threadedComment ref="X143" dT="2025-01-16T07:13:52.45" personId="{385AE97E-DB3C-47AF-B0F4-D63AD85D52E9}" id="{1791CD6B-A40B-4B82-BC2C-B58274E3FAE3}">
    <text>Report not available</text>
  </threadedComment>
  <threadedComment ref="Y143" dT="2025-01-16T07:13:52.45" personId="{385AE97E-DB3C-47AF-B0F4-D63AD85D52E9}" id="{67C82FD7-D893-447B-BD8C-833DAD34BD90}">
    <text>Report not available</text>
  </threadedComment>
  <threadedComment ref="Z143" dT="2025-01-16T07:13:52.45" personId="{385AE97E-DB3C-47AF-B0F4-D63AD85D52E9}" id="{DBD35E5A-E9AA-4410-B3F8-747A148D8D10}">
    <text>Report not available</text>
  </threadedComment>
  <threadedComment ref="AA143" dT="2025-01-16T07:13:52.45" personId="{385AE97E-DB3C-47AF-B0F4-D63AD85D52E9}" id="{6125E21D-E20C-413D-8BD1-8A3CD47462E3}">
    <text>Report not available</text>
  </threadedComment>
  <threadedComment ref="AB143" dT="2025-01-16T07:13:52.45" personId="{385AE97E-DB3C-47AF-B0F4-D63AD85D52E9}" id="{8E8B19F0-09F3-4E64-9D3D-856D87563E05}">
    <text>Report not available</text>
  </threadedComment>
  <threadedComment ref="AF143" dT="2025-05-20T07:08:56.53" personId="{385AE97E-DB3C-47AF-B0F4-D63AD85D52E9}" id="{5A852616-1E83-4195-A11D-162E20562A14}">
    <text>Removed from SLA’s list</text>
  </threadedComment>
  <threadedComment ref="AH143" dT="2025-05-20T07:08:56.53" personId="{385AE97E-DB3C-47AF-B0F4-D63AD85D52E9}" id="{124EBE0B-027D-4613-BD10-6C4552BBE878}">
    <text>Removed from SLA’s list</text>
  </threadedComment>
  <threadedComment ref="AJ143" dT="2025-01-16T07:13:52.45" personId="{385AE97E-DB3C-47AF-B0F4-D63AD85D52E9}" id="{823B2DDD-AE0B-4EBA-97E1-5A34561900C1}">
    <text>Report not available</text>
  </threadedComment>
  <threadedComment ref="J144" dT="2025-01-16T07:13:52.45" personId="{385AE97E-DB3C-47AF-B0F4-D63AD85D52E9}" id="{AB21414B-3B02-4855-8B71-80119178E356}">
    <text>Report not available</text>
  </threadedComment>
  <threadedComment ref="K144" dT="2025-01-16T07:13:52.45" personId="{385AE97E-DB3C-47AF-B0F4-D63AD85D52E9}" id="{C9B7A431-E76B-49EA-B5E0-714AAB5ABEF4}">
    <text>Report not available</text>
  </threadedComment>
  <threadedComment ref="L144" dT="2025-01-16T07:13:52.45" personId="{385AE97E-DB3C-47AF-B0F4-D63AD85D52E9}" id="{0481EDF8-7E0C-4A8A-A534-A4EB93EACCF7}">
    <text>Report not available</text>
  </threadedComment>
  <threadedComment ref="M144" dT="2025-01-16T07:13:52.45" personId="{385AE97E-DB3C-47AF-B0F4-D63AD85D52E9}" id="{1C8B4ED7-74D7-45D3-BDFD-3407FF15713A}">
    <text>Report not available</text>
  </threadedComment>
  <threadedComment ref="N144" dT="2025-01-16T07:13:52.45" personId="{385AE97E-DB3C-47AF-B0F4-D63AD85D52E9}" id="{E910EDE4-6DFC-4064-BF00-C710234227EC}">
    <text>Report not available</text>
  </threadedComment>
  <threadedComment ref="O144" dT="2025-01-16T07:13:52.45" personId="{385AE97E-DB3C-47AF-B0F4-D63AD85D52E9}" id="{1550710C-B348-4859-B6B9-CFA673DFCF86}">
    <text>Report not available</text>
  </threadedComment>
  <threadedComment ref="P144" dT="2025-01-16T07:13:52.45" personId="{385AE97E-DB3C-47AF-B0F4-D63AD85D52E9}" id="{6DE106A6-0AC4-418C-9198-3EEED22ED82C}">
    <text>Report not available</text>
  </threadedComment>
  <threadedComment ref="Q144" dT="2025-01-16T07:13:52.45" personId="{385AE97E-DB3C-47AF-B0F4-D63AD85D52E9}" id="{96F79118-5FA4-40D4-B969-A47D993FAE6B}">
    <text>Report not available</text>
  </threadedComment>
  <threadedComment ref="R144" dT="2025-01-16T07:13:52.45" personId="{385AE97E-DB3C-47AF-B0F4-D63AD85D52E9}" id="{A198EEBC-3AA5-421E-9A5F-18DE472A03D2}">
    <text>Report not available</text>
  </threadedComment>
  <threadedComment ref="S144" dT="2025-01-16T07:13:52.45" personId="{385AE97E-DB3C-47AF-B0F4-D63AD85D52E9}" id="{694696C8-A9BE-421C-A46F-58C3FF03BB67}">
    <text>Report not available</text>
  </threadedComment>
  <threadedComment ref="T144" dT="2025-01-16T07:13:52.45" personId="{385AE97E-DB3C-47AF-B0F4-D63AD85D52E9}" id="{A8CCD269-5A2C-4904-9A07-98E680467DEC}">
    <text>Report not available</text>
  </threadedComment>
  <threadedComment ref="U144" dT="2025-01-16T07:13:52.45" personId="{385AE97E-DB3C-47AF-B0F4-D63AD85D52E9}" id="{8C1E8102-D148-41B9-B8E4-AFBD0B8D5196}">
    <text>Report not available</text>
  </threadedComment>
  <threadedComment ref="V144" dT="2025-01-16T07:13:52.45" personId="{385AE97E-DB3C-47AF-B0F4-D63AD85D52E9}" id="{D24BB61E-B039-4448-8DA8-2A53A0CA7343}">
    <text>Report not available</text>
  </threadedComment>
  <threadedComment ref="W144" dT="2025-01-16T07:13:52.45" personId="{385AE97E-DB3C-47AF-B0F4-D63AD85D52E9}" id="{DD534C31-9146-4F79-9DEE-F800C5101782}">
    <text>Report not available</text>
  </threadedComment>
  <threadedComment ref="X144" dT="2025-01-16T07:13:52.45" personId="{385AE97E-DB3C-47AF-B0F4-D63AD85D52E9}" id="{5EC76AB7-DC48-4A45-AA1A-ADE84BC183C0}">
    <text>Report not available</text>
  </threadedComment>
  <threadedComment ref="Y144" dT="2025-01-16T07:13:52.45" personId="{385AE97E-DB3C-47AF-B0F4-D63AD85D52E9}" id="{29D574D0-0AB4-4739-BBAE-4003859CD718}">
    <text>Report not available</text>
  </threadedComment>
  <threadedComment ref="Z144" dT="2025-01-16T07:13:52.45" personId="{385AE97E-DB3C-47AF-B0F4-D63AD85D52E9}" id="{7086C016-F38D-4F0E-BDB5-897F5F244923}">
    <text>Report not available</text>
  </threadedComment>
  <threadedComment ref="AA144" dT="2025-01-16T07:13:52.45" personId="{385AE97E-DB3C-47AF-B0F4-D63AD85D52E9}" id="{C936EBCE-19B7-4775-897F-DBE94E8CD2B5}">
    <text>Report not available</text>
  </threadedComment>
  <threadedComment ref="AB144" dT="2025-01-16T07:13:52.45" personId="{385AE97E-DB3C-47AF-B0F4-D63AD85D52E9}" id="{77AB2246-DF48-4A39-B616-71094B95AEBF}">
    <text>Report not available</text>
  </threadedComment>
  <threadedComment ref="AF144" dT="2025-05-20T07:08:56.53" personId="{385AE97E-DB3C-47AF-B0F4-D63AD85D52E9}" id="{1C247675-BD66-47D0-9928-F22239767687}">
    <text>Removed from SLA’s list</text>
  </threadedComment>
  <threadedComment ref="AH144" dT="2025-05-20T07:08:56.53" personId="{385AE97E-DB3C-47AF-B0F4-D63AD85D52E9}" id="{84D72334-0030-44C5-8C8E-91250E951086}">
    <text>Removed from SLA’s list</text>
  </threadedComment>
  <threadedComment ref="AJ144" dT="2025-01-16T07:13:52.45" personId="{385AE97E-DB3C-47AF-B0F4-D63AD85D52E9}" id="{D76FBA06-6CC7-4868-8047-3B66B7884C0C}">
    <text>Report not available</text>
  </threadedComment>
  <threadedComment ref="J145" dT="2025-01-16T07:13:52.45" personId="{385AE97E-DB3C-47AF-B0F4-D63AD85D52E9}" id="{5FE70608-2074-480D-93A4-F747ACD8A441}">
    <text>Report not available</text>
  </threadedComment>
  <threadedComment ref="K145" dT="2025-01-16T07:13:52.45" personId="{385AE97E-DB3C-47AF-B0F4-D63AD85D52E9}" id="{EE690C93-2D20-40DC-9A74-D8F2A59B9C3D}">
    <text>Report not available</text>
  </threadedComment>
  <threadedComment ref="L145" dT="2025-01-16T07:13:52.45" personId="{385AE97E-DB3C-47AF-B0F4-D63AD85D52E9}" id="{A3040772-0A1A-4B2C-9077-9F0BAD9DA500}">
    <text>Report not available</text>
  </threadedComment>
  <threadedComment ref="M145" dT="2025-01-16T07:13:52.45" personId="{385AE97E-DB3C-47AF-B0F4-D63AD85D52E9}" id="{5DCF663C-A59C-4C9B-858F-FBA7B05264F5}">
    <text>Report not available</text>
  </threadedComment>
  <threadedComment ref="N145" dT="2025-01-16T07:13:52.45" personId="{385AE97E-DB3C-47AF-B0F4-D63AD85D52E9}" id="{57CF0977-C827-42DC-AF0B-47A9F73A7AE0}">
    <text>Report not available</text>
  </threadedComment>
  <threadedComment ref="O145" dT="2025-01-16T07:13:52.45" personId="{385AE97E-DB3C-47AF-B0F4-D63AD85D52E9}" id="{74FE5C4F-FC03-4F58-ACFB-CE06BD41623F}">
    <text>Report not available</text>
  </threadedComment>
  <threadedComment ref="P145" dT="2025-01-16T07:13:52.45" personId="{385AE97E-DB3C-47AF-B0F4-D63AD85D52E9}" id="{5972C92F-EE07-4332-8E9D-C7D7653A8911}">
    <text>Report not available</text>
  </threadedComment>
  <threadedComment ref="Q145" dT="2025-01-16T07:13:52.45" personId="{385AE97E-DB3C-47AF-B0F4-D63AD85D52E9}" id="{D0332F4B-3EB7-4F81-816E-57709F6D6EA0}">
    <text>Report not available</text>
  </threadedComment>
  <threadedComment ref="R145" dT="2025-01-16T07:13:52.45" personId="{385AE97E-DB3C-47AF-B0F4-D63AD85D52E9}" id="{85AC3BC6-7671-4555-B8EC-F82C4DC86130}">
    <text>Report not available</text>
  </threadedComment>
  <threadedComment ref="S145" dT="2025-01-16T07:13:52.45" personId="{385AE97E-DB3C-47AF-B0F4-D63AD85D52E9}" id="{7311AA3B-7D78-4F6C-9532-673747C66A96}">
    <text>Report not available</text>
  </threadedComment>
  <threadedComment ref="T145" dT="2025-01-16T07:13:52.45" personId="{385AE97E-DB3C-47AF-B0F4-D63AD85D52E9}" id="{F1421AE7-22C9-440F-BAC3-B6ACAFA0FC68}">
    <text>Report not available</text>
  </threadedComment>
  <threadedComment ref="U145" dT="2025-01-16T07:13:52.45" personId="{385AE97E-DB3C-47AF-B0F4-D63AD85D52E9}" id="{84F060CB-A3FB-44DD-A21A-4C1EA69BD747}">
    <text>Report not available</text>
  </threadedComment>
  <threadedComment ref="V145" dT="2025-01-16T07:13:52.45" personId="{385AE97E-DB3C-47AF-B0F4-D63AD85D52E9}" id="{08DBBE99-5153-4DC5-A330-B2D52E187A64}">
    <text>Report not available</text>
  </threadedComment>
  <threadedComment ref="W145" dT="2025-01-16T07:13:52.45" personId="{385AE97E-DB3C-47AF-B0F4-D63AD85D52E9}" id="{C77C4E4B-C0D5-4569-8EF0-305CB7FB8594}">
    <text>Report not available</text>
  </threadedComment>
  <threadedComment ref="X145" dT="2025-01-16T07:13:52.45" personId="{385AE97E-DB3C-47AF-B0F4-D63AD85D52E9}" id="{A1B58BCE-9C22-4B94-9F6B-B463C744C68A}">
    <text>Report not available</text>
  </threadedComment>
  <threadedComment ref="Y145" dT="2025-01-16T07:13:52.45" personId="{385AE97E-DB3C-47AF-B0F4-D63AD85D52E9}" id="{998460BF-7966-4804-9291-A70B5710737B}">
    <text>Report not available</text>
  </threadedComment>
  <threadedComment ref="Z145" dT="2025-01-16T07:13:52.45" personId="{385AE97E-DB3C-47AF-B0F4-D63AD85D52E9}" id="{8174D412-7F01-4452-BBBD-73B7F024C763}">
    <text>Report not available</text>
  </threadedComment>
  <threadedComment ref="AA145" dT="2025-01-16T07:13:52.45" personId="{385AE97E-DB3C-47AF-B0F4-D63AD85D52E9}" id="{3B8E8788-D600-48A5-8D69-B29E6D71A42B}">
    <text>Report not available</text>
  </threadedComment>
  <threadedComment ref="AB145" dT="2025-01-16T07:13:52.45" personId="{385AE97E-DB3C-47AF-B0F4-D63AD85D52E9}" id="{14457961-B1B2-4266-9C4F-514ED8F4044B}">
    <text>Report not available</text>
  </threadedComment>
  <threadedComment ref="AF145" dT="2025-05-20T07:08:56.53" personId="{385AE97E-DB3C-47AF-B0F4-D63AD85D52E9}" id="{DB336F74-B043-44EA-BCBC-A4BA8D6B76A6}">
    <text>Removed from SLA’s list</text>
  </threadedComment>
  <threadedComment ref="AH145" dT="2025-05-20T07:08:56.53" personId="{385AE97E-DB3C-47AF-B0F4-D63AD85D52E9}" id="{4B59843C-9415-492D-9100-FFEABD1BB4EB}">
    <text>Removed from SLA’s list</text>
  </threadedComment>
  <threadedComment ref="AJ145" dT="2025-01-16T07:13:52.45" personId="{385AE97E-DB3C-47AF-B0F4-D63AD85D52E9}" id="{39B54E4A-17F7-43BD-B10D-918122A0B934}">
    <text>Report not available</text>
  </threadedComment>
  <threadedComment ref="J146" dT="2025-01-16T07:13:52.45" personId="{385AE97E-DB3C-47AF-B0F4-D63AD85D52E9}" id="{45E8E37D-3D29-41EC-B88B-FDCE78B477FD}">
    <text>Report not available</text>
  </threadedComment>
  <threadedComment ref="K146" dT="2025-01-16T07:13:52.45" personId="{385AE97E-DB3C-47AF-B0F4-D63AD85D52E9}" id="{4F4A92E7-C82D-41C1-8245-F3AC9D92E644}">
    <text>Report not available</text>
  </threadedComment>
  <threadedComment ref="L146" dT="2025-01-16T07:13:52.45" personId="{385AE97E-DB3C-47AF-B0F4-D63AD85D52E9}" id="{28D3D145-B119-4668-9AC5-76285508C5B7}">
    <text>Report not available</text>
  </threadedComment>
  <threadedComment ref="M146" dT="2025-01-16T07:13:52.45" personId="{385AE97E-DB3C-47AF-B0F4-D63AD85D52E9}" id="{FE28E1CD-4B59-434F-93FB-8FEF1465DC44}">
    <text>Report not available</text>
  </threadedComment>
  <threadedComment ref="N146" dT="2025-01-16T07:13:52.45" personId="{385AE97E-DB3C-47AF-B0F4-D63AD85D52E9}" id="{70BE1D05-B74C-49F5-A54A-AE3B45AA9246}">
    <text>Report not available</text>
  </threadedComment>
  <threadedComment ref="O146" dT="2025-01-16T07:13:52.45" personId="{385AE97E-DB3C-47AF-B0F4-D63AD85D52E9}" id="{5C9386AB-0F0D-4B96-9158-B0A1E960F6C3}">
    <text>Report not available</text>
  </threadedComment>
  <threadedComment ref="P146" dT="2025-01-16T07:13:52.45" personId="{385AE97E-DB3C-47AF-B0F4-D63AD85D52E9}" id="{4D2139F4-0838-4445-946B-9970CAD39C09}">
    <text>Report not available</text>
  </threadedComment>
  <threadedComment ref="Q146" dT="2025-01-16T07:13:52.45" personId="{385AE97E-DB3C-47AF-B0F4-D63AD85D52E9}" id="{2ABD9EB4-2678-47C0-8ECB-2D25745DF608}">
    <text>Report not available</text>
  </threadedComment>
  <threadedComment ref="R146" dT="2025-01-16T07:13:52.45" personId="{385AE97E-DB3C-47AF-B0F4-D63AD85D52E9}" id="{312B2469-D6A4-453B-9E0C-0D3CABD38125}">
    <text>Report not available</text>
  </threadedComment>
  <threadedComment ref="S146" dT="2025-01-16T07:13:52.45" personId="{385AE97E-DB3C-47AF-B0F4-D63AD85D52E9}" id="{8C510948-2961-4BAF-B053-A500DA724746}">
    <text>Report not available</text>
  </threadedComment>
  <threadedComment ref="T146" dT="2025-01-16T07:13:52.45" personId="{385AE97E-DB3C-47AF-B0F4-D63AD85D52E9}" id="{AC701E4B-DF05-4B21-B787-FDBB1E1BDD32}">
    <text>Report not available</text>
  </threadedComment>
  <threadedComment ref="U146" dT="2025-01-16T07:13:52.45" personId="{385AE97E-DB3C-47AF-B0F4-D63AD85D52E9}" id="{9ADBA695-730F-462C-94A4-E5E445863D25}">
    <text>Report not available</text>
  </threadedComment>
  <threadedComment ref="V146" dT="2025-01-16T07:13:52.45" personId="{385AE97E-DB3C-47AF-B0F4-D63AD85D52E9}" id="{1E7BE10B-6322-40C9-8E3D-D967F753E10B}">
    <text>Report not available</text>
  </threadedComment>
  <threadedComment ref="W146" dT="2025-01-16T07:13:52.45" personId="{385AE97E-DB3C-47AF-B0F4-D63AD85D52E9}" id="{710A12A6-671C-4691-B745-3F1094576312}">
    <text>Report not available</text>
  </threadedComment>
  <threadedComment ref="X146" dT="2025-01-16T07:13:52.45" personId="{385AE97E-DB3C-47AF-B0F4-D63AD85D52E9}" id="{2E550744-5401-4314-B3C2-F4F212A674D2}">
    <text>Report not available</text>
  </threadedComment>
  <threadedComment ref="Y146" dT="2025-01-16T07:13:52.45" personId="{385AE97E-DB3C-47AF-B0F4-D63AD85D52E9}" id="{C9C47B68-C2A6-4410-BC5B-EE74C49CBC3D}">
    <text>Report not available</text>
  </threadedComment>
  <threadedComment ref="Z146" dT="2025-01-16T07:13:52.45" personId="{385AE97E-DB3C-47AF-B0F4-D63AD85D52E9}" id="{770C55F3-EB17-410F-A235-CB73BA0E7E0A}">
    <text>Report not available</text>
  </threadedComment>
  <threadedComment ref="AA146" dT="2025-01-16T07:13:52.45" personId="{385AE97E-DB3C-47AF-B0F4-D63AD85D52E9}" id="{564B4D11-90C2-4187-8D3E-7F8F6DFFFE95}">
    <text>Report not available</text>
  </threadedComment>
  <threadedComment ref="AB146" dT="2025-01-16T07:13:52.45" personId="{385AE97E-DB3C-47AF-B0F4-D63AD85D52E9}" id="{BE501730-01D6-4E1C-A84D-4CEB262C8B52}">
    <text>Report not available</text>
  </threadedComment>
  <threadedComment ref="AF146" dT="2025-05-20T07:08:56.53" personId="{385AE97E-DB3C-47AF-B0F4-D63AD85D52E9}" id="{4B6BD5EE-E71C-4EF6-AD8E-C5E317F6FCE6}">
    <text>Removed from SLA’s list</text>
  </threadedComment>
  <threadedComment ref="AH146" dT="2025-05-20T07:08:56.53" personId="{385AE97E-DB3C-47AF-B0F4-D63AD85D52E9}" id="{BB08AD75-265A-41A6-B47B-EF5C430A9641}">
    <text>Removed from SLA’s list</text>
  </threadedComment>
  <threadedComment ref="AJ146" dT="2025-01-16T07:13:52.45" personId="{385AE97E-DB3C-47AF-B0F4-D63AD85D52E9}" id="{D1F2CB26-48FD-473B-8685-8B6633875762}">
    <text>Report not available</text>
  </threadedComment>
  <threadedComment ref="J147" dT="2025-01-16T07:13:52.45" personId="{385AE97E-DB3C-47AF-B0F4-D63AD85D52E9}" id="{E5F8F3A4-DD5B-48E8-89A9-04C2196ECC50}">
    <text>Report not available</text>
  </threadedComment>
  <threadedComment ref="K147" dT="2025-01-16T07:13:52.45" personId="{385AE97E-DB3C-47AF-B0F4-D63AD85D52E9}" id="{188F29A9-FBBC-4118-B647-10A69F7CAF76}">
    <text>Report not available</text>
  </threadedComment>
  <threadedComment ref="L147" dT="2025-01-16T07:13:52.45" personId="{385AE97E-DB3C-47AF-B0F4-D63AD85D52E9}" id="{225A1626-6F97-4101-830D-029AD5452E6A}">
    <text>Report not available</text>
  </threadedComment>
  <threadedComment ref="M147" dT="2025-01-16T07:13:52.45" personId="{385AE97E-DB3C-47AF-B0F4-D63AD85D52E9}" id="{22DF8137-2EAB-4F7D-A28B-6B0CB8F88BB0}">
    <text>Report not available</text>
  </threadedComment>
  <threadedComment ref="N147" dT="2025-01-16T07:13:52.45" personId="{385AE97E-DB3C-47AF-B0F4-D63AD85D52E9}" id="{5E8A2FE0-1852-4709-AA3C-8E72232DE13C}">
    <text>Report not available</text>
  </threadedComment>
  <threadedComment ref="O147" dT="2025-01-16T07:13:52.45" personId="{385AE97E-DB3C-47AF-B0F4-D63AD85D52E9}" id="{4B13D66E-6D69-42FF-8ADD-0D987A49EB4B}">
    <text>Report not available</text>
  </threadedComment>
  <threadedComment ref="P147" dT="2025-01-16T07:13:52.45" personId="{385AE97E-DB3C-47AF-B0F4-D63AD85D52E9}" id="{6E6E4579-0512-4DE6-A764-19351819D5AA}">
    <text>Report not available</text>
  </threadedComment>
  <threadedComment ref="Q147" dT="2025-01-16T07:13:52.45" personId="{385AE97E-DB3C-47AF-B0F4-D63AD85D52E9}" id="{62930602-F738-46FC-9404-BE8EFD8B6218}">
    <text>Report not available</text>
  </threadedComment>
  <threadedComment ref="R147" dT="2025-01-16T07:13:52.45" personId="{385AE97E-DB3C-47AF-B0F4-D63AD85D52E9}" id="{BF915530-C9FB-4A6E-9A4C-BBE55F5AF958}">
    <text>Report not available</text>
  </threadedComment>
  <threadedComment ref="S147" dT="2025-01-16T07:13:52.45" personId="{385AE97E-DB3C-47AF-B0F4-D63AD85D52E9}" id="{BB8A21B4-A916-47D9-B9F4-40F897BC0729}">
    <text>Report not available</text>
  </threadedComment>
  <threadedComment ref="T147" dT="2025-01-16T07:13:52.45" personId="{385AE97E-DB3C-47AF-B0F4-D63AD85D52E9}" id="{48820389-32CA-4A9D-BAB6-96BA2E03B5A8}">
    <text>Report not available</text>
  </threadedComment>
  <threadedComment ref="U147" dT="2025-01-16T07:13:52.45" personId="{385AE97E-DB3C-47AF-B0F4-D63AD85D52E9}" id="{8E70128F-7DEC-4000-BED5-132A6E314968}">
    <text>Report not available</text>
  </threadedComment>
  <threadedComment ref="V147" dT="2025-01-16T07:13:52.45" personId="{385AE97E-DB3C-47AF-B0F4-D63AD85D52E9}" id="{AF9CFA25-EFC2-42D9-BAAC-976E1A5B9EE3}">
    <text>Report not available</text>
  </threadedComment>
  <threadedComment ref="W147" dT="2025-01-16T07:13:52.45" personId="{385AE97E-DB3C-47AF-B0F4-D63AD85D52E9}" id="{087F84C0-6E55-43E7-BA1E-388051D49D77}">
    <text>Report not available</text>
  </threadedComment>
  <threadedComment ref="X147" dT="2025-01-16T07:13:52.45" personId="{385AE97E-DB3C-47AF-B0F4-D63AD85D52E9}" id="{40339ED9-7041-4056-9205-C29E371BD4D5}">
    <text>Report not available</text>
  </threadedComment>
  <threadedComment ref="Y147" dT="2025-01-16T07:13:52.45" personId="{385AE97E-DB3C-47AF-B0F4-D63AD85D52E9}" id="{EEB4D18C-CF30-4F90-B6AA-7AF44F4D50CA}">
    <text>Report not available</text>
  </threadedComment>
  <threadedComment ref="Z147" dT="2025-01-16T07:13:52.45" personId="{385AE97E-DB3C-47AF-B0F4-D63AD85D52E9}" id="{73F58822-9B1C-4F92-BB10-3CE074F4F95D}">
    <text>Report not available</text>
  </threadedComment>
  <threadedComment ref="AA147" dT="2025-01-16T07:13:52.45" personId="{385AE97E-DB3C-47AF-B0F4-D63AD85D52E9}" id="{DC460E87-E316-46DA-9BF9-7614B729DD69}">
    <text>Report not available</text>
  </threadedComment>
  <threadedComment ref="AB147" dT="2025-01-16T07:13:52.45" personId="{385AE97E-DB3C-47AF-B0F4-D63AD85D52E9}" id="{99EC727E-0075-4E52-A64B-F1C5AA050D08}">
    <text>Report not available</text>
  </threadedComment>
  <threadedComment ref="AF147" dT="2025-05-20T07:08:56.53" personId="{385AE97E-DB3C-47AF-B0F4-D63AD85D52E9}" id="{FA8D1A66-A38C-48AE-8363-B77D5B2F2486}">
    <text>Removed from SLA’s list</text>
  </threadedComment>
  <threadedComment ref="AH147" dT="2025-05-20T07:08:56.53" personId="{385AE97E-DB3C-47AF-B0F4-D63AD85D52E9}" id="{2B31648D-D344-4C12-A765-1C9C9929A60E}">
    <text>Removed from SLA’s list</text>
  </threadedComment>
  <threadedComment ref="AJ147" dT="2025-01-16T07:13:52.45" personId="{385AE97E-DB3C-47AF-B0F4-D63AD85D52E9}" id="{042D348B-97FE-486B-A1BD-F322D73587DA}">
    <text>Report not available</text>
  </threadedComment>
  <threadedComment ref="J148" dT="2025-01-16T07:13:52.45" personId="{385AE97E-DB3C-47AF-B0F4-D63AD85D52E9}" id="{9F0D42F4-CF79-4966-926E-B55944E5FD05}">
    <text>Report not available</text>
  </threadedComment>
  <threadedComment ref="K148" dT="2025-01-16T07:13:52.45" personId="{385AE97E-DB3C-47AF-B0F4-D63AD85D52E9}" id="{74D21C0C-457A-4AA3-8E65-D48990290DA1}">
    <text>Report not available</text>
  </threadedComment>
  <threadedComment ref="L148" dT="2025-01-16T07:13:52.45" personId="{385AE97E-DB3C-47AF-B0F4-D63AD85D52E9}" id="{4AEB8F6E-E7FD-4111-8454-274ECDBA33AE}">
    <text>Report not available</text>
  </threadedComment>
  <threadedComment ref="M148" dT="2025-01-16T07:13:52.45" personId="{385AE97E-DB3C-47AF-B0F4-D63AD85D52E9}" id="{42E3816A-9243-4A76-AF5D-690E173FB695}">
    <text>Report not available</text>
  </threadedComment>
  <threadedComment ref="N148" dT="2025-01-16T07:13:52.45" personId="{385AE97E-DB3C-47AF-B0F4-D63AD85D52E9}" id="{1EBC8C08-9B97-41DA-82E6-37D900A78672}">
    <text>Report not available</text>
  </threadedComment>
  <threadedComment ref="O148" dT="2025-01-16T07:13:52.45" personId="{385AE97E-DB3C-47AF-B0F4-D63AD85D52E9}" id="{89A6A5D4-F160-406C-A0D7-1D01115CF0FA}">
    <text>Report not available</text>
  </threadedComment>
  <threadedComment ref="P148" dT="2025-01-16T07:13:52.45" personId="{385AE97E-DB3C-47AF-B0F4-D63AD85D52E9}" id="{EEBCB408-6329-46DF-9624-826846355765}">
    <text>Report not available</text>
  </threadedComment>
  <threadedComment ref="Q148" dT="2025-01-16T07:13:52.45" personId="{385AE97E-DB3C-47AF-B0F4-D63AD85D52E9}" id="{6E51A189-17AE-438E-BA21-29AA4185726F}">
    <text>Report not available</text>
  </threadedComment>
  <threadedComment ref="R148" dT="2025-01-16T07:13:52.45" personId="{385AE97E-DB3C-47AF-B0F4-D63AD85D52E9}" id="{DB4845D3-62FF-46EC-9AF8-51F463F09BCC}">
    <text>Report not available</text>
  </threadedComment>
  <threadedComment ref="S148" dT="2025-01-16T07:13:52.45" personId="{385AE97E-DB3C-47AF-B0F4-D63AD85D52E9}" id="{80B13D57-09FE-496D-A95D-6CAD4EF60C88}">
    <text>Report not available</text>
  </threadedComment>
  <threadedComment ref="T148" dT="2025-01-16T07:13:52.45" personId="{385AE97E-DB3C-47AF-B0F4-D63AD85D52E9}" id="{13B7D3B0-033D-458B-9E54-7D96A6474F0E}">
    <text>Report not available</text>
  </threadedComment>
  <threadedComment ref="U148" dT="2025-01-16T07:13:52.45" personId="{385AE97E-DB3C-47AF-B0F4-D63AD85D52E9}" id="{750D21E3-F9DD-486B-909A-2D95DB5B8A4A}">
    <text>Report not available</text>
  </threadedComment>
  <threadedComment ref="V148" dT="2025-01-16T07:13:52.45" personId="{385AE97E-DB3C-47AF-B0F4-D63AD85D52E9}" id="{16278EF5-F940-48A3-936C-643DD475FDD3}">
    <text>Report not available</text>
  </threadedComment>
  <threadedComment ref="W148" dT="2025-01-16T07:13:52.45" personId="{385AE97E-DB3C-47AF-B0F4-D63AD85D52E9}" id="{61C646DC-A190-4EAD-8E28-82B9857C9B09}">
    <text>Report not available</text>
  </threadedComment>
  <threadedComment ref="X148" dT="2025-01-16T07:13:52.45" personId="{385AE97E-DB3C-47AF-B0F4-D63AD85D52E9}" id="{A07DF02A-336C-44A9-981F-50F3424C596F}">
    <text>Report not available</text>
  </threadedComment>
  <threadedComment ref="Y148" dT="2025-01-16T07:13:52.45" personId="{385AE97E-DB3C-47AF-B0F4-D63AD85D52E9}" id="{FC59647C-C4C4-47EC-B7B0-3ED22D71BB39}">
    <text>Report not available</text>
  </threadedComment>
  <threadedComment ref="Z148" dT="2025-01-16T07:13:52.45" personId="{385AE97E-DB3C-47AF-B0F4-D63AD85D52E9}" id="{206FF3ED-D64E-4FA1-9612-CA5C2EEBFB4E}">
    <text>Report not available</text>
  </threadedComment>
  <threadedComment ref="AA148" dT="2025-01-16T07:13:52.45" personId="{385AE97E-DB3C-47AF-B0F4-D63AD85D52E9}" id="{F3915994-6E77-452A-BC4C-FDAAA49375F1}">
    <text>Report not available</text>
  </threadedComment>
  <threadedComment ref="AB148" dT="2025-01-16T07:13:52.45" personId="{385AE97E-DB3C-47AF-B0F4-D63AD85D52E9}" id="{16231EA6-97E2-40C9-B215-49B36942595F}">
    <text>Report not available</text>
  </threadedComment>
  <threadedComment ref="AF148" dT="2025-05-20T07:08:56.53" personId="{385AE97E-DB3C-47AF-B0F4-D63AD85D52E9}" id="{2A05906A-964E-44CC-860D-9AEAE7047770}">
    <text>Removed from SLA’s list</text>
  </threadedComment>
  <threadedComment ref="AH148" dT="2025-05-20T07:08:56.53" personId="{385AE97E-DB3C-47AF-B0F4-D63AD85D52E9}" id="{2F5EDAA8-3609-462E-8D17-9E631302F93B}">
    <text>Removed from SLA’s list</text>
  </threadedComment>
  <threadedComment ref="AJ148" dT="2025-01-16T07:13:52.45" personId="{385AE97E-DB3C-47AF-B0F4-D63AD85D52E9}" id="{D4C562AF-E0FA-4A60-9559-42B54F0DFA4A}">
    <text>Report not available</text>
  </threadedComment>
  <threadedComment ref="J149" dT="2025-01-16T07:13:52.45" personId="{385AE97E-DB3C-47AF-B0F4-D63AD85D52E9}" id="{D5A59A65-AC5C-464A-9F1A-003C83838C59}">
    <text>Report not available</text>
  </threadedComment>
  <threadedComment ref="K149" dT="2025-01-16T07:13:52.45" personId="{385AE97E-DB3C-47AF-B0F4-D63AD85D52E9}" id="{5E557615-E2BB-437F-AF05-05AF33A96619}">
    <text>Report not available</text>
  </threadedComment>
  <threadedComment ref="L149" dT="2025-01-16T07:13:52.45" personId="{385AE97E-DB3C-47AF-B0F4-D63AD85D52E9}" id="{DFE8253A-FE30-4509-8346-62FA511846EA}">
    <text>Report not available</text>
  </threadedComment>
  <threadedComment ref="M149" dT="2025-01-16T07:13:52.45" personId="{385AE97E-DB3C-47AF-B0F4-D63AD85D52E9}" id="{AF3CC917-92F3-4A45-B6A9-08AB201FD83E}">
    <text>Report not available</text>
  </threadedComment>
  <threadedComment ref="N149" dT="2025-01-16T07:13:52.45" personId="{385AE97E-DB3C-47AF-B0F4-D63AD85D52E9}" id="{2560AFCE-ABD4-4343-A200-B9380D904532}">
    <text>Report not available</text>
  </threadedComment>
  <threadedComment ref="O149" dT="2025-01-16T07:13:52.45" personId="{385AE97E-DB3C-47AF-B0F4-D63AD85D52E9}" id="{D268E7A9-310D-4BF0-AF42-AFAE0678A06E}">
    <text>Report not available</text>
  </threadedComment>
  <threadedComment ref="P149" dT="2025-01-16T07:13:52.45" personId="{385AE97E-DB3C-47AF-B0F4-D63AD85D52E9}" id="{572948CF-9FA6-45AC-A762-52C616F4B56D}">
    <text>Report not available</text>
  </threadedComment>
  <threadedComment ref="Q149" dT="2025-01-16T07:13:52.45" personId="{385AE97E-DB3C-47AF-B0F4-D63AD85D52E9}" id="{891E1C2E-7BF5-45BE-97B3-0513897A76D4}">
    <text>Report not available</text>
  </threadedComment>
  <threadedComment ref="R149" dT="2025-01-16T07:13:52.45" personId="{385AE97E-DB3C-47AF-B0F4-D63AD85D52E9}" id="{832854C8-F5A4-481F-BD69-61F78D96EE1D}">
    <text>Report not available</text>
  </threadedComment>
  <threadedComment ref="S149" dT="2025-01-16T07:13:52.45" personId="{385AE97E-DB3C-47AF-B0F4-D63AD85D52E9}" id="{252581C1-BB2F-4A46-B245-B4583CCAE7F0}">
    <text>Report not available</text>
  </threadedComment>
  <threadedComment ref="T149" dT="2025-01-16T07:13:52.45" personId="{385AE97E-DB3C-47AF-B0F4-D63AD85D52E9}" id="{9902AD03-B903-4B4D-B3A8-D2A9018D946F}">
    <text>Report not available</text>
  </threadedComment>
  <threadedComment ref="U149" dT="2025-01-16T07:13:52.45" personId="{385AE97E-DB3C-47AF-B0F4-D63AD85D52E9}" id="{A7F06796-4293-4C60-912D-E99399152F8B}">
    <text>Report not available</text>
  </threadedComment>
  <threadedComment ref="V149" dT="2025-01-16T07:13:52.45" personId="{385AE97E-DB3C-47AF-B0F4-D63AD85D52E9}" id="{60AA5358-2D98-4341-921F-C863DA6B25AC}">
    <text>Report not available</text>
  </threadedComment>
  <threadedComment ref="W149" dT="2025-01-16T07:13:52.45" personId="{385AE97E-DB3C-47AF-B0F4-D63AD85D52E9}" id="{6583451C-13F2-4782-822F-74156BAD16D4}">
    <text>Report not available</text>
  </threadedComment>
  <threadedComment ref="X149" dT="2025-01-16T07:13:52.45" personId="{385AE97E-DB3C-47AF-B0F4-D63AD85D52E9}" id="{493BA389-C4BA-46CC-B93D-2643471F5529}">
    <text>Report not available</text>
  </threadedComment>
  <threadedComment ref="Y149" dT="2025-01-16T07:13:52.45" personId="{385AE97E-DB3C-47AF-B0F4-D63AD85D52E9}" id="{6BF55247-2EEE-413C-9E54-947613C6E44A}">
    <text>Report not available</text>
  </threadedComment>
  <threadedComment ref="Z149" dT="2025-01-16T07:13:52.45" personId="{385AE97E-DB3C-47AF-B0F4-D63AD85D52E9}" id="{495BCC6D-BD45-41C6-A1C0-97D5E54332CF}">
    <text>Report not available</text>
  </threadedComment>
  <threadedComment ref="AA149" dT="2025-01-16T07:13:52.45" personId="{385AE97E-DB3C-47AF-B0F4-D63AD85D52E9}" id="{3E31948B-EBD2-4509-8364-EB89CA76803A}">
    <text>Report not available</text>
  </threadedComment>
  <threadedComment ref="AB149" dT="2025-01-16T07:13:52.45" personId="{385AE97E-DB3C-47AF-B0F4-D63AD85D52E9}" id="{94898222-4964-4733-9DCC-C5019C201A72}">
    <text>Report not available</text>
  </threadedComment>
  <threadedComment ref="AF149" dT="2025-05-20T07:08:56.53" personId="{385AE97E-DB3C-47AF-B0F4-D63AD85D52E9}" id="{173AF980-D14F-4583-AA01-BF010795B90E}">
    <text>Removed from SLA’s list</text>
  </threadedComment>
  <threadedComment ref="AH149" dT="2025-05-20T07:08:56.53" personId="{385AE97E-DB3C-47AF-B0F4-D63AD85D52E9}" id="{9344D041-CD1D-40AA-8E75-58D68A7F7CF1}">
    <text>Removed from SLA’s list</text>
  </threadedComment>
  <threadedComment ref="AJ149" dT="2025-01-16T07:13:52.45" personId="{385AE97E-DB3C-47AF-B0F4-D63AD85D52E9}" id="{CE87CD3B-5710-4632-8327-3FCF1F24A7DA}">
    <text>Report not available</text>
  </threadedComment>
  <threadedComment ref="J150" dT="2025-01-16T07:13:52.45" personId="{385AE97E-DB3C-47AF-B0F4-D63AD85D52E9}" id="{1DD93B1A-D7FE-4CBC-B1F0-494BFF125353}">
    <text>Report not available</text>
  </threadedComment>
  <threadedComment ref="K150" dT="2025-01-16T07:13:52.45" personId="{385AE97E-DB3C-47AF-B0F4-D63AD85D52E9}" id="{F98F7447-4F55-4C3A-8A91-BFEC29AE78F7}">
    <text>Report not available</text>
  </threadedComment>
  <threadedComment ref="L150" dT="2025-01-16T07:13:52.45" personId="{385AE97E-DB3C-47AF-B0F4-D63AD85D52E9}" id="{793A5991-24ED-49D2-8094-389F374367E0}">
    <text>Report not available</text>
  </threadedComment>
  <threadedComment ref="M150" dT="2025-01-16T07:13:52.45" personId="{385AE97E-DB3C-47AF-B0F4-D63AD85D52E9}" id="{DFC08C52-C4D7-4E20-B34D-BD59C3B74C3C}">
    <text>Report not available</text>
  </threadedComment>
  <threadedComment ref="N150" dT="2025-01-16T07:13:52.45" personId="{385AE97E-DB3C-47AF-B0F4-D63AD85D52E9}" id="{66A58B1C-7405-4205-8D03-BFE6C9B01286}">
    <text>Report not available</text>
  </threadedComment>
  <threadedComment ref="O150" dT="2025-01-16T07:13:52.45" personId="{385AE97E-DB3C-47AF-B0F4-D63AD85D52E9}" id="{1E70F6B6-A041-4F7D-A63C-D3116B726C9B}">
    <text>Report not available</text>
  </threadedComment>
  <threadedComment ref="P150" dT="2025-01-16T07:13:52.45" personId="{385AE97E-DB3C-47AF-B0F4-D63AD85D52E9}" id="{67D8A5C6-B40B-408A-8198-CDA5535F6255}">
    <text>Report not available</text>
  </threadedComment>
  <threadedComment ref="Q150" dT="2025-01-16T07:13:52.45" personId="{385AE97E-DB3C-47AF-B0F4-D63AD85D52E9}" id="{8DC44260-4796-4B2A-AD53-189DFDF3509B}">
    <text>Report not available</text>
  </threadedComment>
  <threadedComment ref="R150" dT="2025-01-16T07:13:52.45" personId="{385AE97E-DB3C-47AF-B0F4-D63AD85D52E9}" id="{E0D31ED2-EACB-4EA7-9242-3A2312799F95}">
    <text>Report not available</text>
  </threadedComment>
  <threadedComment ref="S150" dT="2025-01-16T07:13:52.45" personId="{385AE97E-DB3C-47AF-B0F4-D63AD85D52E9}" id="{132C6DDA-F029-4E6A-9AE9-A91CE2A79DCE}">
    <text>Report not available</text>
  </threadedComment>
  <threadedComment ref="T150" dT="2025-01-16T07:13:52.45" personId="{385AE97E-DB3C-47AF-B0F4-D63AD85D52E9}" id="{A8D73FD0-948A-45D2-B5E6-6D162AA12C1E}">
    <text>Report not available</text>
  </threadedComment>
  <threadedComment ref="U150" dT="2025-01-16T07:13:52.45" personId="{385AE97E-DB3C-47AF-B0F4-D63AD85D52E9}" id="{4CA1654E-6734-45AE-AC67-B80000EEA1FA}">
    <text>Report not available</text>
  </threadedComment>
  <threadedComment ref="V150" dT="2025-01-16T07:13:52.45" personId="{385AE97E-DB3C-47AF-B0F4-D63AD85D52E9}" id="{5D5760E3-B147-46CF-9EB6-AC803A7CCF07}">
    <text>Report not available</text>
  </threadedComment>
  <threadedComment ref="W150" dT="2025-01-16T07:13:52.45" personId="{385AE97E-DB3C-47AF-B0F4-D63AD85D52E9}" id="{C339B6F2-4D7A-482E-8501-F0F361EB23E5}">
    <text>Report not available</text>
  </threadedComment>
  <threadedComment ref="X150" dT="2025-01-16T07:13:52.45" personId="{385AE97E-DB3C-47AF-B0F4-D63AD85D52E9}" id="{DF125C4E-3BDF-4A9D-9734-CA0F01918421}">
    <text>Report not available</text>
  </threadedComment>
  <threadedComment ref="Y150" dT="2025-01-16T07:13:52.45" personId="{385AE97E-DB3C-47AF-B0F4-D63AD85D52E9}" id="{B0ECD93E-4724-43E1-9BF5-2862FB7D965A}">
    <text>Report not available</text>
  </threadedComment>
  <threadedComment ref="Z150" dT="2025-01-16T07:13:52.45" personId="{385AE97E-DB3C-47AF-B0F4-D63AD85D52E9}" id="{44E92EF3-CFCD-4B79-BDED-BCABFB78B8D7}">
    <text>Report not available</text>
  </threadedComment>
  <threadedComment ref="AA150" dT="2025-01-16T07:13:52.45" personId="{385AE97E-DB3C-47AF-B0F4-D63AD85D52E9}" id="{D32C865B-A734-4ED3-A1AB-FEFE16E2DA19}">
    <text>Report not available</text>
  </threadedComment>
  <threadedComment ref="AB150" dT="2025-01-16T07:13:52.45" personId="{385AE97E-DB3C-47AF-B0F4-D63AD85D52E9}" id="{ED2D3AA5-9781-4959-944C-DCA795BC096C}">
    <text>Report not available</text>
  </threadedComment>
  <threadedComment ref="AF150" dT="2025-05-20T07:08:56.53" personId="{385AE97E-DB3C-47AF-B0F4-D63AD85D52E9}" id="{1768DD20-351F-4C54-8BEE-F422B3855F30}">
    <text>Removed from SLA’s list</text>
  </threadedComment>
  <threadedComment ref="AH150" dT="2025-05-20T07:08:56.53" personId="{385AE97E-DB3C-47AF-B0F4-D63AD85D52E9}" id="{DA739E3D-3B72-4597-A625-3099F5A23E57}">
    <text>Removed from SLA’s list</text>
  </threadedComment>
  <threadedComment ref="AJ150" dT="2025-01-16T07:13:52.45" personId="{385AE97E-DB3C-47AF-B0F4-D63AD85D52E9}" id="{5C23F50C-43D6-45C4-9EA4-E555E165D6D1}">
    <text>Report not available</text>
  </threadedComment>
  <threadedComment ref="J151" dT="2025-01-16T07:13:52.45" personId="{385AE97E-DB3C-47AF-B0F4-D63AD85D52E9}" id="{BA7683EF-A792-4979-92CE-AE7F617E54FB}">
    <text>Report not available</text>
  </threadedComment>
  <threadedComment ref="K151" dT="2025-01-16T07:13:52.45" personId="{385AE97E-DB3C-47AF-B0F4-D63AD85D52E9}" id="{C6776BDD-7F42-4F09-89F7-E6B4EEFE6785}">
    <text>Report not available</text>
  </threadedComment>
  <threadedComment ref="L151" dT="2025-01-16T07:13:52.45" personId="{385AE97E-DB3C-47AF-B0F4-D63AD85D52E9}" id="{9BFEA8BD-D287-4258-80AA-6CCAFFE3C55F}">
    <text>Report not available</text>
  </threadedComment>
  <threadedComment ref="M151" dT="2025-01-16T07:13:52.45" personId="{385AE97E-DB3C-47AF-B0F4-D63AD85D52E9}" id="{208F44EB-F334-4304-95B2-335F53A878E5}">
    <text>Report not available</text>
  </threadedComment>
  <threadedComment ref="N151" dT="2025-01-16T07:13:52.45" personId="{385AE97E-DB3C-47AF-B0F4-D63AD85D52E9}" id="{3D332571-2561-4E37-9C5C-FCE08105875F}">
    <text>Report not available</text>
  </threadedComment>
  <threadedComment ref="O151" dT="2025-01-16T07:13:52.45" personId="{385AE97E-DB3C-47AF-B0F4-D63AD85D52E9}" id="{A1426CB7-F83F-4B82-8C16-048241D2A684}">
    <text>Report not available</text>
  </threadedComment>
  <threadedComment ref="P151" dT="2025-01-16T07:13:52.45" personId="{385AE97E-DB3C-47AF-B0F4-D63AD85D52E9}" id="{075EBF74-DBF4-4856-A90D-1CC623BBD338}">
    <text>Report not available</text>
  </threadedComment>
  <threadedComment ref="Q151" dT="2025-01-16T07:13:52.45" personId="{385AE97E-DB3C-47AF-B0F4-D63AD85D52E9}" id="{6C5037F1-EE0E-49D4-97E8-75F64A7CBA0A}">
    <text>Report not available</text>
  </threadedComment>
  <threadedComment ref="R151" dT="2025-01-16T07:13:52.45" personId="{385AE97E-DB3C-47AF-B0F4-D63AD85D52E9}" id="{C88D9C4E-9689-43C1-A9C7-DD3998B8B468}">
    <text>Report not available</text>
  </threadedComment>
  <threadedComment ref="S151" dT="2025-01-16T07:13:52.45" personId="{385AE97E-DB3C-47AF-B0F4-D63AD85D52E9}" id="{13F883A9-3568-4E92-91AA-A792E8B703B9}">
    <text>Report not available</text>
  </threadedComment>
  <threadedComment ref="T151" dT="2025-01-16T07:13:52.45" personId="{385AE97E-DB3C-47AF-B0F4-D63AD85D52E9}" id="{10CA4E81-669C-4F31-9183-B731F571D173}">
    <text>Report not available</text>
  </threadedComment>
  <threadedComment ref="U151" dT="2025-01-16T07:13:52.45" personId="{385AE97E-DB3C-47AF-B0F4-D63AD85D52E9}" id="{5A9CE2F7-2D36-4546-BB6A-9F29B28B7C2C}">
    <text>Report not available</text>
  </threadedComment>
  <threadedComment ref="V151" dT="2025-01-16T07:13:52.45" personId="{385AE97E-DB3C-47AF-B0F4-D63AD85D52E9}" id="{A5A5D7D4-4085-4E4D-BB49-0BE5CB50A389}">
    <text>Report not available</text>
  </threadedComment>
  <threadedComment ref="W151" dT="2025-01-16T07:13:52.45" personId="{385AE97E-DB3C-47AF-B0F4-D63AD85D52E9}" id="{AEC149CA-79E0-4921-8392-8E1D30101CC4}">
    <text>Report not available</text>
  </threadedComment>
  <threadedComment ref="X151" dT="2025-01-16T07:13:52.45" personId="{385AE97E-DB3C-47AF-B0F4-D63AD85D52E9}" id="{43FEE88B-C61F-4357-A298-824A0505FE3D}">
    <text>Report not available</text>
  </threadedComment>
  <threadedComment ref="Y151" dT="2025-01-16T07:13:52.45" personId="{385AE97E-DB3C-47AF-B0F4-D63AD85D52E9}" id="{4619A50C-024F-429E-837E-C8752A31C8F6}">
    <text>Report not available</text>
  </threadedComment>
  <threadedComment ref="Z151" dT="2025-01-16T07:13:52.45" personId="{385AE97E-DB3C-47AF-B0F4-D63AD85D52E9}" id="{857B45E3-2EF6-48A2-B40A-CC8029EF071D}">
    <text>Report not available</text>
  </threadedComment>
  <threadedComment ref="AA151" dT="2025-01-16T07:13:52.45" personId="{385AE97E-DB3C-47AF-B0F4-D63AD85D52E9}" id="{A64BBC46-2A6B-49FE-8703-672ACCD680CA}">
    <text>Report not available</text>
  </threadedComment>
  <threadedComment ref="AB151" dT="2025-01-16T07:13:52.45" personId="{385AE97E-DB3C-47AF-B0F4-D63AD85D52E9}" id="{A5696871-B1F6-4C3B-8643-20A5716F416C}">
    <text>Report not available</text>
  </threadedComment>
  <threadedComment ref="AF151" dT="2025-05-20T07:08:56.53" personId="{385AE97E-DB3C-47AF-B0F4-D63AD85D52E9}" id="{4C4914E0-6B65-4B96-A626-05BF0116EA43}">
    <text>Removed from SLA’s list</text>
  </threadedComment>
  <threadedComment ref="AH151" dT="2025-05-20T07:08:56.53" personId="{385AE97E-DB3C-47AF-B0F4-D63AD85D52E9}" id="{66EFB41D-4580-4B3E-92B0-F1D1F904187B}">
    <text>Removed from SLA’s list</text>
  </threadedComment>
  <threadedComment ref="AJ151" dT="2025-01-16T07:13:52.45" personId="{385AE97E-DB3C-47AF-B0F4-D63AD85D52E9}" id="{6800BCA0-2610-44CF-B56E-4D82C9DAA0BC}">
    <text>Report not available</text>
  </threadedComment>
  <threadedComment ref="J152" dT="2025-01-16T07:13:52.45" personId="{385AE97E-DB3C-47AF-B0F4-D63AD85D52E9}" id="{F3B222AF-E784-45B3-8EA3-45A40D3134B0}">
    <text>Report not available</text>
  </threadedComment>
  <threadedComment ref="K152" dT="2025-01-16T07:13:52.45" personId="{385AE97E-DB3C-47AF-B0F4-D63AD85D52E9}" id="{86DF5253-8E12-4C0D-8D00-121FF759528E}">
    <text>Report not available</text>
  </threadedComment>
  <threadedComment ref="L152" dT="2025-01-16T07:13:52.45" personId="{385AE97E-DB3C-47AF-B0F4-D63AD85D52E9}" id="{FE714010-8BA6-42CA-A453-BD8820B0A7F3}">
    <text>Report not available</text>
  </threadedComment>
  <threadedComment ref="M152" dT="2025-01-16T07:13:52.45" personId="{385AE97E-DB3C-47AF-B0F4-D63AD85D52E9}" id="{633827E5-7A34-4DE2-B543-0DE58C2B6D9A}">
    <text>Report not available</text>
  </threadedComment>
  <threadedComment ref="N152" dT="2025-01-16T07:13:52.45" personId="{385AE97E-DB3C-47AF-B0F4-D63AD85D52E9}" id="{A807DDD7-B523-4CDF-82D8-A02270C15774}">
    <text>Report not available</text>
  </threadedComment>
  <threadedComment ref="O152" dT="2025-01-16T07:13:52.45" personId="{385AE97E-DB3C-47AF-B0F4-D63AD85D52E9}" id="{F4B5746F-E7E3-4D67-9C0D-319F021C69A8}">
    <text>Report not available</text>
  </threadedComment>
  <threadedComment ref="P152" dT="2025-01-16T07:13:52.45" personId="{385AE97E-DB3C-47AF-B0F4-D63AD85D52E9}" id="{05645F60-10A0-4750-B4A8-B8C61814B3F7}">
    <text>Report not available</text>
  </threadedComment>
  <threadedComment ref="Q152" dT="2025-01-16T07:13:52.45" personId="{385AE97E-DB3C-47AF-B0F4-D63AD85D52E9}" id="{7652FDAE-00B5-4C1A-85DE-3E5B399A960C}">
    <text>Report not available</text>
  </threadedComment>
  <threadedComment ref="R152" dT="2025-01-16T07:13:52.45" personId="{385AE97E-DB3C-47AF-B0F4-D63AD85D52E9}" id="{18944975-EF77-4162-9EB0-28C0F6F32D76}">
    <text>Report not available</text>
  </threadedComment>
  <threadedComment ref="S152" dT="2025-01-16T07:13:52.45" personId="{385AE97E-DB3C-47AF-B0F4-D63AD85D52E9}" id="{D962E52A-9613-41A2-AA25-8CCA17B2A1C7}">
    <text>Report not available</text>
  </threadedComment>
  <threadedComment ref="T152" dT="2025-01-16T07:13:52.45" personId="{385AE97E-DB3C-47AF-B0F4-D63AD85D52E9}" id="{2F6D659C-4B84-478A-A98D-D89E804C9079}">
    <text>Report not available</text>
  </threadedComment>
  <threadedComment ref="U152" dT="2025-01-16T07:13:52.45" personId="{385AE97E-DB3C-47AF-B0F4-D63AD85D52E9}" id="{E601B8D9-2375-4FBF-BF1B-0692E4D46B69}">
    <text>Report not available</text>
  </threadedComment>
  <threadedComment ref="V152" dT="2025-01-16T07:13:52.45" personId="{385AE97E-DB3C-47AF-B0F4-D63AD85D52E9}" id="{2FC3379D-8C46-4414-B1C7-50D5180C8F9B}">
    <text>Report not available</text>
  </threadedComment>
  <threadedComment ref="W152" dT="2025-01-16T07:13:52.45" personId="{385AE97E-DB3C-47AF-B0F4-D63AD85D52E9}" id="{F579A0A9-404D-4C1A-A08C-2B0788BF9499}">
    <text>Report not available</text>
  </threadedComment>
  <threadedComment ref="X152" dT="2025-01-16T07:13:52.45" personId="{385AE97E-DB3C-47AF-B0F4-D63AD85D52E9}" id="{3475474A-F0C0-42C4-9880-E2ADE444E809}">
    <text>Report not available</text>
  </threadedComment>
  <threadedComment ref="Y152" dT="2025-01-16T07:13:52.45" personId="{385AE97E-DB3C-47AF-B0F4-D63AD85D52E9}" id="{7B4B6DA2-0CF0-47A4-89DF-8FDBE5D01F3A}">
    <text>Report not available</text>
  </threadedComment>
  <threadedComment ref="Z152" dT="2025-01-16T07:13:52.45" personId="{385AE97E-DB3C-47AF-B0F4-D63AD85D52E9}" id="{AE07DADF-98A5-4C47-A065-265FD3F181F1}">
    <text>Report not available</text>
  </threadedComment>
  <threadedComment ref="AA152" dT="2025-01-16T07:13:52.45" personId="{385AE97E-DB3C-47AF-B0F4-D63AD85D52E9}" id="{7BA44BAD-397C-483D-B167-3F20DB55B9E5}">
    <text>Report not available</text>
  </threadedComment>
  <threadedComment ref="AB152" dT="2025-01-16T07:13:52.45" personId="{385AE97E-DB3C-47AF-B0F4-D63AD85D52E9}" id="{F339C22D-3B94-4355-AF88-FDE2E2EDDC1C}">
    <text>Report not available</text>
  </threadedComment>
  <threadedComment ref="AF152" dT="2025-05-20T07:08:56.53" personId="{385AE97E-DB3C-47AF-B0F4-D63AD85D52E9}" id="{3D9E2EAB-EA1B-4C27-8888-40DF1210E56C}">
    <text>Removed from SLA’s list</text>
  </threadedComment>
  <threadedComment ref="AH152" dT="2025-05-20T07:08:56.53" personId="{385AE97E-DB3C-47AF-B0F4-D63AD85D52E9}" id="{9A0B66E5-DD26-493D-BDC4-E1BDB8BB2BD3}">
    <text>Removed from SLA’s list</text>
  </threadedComment>
  <threadedComment ref="AJ152" dT="2025-01-16T07:13:52.45" personId="{385AE97E-DB3C-47AF-B0F4-D63AD85D52E9}" id="{6AD92883-418E-4C6B-9C41-12B0237D97A5}">
    <text>Report not available</text>
  </threadedComment>
  <threadedComment ref="J153" dT="2025-01-16T07:13:52.45" personId="{385AE97E-DB3C-47AF-B0F4-D63AD85D52E9}" id="{CAF9B01F-6BB1-4EE6-BC96-D1BC3C97D362}">
    <text>Report not available</text>
  </threadedComment>
  <threadedComment ref="K153" dT="2025-01-16T07:13:52.45" personId="{385AE97E-DB3C-47AF-B0F4-D63AD85D52E9}" id="{D6FB7842-F2EE-4172-BE92-A292B3864F61}">
    <text>Report not available</text>
  </threadedComment>
  <threadedComment ref="L153" dT="2025-01-16T07:13:52.45" personId="{385AE97E-DB3C-47AF-B0F4-D63AD85D52E9}" id="{A720F15E-124B-4FD5-A0BB-7ED22081D495}">
    <text>Report not available</text>
  </threadedComment>
  <threadedComment ref="M153" dT="2025-01-16T07:13:52.45" personId="{385AE97E-DB3C-47AF-B0F4-D63AD85D52E9}" id="{519E31C2-6E04-4CE4-9093-45FE7F104B7C}">
    <text>Report not available</text>
  </threadedComment>
  <threadedComment ref="N153" dT="2025-01-16T07:13:52.45" personId="{385AE97E-DB3C-47AF-B0F4-D63AD85D52E9}" id="{AE672458-B8FB-407A-B834-20B9F6FFD6A4}">
    <text>Report not available</text>
  </threadedComment>
  <threadedComment ref="O153" dT="2025-01-16T07:13:52.45" personId="{385AE97E-DB3C-47AF-B0F4-D63AD85D52E9}" id="{06903500-13D5-4859-967D-447B5978DE6A}">
    <text>Report not available</text>
  </threadedComment>
  <threadedComment ref="P153" dT="2025-01-16T07:13:52.45" personId="{385AE97E-DB3C-47AF-B0F4-D63AD85D52E9}" id="{1D97259B-60F6-471F-9BAB-CE1F79AC541A}">
    <text>Report not available</text>
  </threadedComment>
  <threadedComment ref="Q153" dT="2025-01-16T07:13:52.45" personId="{385AE97E-DB3C-47AF-B0F4-D63AD85D52E9}" id="{FD9953DB-C884-4F51-9781-0EA0D6D07E52}">
    <text>Report not available</text>
  </threadedComment>
  <threadedComment ref="R153" dT="2025-01-16T07:13:52.45" personId="{385AE97E-DB3C-47AF-B0F4-D63AD85D52E9}" id="{12204C2E-7ED6-4D96-9684-1DE7C35A6DF6}">
    <text>Report not available</text>
  </threadedComment>
  <threadedComment ref="S153" dT="2025-01-16T07:13:52.45" personId="{385AE97E-DB3C-47AF-B0F4-D63AD85D52E9}" id="{515BA4C6-63BE-4CAE-A546-51CE1D3C11AD}">
    <text>Report not available</text>
  </threadedComment>
  <threadedComment ref="T153" dT="2025-01-16T07:13:52.45" personId="{385AE97E-DB3C-47AF-B0F4-D63AD85D52E9}" id="{181AF5E5-1AEB-49EF-8C94-4AD240DC75F0}">
    <text>Report not available</text>
  </threadedComment>
  <threadedComment ref="U153" dT="2025-01-16T07:13:52.45" personId="{385AE97E-DB3C-47AF-B0F4-D63AD85D52E9}" id="{13D42CB8-7202-419B-9692-F412AE800E89}">
    <text>Report not available</text>
  </threadedComment>
  <threadedComment ref="V153" dT="2025-01-16T07:13:52.45" personId="{385AE97E-DB3C-47AF-B0F4-D63AD85D52E9}" id="{8B22BF33-E2CC-49C6-A560-C88A4A9F3788}">
    <text>Report not available</text>
  </threadedComment>
  <threadedComment ref="W153" dT="2025-01-16T07:13:52.45" personId="{385AE97E-DB3C-47AF-B0F4-D63AD85D52E9}" id="{A0C98CA0-85D3-4C6A-846A-A03B5E63BA60}">
    <text>Report not available</text>
  </threadedComment>
  <threadedComment ref="X153" dT="2025-01-16T07:13:52.45" personId="{385AE97E-DB3C-47AF-B0F4-D63AD85D52E9}" id="{90204135-CD72-4A4C-A2DD-82BA56380A62}">
    <text>Report not available</text>
  </threadedComment>
  <threadedComment ref="Y153" dT="2025-01-16T07:13:52.45" personId="{385AE97E-DB3C-47AF-B0F4-D63AD85D52E9}" id="{503C795D-E3BF-4756-99AB-75D98357B9EA}">
    <text>Report not available</text>
  </threadedComment>
  <threadedComment ref="Z153" dT="2025-01-16T07:13:52.45" personId="{385AE97E-DB3C-47AF-B0F4-D63AD85D52E9}" id="{5C43260B-593C-4F9F-923D-767D859C2035}">
    <text>Report not available</text>
  </threadedComment>
  <threadedComment ref="AA153" dT="2025-01-16T07:13:52.45" personId="{385AE97E-DB3C-47AF-B0F4-D63AD85D52E9}" id="{F21ACF99-1EAE-4EAE-95EC-D45E0712B596}">
    <text>Report not available</text>
  </threadedComment>
  <threadedComment ref="AB153" dT="2025-01-16T07:13:52.45" personId="{385AE97E-DB3C-47AF-B0F4-D63AD85D52E9}" id="{F4AEA74B-93E7-45F8-9554-477CF441BDE1}">
    <text>Report not available</text>
  </threadedComment>
  <threadedComment ref="AF153" dT="2025-05-20T07:08:56.53" personId="{385AE97E-DB3C-47AF-B0F4-D63AD85D52E9}" id="{87988DF6-E520-47BD-8E67-FAE27EE4FED6}">
    <text>Removed from SLA’s list</text>
  </threadedComment>
  <threadedComment ref="AH153" dT="2025-05-20T07:08:56.53" personId="{385AE97E-DB3C-47AF-B0F4-D63AD85D52E9}" id="{66F7B085-D0F2-4E41-B371-FC0C7FADC63A}">
    <text>Removed from SLA’s list</text>
  </threadedComment>
  <threadedComment ref="AJ153" dT="2025-01-16T07:13:52.45" personId="{385AE97E-DB3C-47AF-B0F4-D63AD85D52E9}" id="{217D2089-2F4A-4335-A708-C1F9FE78BD82}">
    <text>Report not available</text>
  </threadedComment>
  <threadedComment ref="J154" dT="2025-01-16T07:13:52.45" personId="{385AE97E-DB3C-47AF-B0F4-D63AD85D52E9}" id="{3F77BDD8-F5B2-4B91-B1CC-5C34802515F3}">
    <text>Report not available</text>
  </threadedComment>
  <threadedComment ref="K154" dT="2025-01-16T07:13:52.45" personId="{385AE97E-DB3C-47AF-B0F4-D63AD85D52E9}" id="{8BFBA735-23D7-4575-ACC1-47C5C9D2FD31}">
    <text>Report not available</text>
  </threadedComment>
  <threadedComment ref="L154" dT="2025-01-16T07:13:52.45" personId="{385AE97E-DB3C-47AF-B0F4-D63AD85D52E9}" id="{4660F8F2-919B-4952-A7E0-DF037F0E17AC}">
    <text>Report not available</text>
  </threadedComment>
  <threadedComment ref="M154" dT="2025-01-16T07:13:52.45" personId="{385AE97E-DB3C-47AF-B0F4-D63AD85D52E9}" id="{8FB74D75-EFE2-496F-8DD0-89AF14C436A5}">
    <text>Report not available</text>
  </threadedComment>
  <threadedComment ref="N154" dT="2025-01-16T07:13:52.45" personId="{385AE97E-DB3C-47AF-B0F4-D63AD85D52E9}" id="{3AF547B7-5894-41ED-89BA-0745C3B1A4E6}">
    <text>Report not available</text>
  </threadedComment>
  <threadedComment ref="O154" dT="2025-01-16T07:13:52.45" personId="{385AE97E-DB3C-47AF-B0F4-D63AD85D52E9}" id="{C7D2EB8C-BA54-4FF8-83DE-6EA214389D09}">
    <text>Report not available</text>
  </threadedComment>
  <threadedComment ref="P154" dT="2025-01-16T07:13:52.45" personId="{385AE97E-DB3C-47AF-B0F4-D63AD85D52E9}" id="{25AF6948-F5A1-4316-865B-43A1FFF792D0}">
    <text>Report not available</text>
  </threadedComment>
  <threadedComment ref="Q154" dT="2025-01-16T07:13:52.45" personId="{385AE97E-DB3C-47AF-B0F4-D63AD85D52E9}" id="{55A37888-AC72-48A9-A47F-2E4D8ED3F1E0}">
    <text>Report not available</text>
  </threadedComment>
  <threadedComment ref="R154" dT="2025-01-16T07:13:52.45" personId="{385AE97E-DB3C-47AF-B0F4-D63AD85D52E9}" id="{05D69E6F-EA8A-4102-87AC-7B6B92BC3A2D}">
    <text>Report not available</text>
  </threadedComment>
  <threadedComment ref="S154" dT="2025-01-16T07:13:52.45" personId="{385AE97E-DB3C-47AF-B0F4-D63AD85D52E9}" id="{7F04AD7A-9D54-4947-BDC5-429C5D760C29}">
    <text>Report not available</text>
  </threadedComment>
  <threadedComment ref="T154" dT="2025-01-16T07:13:52.45" personId="{385AE97E-DB3C-47AF-B0F4-D63AD85D52E9}" id="{F58B4D4B-A4A1-4729-9135-A2761AA08E98}">
    <text>Report not available</text>
  </threadedComment>
  <threadedComment ref="U154" dT="2025-01-16T07:13:52.45" personId="{385AE97E-DB3C-47AF-B0F4-D63AD85D52E9}" id="{C939DE46-13A1-49E4-B9E2-107B7659EBFA}">
    <text>Report not available</text>
  </threadedComment>
  <threadedComment ref="V154" dT="2025-01-16T07:13:52.45" personId="{385AE97E-DB3C-47AF-B0F4-D63AD85D52E9}" id="{72398BC9-A868-41B9-A028-2DA7196F9E63}">
    <text>Report not available</text>
  </threadedComment>
  <threadedComment ref="W154" dT="2025-01-16T07:13:52.45" personId="{385AE97E-DB3C-47AF-B0F4-D63AD85D52E9}" id="{B8A15FAD-23D4-4DB6-ACBD-AC724BEC32A9}">
    <text>Report not available</text>
  </threadedComment>
  <threadedComment ref="X154" dT="2025-01-16T07:13:52.45" personId="{385AE97E-DB3C-47AF-B0F4-D63AD85D52E9}" id="{79D5B478-5994-4E5E-8165-59079C894E6E}">
    <text>Report not available</text>
  </threadedComment>
  <threadedComment ref="Y154" dT="2025-01-16T07:13:52.45" personId="{385AE97E-DB3C-47AF-B0F4-D63AD85D52E9}" id="{E265126C-B111-425F-AF6E-64FADE3839E8}">
    <text>Report not available</text>
  </threadedComment>
  <threadedComment ref="Z154" dT="2025-01-16T07:13:52.45" personId="{385AE97E-DB3C-47AF-B0F4-D63AD85D52E9}" id="{8F758199-0B14-4E2B-A123-C948CE2D31B3}">
    <text>Report not available</text>
  </threadedComment>
  <threadedComment ref="AA154" dT="2025-01-16T07:13:52.45" personId="{385AE97E-DB3C-47AF-B0F4-D63AD85D52E9}" id="{944DF6D7-E69E-4006-A193-8B01FC9440DD}">
    <text>Report not available</text>
  </threadedComment>
  <threadedComment ref="AB154" dT="2025-01-16T07:13:52.45" personId="{385AE97E-DB3C-47AF-B0F4-D63AD85D52E9}" id="{DF7EF101-55A9-4C88-9307-F0D12D09B95E}">
    <text>Report not available</text>
  </threadedComment>
  <threadedComment ref="AF154" dT="2025-05-20T07:08:56.53" personId="{385AE97E-DB3C-47AF-B0F4-D63AD85D52E9}" id="{7E421059-79DC-4811-AD6F-50ABC448C88A}">
    <text>Removed from SLA’s list</text>
  </threadedComment>
  <threadedComment ref="AH154" dT="2025-05-20T07:08:56.53" personId="{385AE97E-DB3C-47AF-B0F4-D63AD85D52E9}" id="{BDEF9D8B-D225-4351-9312-DA3B2C2FCE18}">
    <text>Removed from SLA’s list</text>
  </threadedComment>
  <threadedComment ref="AJ154" dT="2025-01-16T07:13:52.45" personId="{385AE97E-DB3C-47AF-B0F4-D63AD85D52E9}" id="{73F6AE86-F90C-4258-8593-ACC5976199C3}">
    <text>Report not available</text>
  </threadedComment>
  <threadedComment ref="J155" dT="2025-01-16T07:13:52.45" personId="{385AE97E-DB3C-47AF-B0F4-D63AD85D52E9}" id="{3A9A162E-2F8D-4D8A-B7F6-290B097B217A}">
    <text>Report not available</text>
  </threadedComment>
  <threadedComment ref="K155" dT="2025-01-16T07:13:52.45" personId="{385AE97E-DB3C-47AF-B0F4-D63AD85D52E9}" id="{1993C666-9A53-4D31-B3ED-B527DFC50E78}">
    <text>Report not available</text>
  </threadedComment>
  <threadedComment ref="L155" dT="2025-01-16T07:13:52.45" personId="{385AE97E-DB3C-47AF-B0F4-D63AD85D52E9}" id="{C901E9C8-07E1-430A-8913-0DE749F35C01}">
    <text>Report not available</text>
  </threadedComment>
  <threadedComment ref="M155" dT="2025-01-16T07:13:52.45" personId="{385AE97E-DB3C-47AF-B0F4-D63AD85D52E9}" id="{0BF13710-6826-45C8-8A71-26CF133B071D}">
    <text>Report not available</text>
  </threadedComment>
  <threadedComment ref="N155" dT="2025-01-16T07:13:52.45" personId="{385AE97E-DB3C-47AF-B0F4-D63AD85D52E9}" id="{DC88B4DF-6E33-4FE2-99A0-E78AE372C1FE}">
    <text>Report not available</text>
  </threadedComment>
  <threadedComment ref="O155" dT="2025-01-16T07:13:52.45" personId="{385AE97E-DB3C-47AF-B0F4-D63AD85D52E9}" id="{B0458B6A-2A65-487E-9019-0536425B947C}">
    <text>Report not available</text>
  </threadedComment>
  <threadedComment ref="P155" dT="2025-01-16T07:13:52.45" personId="{385AE97E-DB3C-47AF-B0F4-D63AD85D52E9}" id="{13CA2546-13B5-4F74-970A-3E57508217D9}">
    <text>Report not available</text>
  </threadedComment>
  <threadedComment ref="Q155" dT="2025-01-16T07:13:52.45" personId="{385AE97E-DB3C-47AF-B0F4-D63AD85D52E9}" id="{11293EC4-44D8-4262-919C-406045FF9C05}">
    <text>Report not available</text>
  </threadedComment>
  <threadedComment ref="R155" dT="2025-01-16T07:13:52.45" personId="{385AE97E-DB3C-47AF-B0F4-D63AD85D52E9}" id="{23A67237-8DCB-46A6-940B-F4753BC14ABD}">
    <text>Report not available</text>
  </threadedComment>
  <threadedComment ref="S155" dT="2025-01-16T07:13:52.45" personId="{385AE97E-DB3C-47AF-B0F4-D63AD85D52E9}" id="{7420E3B5-8924-45FB-B672-82680C7A22E3}">
    <text>Report not available</text>
  </threadedComment>
  <threadedComment ref="T155" dT="2025-01-16T07:13:52.45" personId="{385AE97E-DB3C-47AF-B0F4-D63AD85D52E9}" id="{A1B25A66-BEBF-4EE9-800C-2407CBEA5595}">
    <text>Report not available</text>
  </threadedComment>
  <threadedComment ref="U155" dT="2025-01-16T07:13:52.45" personId="{385AE97E-DB3C-47AF-B0F4-D63AD85D52E9}" id="{5C4D6514-5962-4774-BB25-39BA7560A8AE}">
    <text>Report not available</text>
  </threadedComment>
  <threadedComment ref="V155" dT="2025-01-16T07:13:52.45" personId="{385AE97E-DB3C-47AF-B0F4-D63AD85D52E9}" id="{A1439F2C-6A09-43E4-9EB7-032DCED9AF6A}">
    <text>Report not available</text>
  </threadedComment>
  <threadedComment ref="W155" dT="2025-01-16T07:13:52.45" personId="{385AE97E-DB3C-47AF-B0F4-D63AD85D52E9}" id="{F2568DE6-0D9A-4F46-A84E-9638616A6B58}">
    <text>Report not available</text>
  </threadedComment>
  <threadedComment ref="X155" dT="2025-01-16T07:13:52.45" personId="{385AE97E-DB3C-47AF-B0F4-D63AD85D52E9}" id="{9943A116-9FF4-49B8-811E-74A3C5178A72}">
    <text>Report not available</text>
  </threadedComment>
  <threadedComment ref="Y155" dT="2025-01-16T07:13:52.45" personId="{385AE97E-DB3C-47AF-B0F4-D63AD85D52E9}" id="{9C0153F9-9314-46DC-9C85-80CA48676567}">
    <text>Report not available</text>
  </threadedComment>
  <threadedComment ref="Z155" dT="2025-01-16T07:13:52.45" personId="{385AE97E-DB3C-47AF-B0F4-D63AD85D52E9}" id="{76A27E96-4C58-4B75-9B8C-874DABC634ED}">
    <text>Report not available</text>
  </threadedComment>
  <threadedComment ref="AA155" dT="2025-01-16T07:13:52.45" personId="{385AE97E-DB3C-47AF-B0F4-D63AD85D52E9}" id="{77E383E1-5300-4E6B-A309-82F220E5F245}">
    <text>Report not available</text>
  </threadedComment>
  <threadedComment ref="AB155" dT="2025-01-16T07:13:52.45" personId="{385AE97E-DB3C-47AF-B0F4-D63AD85D52E9}" id="{341C54C5-7718-4057-955A-3E54A9B01F40}">
    <text>Report not available</text>
  </threadedComment>
  <threadedComment ref="AF155" dT="2025-05-20T07:08:56.53" personId="{385AE97E-DB3C-47AF-B0F4-D63AD85D52E9}" id="{EA2997BD-1E00-4409-9FFB-D2F09D106557}">
    <text>Removed from SLA’s list</text>
  </threadedComment>
  <threadedComment ref="AH155" dT="2025-05-20T07:08:56.53" personId="{385AE97E-DB3C-47AF-B0F4-D63AD85D52E9}" id="{E5DE9DA0-CF57-4563-AD6B-E900A577C711}">
    <text>Removed from SLA’s list</text>
  </threadedComment>
  <threadedComment ref="AJ155" dT="2025-01-16T07:13:52.45" personId="{385AE97E-DB3C-47AF-B0F4-D63AD85D52E9}" id="{3D7B497B-D08B-4D35-99F3-A9C0CB580D6B}">
    <text>Report not available</text>
  </threadedComment>
  <threadedComment ref="J156" dT="2025-01-16T07:13:52.45" personId="{385AE97E-DB3C-47AF-B0F4-D63AD85D52E9}" id="{2F978A79-D6F9-4B2D-BB1F-420F1687E1BA}">
    <text>Report not available</text>
  </threadedComment>
  <threadedComment ref="K156" dT="2025-01-16T07:13:52.45" personId="{385AE97E-DB3C-47AF-B0F4-D63AD85D52E9}" id="{6D210890-3762-4F13-9B77-D648E38FD5C4}">
    <text>Report not available</text>
  </threadedComment>
  <threadedComment ref="L156" dT="2025-01-16T07:13:52.45" personId="{385AE97E-DB3C-47AF-B0F4-D63AD85D52E9}" id="{40DC63C8-F076-4AD4-94FC-6DC20410C0EC}">
    <text>Report not available</text>
  </threadedComment>
  <threadedComment ref="M156" dT="2025-01-16T07:13:52.45" personId="{385AE97E-DB3C-47AF-B0F4-D63AD85D52E9}" id="{A211F930-4FD8-46E0-BA55-3CA5A66DA708}">
    <text>Report not available</text>
  </threadedComment>
  <threadedComment ref="N156" dT="2025-01-16T07:13:52.45" personId="{385AE97E-DB3C-47AF-B0F4-D63AD85D52E9}" id="{0E0AB910-A3C8-4DCB-8507-1927EF5B9613}">
    <text>Report not available</text>
  </threadedComment>
  <threadedComment ref="O156" dT="2025-01-16T07:13:52.45" personId="{385AE97E-DB3C-47AF-B0F4-D63AD85D52E9}" id="{53A18D5E-7444-4E37-BEBA-C651EC739C18}">
    <text>Report not available</text>
  </threadedComment>
  <threadedComment ref="P156" dT="2025-01-16T07:13:52.45" personId="{385AE97E-DB3C-47AF-B0F4-D63AD85D52E9}" id="{49108990-6165-4DCE-A60B-869155D8694D}">
    <text>Report not available</text>
  </threadedComment>
  <threadedComment ref="Q156" dT="2025-01-16T07:13:52.45" personId="{385AE97E-DB3C-47AF-B0F4-D63AD85D52E9}" id="{88EF25E3-5C16-4F4A-AEF1-6EB56A06664A}">
    <text>Report not available</text>
  </threadedComment>
  <threadedComment ref="R156" dT="2025-01-16T07:13:52.45" personId="{385AE97E-DB3C-47AF-B0F4-D63AD85D52E9}" id="{79EB75BA-479B-4578-854A-48356AA64DDE}">
    <text>Report not available</text>
  </threadedComment>
  <threadedComment ref="S156" dT="2025-01-16T07:13:52.45" personId="{385AE97E-DB3C-47AF-B0F4-D63AD85D52E9}" id="{44ADC74B-2577-44CC-A718-233490405B8E}">
    <text>Report not available</text>
  </threadedComment>
  <threadedComment ref="T156" dT="2025-01-16T07:13:52.45" personId="{385AE97E-DB3C-47AF-B0F4-D63AD85D52E9}" id="{62CF00B4-11AA-486C-857D-C55F85D32E96}">
    <text>Report not available</text>
  </threadedComment>
  <threadedComment ref="U156" dT="2025-01-16T07:13:52.45" personId="{385AE97E-DB3C-47AF-B0F4-D63AD85D52E9}" id="{B5FB5AEA-8E3E-47AA-B890-7ED89CF83475}">
    <text>Report not available</text>
  </threadedComment>
  <threadedComment ref="V156" dT="2025-01-16T07:13:52.45" personId="{385AE97E-DB3C-47AF-B0F4-D63AD85D52E9}" id="{0A4E94C9-F134-4165-810B-5054D1AF9C14}">
    <text>Report not available</text>
  </threadedComment>
  <threadedComment ref="W156" dT="2025-01-16T07:13:52.45" personId="{385AE97E-DB3C-47AF-B0F4-D63AD85D52E9}" id="{C67CFF32-A5BA-42D6-B3B0-B6D906F38AE5}">
    <text>Report not available</text>
  </threadedComment>
  <threadedComment ref="X156" dT="2025-01-16T07:13:52.45" personId="{385AE97E-DB3C-47AF-B0F4-D63AD85D52E9}" id="{1A5D273A-C6CF-426F-BCB8-D675FABD4D0E}">
    <text>Report not available</text>
  </threadedComment>
  <threadedComment ref="Y156" dT="2025-01-16T07:13:52.45" personId="{385AE97E-DB3C-47AF-B0F4-D63AD85D52E9}" id="{04F21EA4-40A3-408A-8903-BE24E8F15EC9}">
    <text>Report not available</text>
  </threadedComment>
  <threadedComment ref="Z156" dT="2025-01-16T07:13:52.45" personId="{385AE97E-DB3C-47AF-B0F4-D63AD85D52E9}" id="{6B7D34C9-13F4-47A9-B6F2-0DE4BAD1323B}">
    <text>Report not available</text>
  </threadedComment>
  <threadedComment ref="AA156" dT="2025-01-16T07:13:52.45" personId="{385AE97E-DB3C-47AF-B0F4-D63AD85D52E9}" id="{C63D14CF-C2F6-4D9D-908C-7FC113B4A668}">
    <text>Report not available</text>
  </threadedComment>
  <threadedComment ref="AB156" dT="2025-01-16T07:13:52.45" personId="{385AE97E-DB3C-47AF-B0F4-D63AD85D52E9}" id="{8049D139-40F5-4567-BBBE-F827A9CB6D12}">
    <text>Report not available</text>
  </threadedComment>
  <threadedComment ref="AF156" dT="2025-05-20T07:08:56.53" personId="{385AE97E-DB3C-47AF-B0F4-D63AD85D52E9}" id="{B63965E1-399D-45F2-93FC-A4FC42A2983B}">
    <text>Removed from SLA’s list</text>
  </threadedComment>
  <threadedComment ref="AH156" dT="2025-05-20T07:08:56.53" personId="{385AE97E-DB3C-47AF-B0F4-D63AD85D52E9}" id="{B68FB530-CBFD-4658-89D2-CDDD8BDA9E11}">
    <text>Removed from SLA’s list</text>
  </threadedComment>
  <threadedComment ref="AJ156" dT="2025-01-16T07:13:52.45" personId="{385AE97E-DB3C-47AF-B0F4-D63AD85D52E9}" id="{DB7BD5AE-80EE-48FC-A2C8-F288B42300AB}">
    <text>Report not available</text>
  </threadedComment>
  <threadedComment ref="J157" dT="2025-01-16T07:13:52.45" personId="{385AE97E-DB3C-47AF-B0F4-D63AD85D52E9}" id="{5D2BE1BA-6B8E-48E0-BC3A-ED07679CBF79}">
    <text>Report not available</text>
  </threadedComment>
  <threadedComment ref="K157" dT="2025-01-16T07:13:52.45" personId="{385AE97E-DB3C-47AF-B0F4-D63AD85D52E9}" id="{D3C584EC-47FF-4621-A8FC-224962190B26}">
    <text>Report not available</text>
  </threadedComment>
  <threadedComment ref="L157" dT="2025-01-16T07:13:52.45" personId="{385AE97E-DB3C-47AF-B0F4-D63AD85D52E9}" id="{17F98726-BB4D-49BE-9C62-F46D2106FD6F}">
    <text>Report not available</text>
  </threadedComment>
  <threadedComment ref="M157" dT="2025-01-16T07:13:52.45" personId="{385AE97E-DB3C-47AF-B0F4-D63AD85D52E9}" id="{F157DCAF-E015-48B7-ACF7-2E290F2AD1B3}">
    <text>Report not available</text>
  </threadedComment>
  <threadedComment ref="N157" dT="2025-01-16T07:13:52.45" personId="{385AE97E-DB3C-47AF-B0F4-D63AD85D52E9}" id="{1BBAF745-3774-439F-A0DD-FE255AEA4DC4}">
    <text>Report not available</text>
  </threadedComment>
  <threadedComment ref="O157" dT="2025-01-16T07:13:52.45" personId="{385AE97E-DB3C-47AF-B0F4-D63AD85D52E9}" id="{CA10DD4E-01F6-4098-A97B-C4081EA4E79E}">
    <text>Report not available</text>
  </threadedComment>
  <threadedComment ref="P157" dT="2025-01-16T07:13:52.45" personId="{385AE97E-DB3C-47AF-B0F4-D63AD85D52E9}" id="{1D65B52D-4CC3-4DDC-8F61-B2CCBFA629FC}">
    <text>Report not available</text>
  </threadedComment>
  <threadedComment ref="Q157" dT="2025-01-16T07:13:52.45" personId="{385AE97E-DB3C-47AF-B0F4-D63AD85D52E9}" id="{29831EE4-7E53-44D1-B0DF-481B634B6FEC}">
    <text>Report not available</text>
  </threadedComment>
  <threadedComment ref="R157" dT="2025-01-16T07:13:52.45" personId="{385AE97E-DB3C-47AF-B0F4-D63AD85D52E9}" id="{C4652543-D9C2-4C1F-BCCF-2B48A7D3A7DF}">
    <text>Report not available</text>
  </threadedComment>
  <threadedComment ref="S157" dT="2025-01-16T07:13:52.45" personId="{385AE97E-DB3C-47AF-B0F4-D63AD85D52E9}" id="{6C38D8CC-4613-4D0E-B1DD-79EEE87EE6F0}">
    <text>Report not available</text>
  </threadedComment>
  <threadedComment ref="T157" dT="2025-01-16T07:13:52.45" personId="{385AE97E-DB3C-47AF-B0F4-D63AD85D52E9}" id="{7F2BBBF1-F094-4CC9-9D5A-783C703A2D76}">
    <text>Report not available</text>
  </threadedComment>
  <threadedComment ref="U157" dT="2025-01-16T07:13:52.45" personId="{385AE97E-DB3C-47AF-B0F4-D63AD85D52E9}" id="{03E8EF2A-2BF4-4081-99C7-763E4E95C95C}">
    <text>Report not available</text>
  </threadedComment>
  <threadedComment ref="V157" dT="2025-01-16T07:13:52.45" personId="{385AE97E-DB3C-47AF-B0F4-D63AD85D52E9}" id="{B1431AAE-A498-4A2A-A3A2-7E1F727B5EB8}">
    <text>Report not available</text>
  </threadedComment>
  <threadedComment ref="W157" dT="2025-01-16T07:13:52.45" personId="{385AE97E-DB3C-47AF-B0F4-D63AD85D52E9}" id="{75B015F3-8AC9-4DDA-846F-5C110D2439BD}">
    <text>Report not available</text>
  </threadedComment>
  <threadedComment ref="X157" dT="2025-01-16T07:13:52.45" personId="{385AE97E-DB3C-47AF-B0F4-D63AD85D52E9}" id="{0082C7EF-108B-4FC6-B83A-F9D650E02C9E}">
    <text>Report not available</text>
  </threadedComment>
  <threadedComment ref="Y157" dT="2025-01-16T07:13:52.45" personId="{385AE97E-DB3C-47AF-B0F4-D63AD85D52E9}" id="{4216D281-4C2B-4B3B-AFAA-0FDFFA634650}">
    <text>Report not available</text>
  </threadedComment>
  <threadedComment ref="Z157" dT="2025-01-16T07:13:52.45" personId="{385AE97E-DB3C-47AF-B0F4-D63AD85D52E9}" id="{84FD624F-6870-4CC3-BC50-38D666CA29F5}">
    <text>Report not available</text>
  </threadedComment>
  <threadedComment ref="AA157" dT="2025-01-16T07:13:52.45" personId="{385AE97E-DB3C-47AF-B0F4-D63AD85D52E9}" id="{4BFEB043-7029-40D3-9B22-45A74066CE7B}">
    <text>Report not available</text>
  </threadedComment>
  <threadedComment ref="AB157" dT="2025-01-16T07:13:52.45" personId="{385AE97E-DB3C-47AF-B0F4-D63AD85D52E9}" id="{79C1FA28-11D7-4E9B-804D-21C8052742F0}">
    <text>Report not available</text>
  </threadedComment>
  <threadedComment ref="AF157" dT="2025-05-20T07:08:56.53" personId="{385AE97E-DB3C-47AF-B0F4-D63AD85D52E9}" id="{CA4C9B30-CE05-44B6-9A57-81542CACB81B}">
    <text>Removed from SLA’s list</text>
  </threadedComment>
  <threadedComment ref="AH157" dT="2025-05-20T07:08:56.53" personId="{385AE97E-DB3C-47AF-B0F4-D63AD85D52E9}" id="{10A2FF2F-0EC5-4F81-A26B-9E5FB9F7050D}">
    <text>Removed from SLA’s list</text>
  </threadedComment>
  <threadedComment ref="AJ157" dT="2025-01-16T07:13:52.45" personId="{385AE97E-DB3C-47AF-B0F4-D63AD85D52E9}" id="{A9780DDC-7214-4D0A-8716-E2F20F27E02F}">
    <text>Report not available</text>
  </threadedComment>
  <threadedComment ref="J158" dT="2025-01-16T07:13:52.45" personId="{385AE97E-DB3C-47AF-B0F4-D63AD85D52E9}" id="{131DA922-13C0-4038-87EC-537A1E49C282}">
    <text>Report not available</text>
  </threadedComment>
  <threadedComment ref="K158" dT="2025-01-16T07:13:52.45" personId="{385AE97E-DB3C-47AF-B0F4-D63AD85D52E9}" id="{13781A6E-0515-4DD6-9010-86FACE5E3120}">
    <text>Report not available</text>
  </threadedComment>
  <threadedComment ref="L158" dT="2025-01-16T07:13:52.45" personId="{385AE97E-DB3C-47AF-B0F4-D63AD85D52E9}" id="{C1001724-22C9-4349-9C54-76A548B72302}">
    <text>Report not available</text>
  </threadedComment>
  <threadedComment ref="M158" dT="2025-01-16T07:13:52.45" personId="{385AE97E-DB3C-47AF-B0F4-D63AD85D52E9}" id="{C134D8BD-8124-48ED-ADD2-161B54C4D77E}">
    <text>Report not available</text>
  </threadedComment>
  <threadedComment ref="N158" dT="2025-01-16T07:13:52.45" personId="{385AE97E-DB3C-47AF-B0F4-D63AD85D52E9}" id="{B0A8D0DC-5D0D-4D50-81EE-479E6BE1BCCB}">
    <text>Report not available</text>
  </threadedComment>
  <threadedComment ref="O158" dT="2025-01-16T07:13:52.45" personId="{385AE97E-DB3C-47AF-B0F4-D63AD85D52E9}" id="{F35DCF8E-99C2-48BF-8D4D-1AC6912CB170}">
    <text>Report not available</text>
  </threadedComment>
  <threadedComment ref="P158" dT="2025-01-16T07:13:52.45" personId="{385AE97E-DB3C-47AF-B0F4-D63AD85D52E9}" id="{549381E8-E33A-41FA-B26F-EC5E01BAA613}">
    <text>Report not available</text>
  </threadedComment>
  <threadedComment ref="Q158" dT="2025-01-16T07:13:52.45" personId="{385AE97E-DB3C-47AF-B0F4-D63AD85D52E9}" id="{2622A4DC-E953-44DF-A91C-281282AFBF9A}">
    <text>Report not available</text>
  </threadedComment>
  <threadedComment ref="R158" dT="2025-01-16T07:13:52.45" personId="{385AE97E-DB3C-47AF-B0F4-D63AD85D52E9}" id="{F58A1035-008F-4105-9809-B2BC67B1DA5A}">
    <text>Report not available</text>
  </threadedComment>
  <threadedComment ref="S158" dT="2025-01-16T07:13:52.45" personId="{385AE97E-DB3C-47AF-B0F4-D63AD85D52E9}" id="{EEF01C2D-D518-4915-987A-7D364F63DC59}">
    <text>Report not available</text>
  </threadedComment>
  <threadedComment ref="T158" dT="2025-01-16T07:13:52.45" personId="{385AE97E-DB3C-47AF-B0F4-D63AD85D52E9}" id="{0CD98384-3FA3-4294-BB52-128B40F280EE}">
    <text>Report not available</text>
  </threadedComment>
  <threadedComment ref="U158" dT="2025-01-16T07:13:52.45" personId="{385AE97E-DB3C-47AF-B0F4-D63AD85D52E9}" id="{7E150F82-9FAD-4245-BF66-54F36A1C10E0}">
    <text>Report not available</text>
  </threadedComment>
  <threadedComment ref="V158" dT="2025-01-16T07:13:52.45" personId="{385AE97E-DB3C-47AF-B0F4-D63AD85D52E9}" id="{9C2854E5-500C-4C05-BDEC-2DE8DD561BFD}">
    <text>Report not available</text>
  </threadedComment>
  <threadedComment ref="W158" dT="2025-01-16T07:13:52.45" personId="{385AE97E-DB3C-47AF-B0F4-D63AD85D52E9}" id="{0715A241-3AC4-44C8-8B78-E4C6BEA2127A}">
    <text>Report not available</text>
  </threadedComment>
  <threadedComment ref="X158" dT="2025-01-16T07:13:52.45" personId="{385AE97E-DB3C-47AF-B0F4-D63AD85D52E9}" id="{4BB11387-6A2B-4F98-B409-BB280A94A45D}">
    <text>Report not available</text>
  </threadedComment>
  <threadedComment ref="Y158" dT="2025-01-16T07:13:52.45" personId="{385AE97E-DB3C-47AF-B0F4-D63AD85D52E9}" id="{5884FDD5-AED0-4E05-8B0E-C54D510614E1}">
    <text>Report not available</text>
  </threadedComment>
  <threadedComment ref="Z158" dT="2025-01-16T07:13:52.45" personId="{385AE97E-DB3C-47AF-B0F4-D63AD85D52E9}" id="{747E305D-2CD7-4888-8EA8-A4996AF48199}">
    <text>Report not available</text>
  </threadedComment>
  <threadedComment ref="AA158" dT="2025-01-16T07:13:52.45" personId="{385AE97E-DB3C-47AF-B0F4-D63AD85D52E9}" id="{E20BFEDB-5B96-4A73-B31D-9B498B251397}">
    <text>Report not available</text>
  </threadedComment>
  <threadedComment ref="AB158" dT="2025-01-16T07:13:52.45" personId="{385AE97E-DB3C-47AF-B0F4-D63AD85D52E9}" id="{48985C3C-E480-4B7F-9DF5-4B267D4D0635}">
    <text>Report not available</text>
  </threadedComment>
  <threadedComment ref="AF158" dT="2025-05-20T07:08:56.53" personId="{385AE97E-DB3C-47AF-B0F4-D63AD85D52E9}" id="{B30F6976-7D76-4B49-BBDF-2A467C4959D0}">
    <text>Removed from SLA’s list</text>
  </threadedComment>
  <threadedComment ref="AH158" dT="2025-05-20T07:08:56.53" personId="{385AE97E-DB3C-47AF-B0F4-D63AD85D52E9}" id="{8C161D98-4912-46D7-82CA-1AC6D9C026AD}">
    <text>Removed from SLA’s list</text>
  </threadedComment>
  <threadedComment ref="AJ158" dT="2025-01-16T07:13:52.45" personId="{385AE97E-DB3C-47AF-B0F4-D63AD85D52E9}" id="{089A748F-9870-4F4A-9C10-F7F08CEF4966}">
    <text>Report not available</text>
  </threadedComment>
  <threadedComment ref="J159" dT="2025-01-16T07:13:52.45" personId="{385AE97E-DB3C-47AF-B0F4-D63AD85D52E9}" id="{CE99674A-9220-430D-8DB3-53A36EE18CEB}">
    <text>Report not available</text>
  </threadedComment>
  <threadedComment ref="K159" dT="2025-01-16T07:13:52.45" personId="{385AE97E-DB3C-47AF-B0F4-D63AD85D52E9}" id="{2D2EEC7F-5763-447D-B2CE-D8127A04DD60}">
    <text>Report not available</text>
  </threadedComment>
  <threadedComment ref="L159" dT="2025-01-16T07:13:52.45" personId="{385AE97E-DB3C-47AF-B0F4-D63AD85D52E9}" id="{179C35F7-4E45-4AB6-B273-AB226992FFB8}">
    <text>Report not available</text>
  </threadedComment>
  <threadedComment ref="M159" dT="2025-01-16T07:13:52.45" personId="{385AE97E-DB3C-47AF-B0F4-D63AD85D52E9}" id="{189EC254-4D7A-42DE-B0D8-EC07743CE9D6}">
    <text>Report not available</text>
  </threadedComment>
  <threadedComment ref="N159" dT="2025-01-16T07:13:52.45" personId="{385AE97E-DB3C-47AF-B0F4-D63AD85D52E9}" id="{75AE3ED6-65EB-4263-B59F-169F5E985C14}">
    <text>Report not available</text>
  </threadedComment>
  <threadedComment ref="O159" dT="2025-01-16T07:13:52.45" personId="{385AE97E-DB3C-47AF-B0F4-D63AD85D52E9}" id="{AE69D941-E4A2-4487-812C-174AB3B0C386}">
    <text>Report not available</text>
  </threadedComment>
  <threadedComment ref="P159" dT="2025-01-16T07:13:52.45" personId="{385AE97E-DB3C-47AF-B0F4-D63AD85D52E9}" id="{B8B063D4-6ED5-45F2-8B83-44F9D67815C9}">
    <text>Report not available</text>
  </threadedComment>
  <threadedComment ref="Q159" dT="2025-01-16T07:13:52.45" personId="{385AE97E-DB3C-47AF-B0F4-D63AD85D52E9}" id="{0DD15F35-E49E-4AB1-914A-10300D9B0ACA}">
    <text>Report not available</text>
  </threadedComment>
  <threadedComment ref="R159" dT="2025-01-16T07:13:52.45" personId="{385AE97E-DB3C-47AF-B0F4-D63AD85D52E9}" id="{5F25B08E-0FFF-4392-8E1D-832FCA5F52EE}">
    <text>Report not available</text>
  </threadedComment>
  <threadedComment ref="S159" dT="2025-01-16T07:13:52.45" personId="{385AE97E-DB3C-47AF-B0F4-D63AD85D52E9}" id="{B5D00BEE-0533-42CC-833C-FBDD95730066}">
    <text>Report not available</text>
  </threadedComment>
  <threadedComment ref="T159" dT="2025-01-16T07:13:52.45" personId="{385AE97E-DB3C-47AF-B0F4-D63AD85D52E9}" id="{229E2A0B-B4EA-434D-84EB-DA6E859E7C39}">
    <text>Report not available</text>
  </threadedComment>
  <threadedComment ref="U159" dT="2025-01-16T07:13:52.45" personId="{385AE97E-DB3C-47AF-B0F4-D63AD85D52E9}" id="{0CD1C0DD-0FD5-4338-84B7-79DB87CC2D90}">
    <text>Report not available</text>
  </threadedComment>
  <threadedComment ref="V159" dT="2025-01-16T07:13:52.45" personId="{385AE97E-DB3C-47AF-B0F4-D63AD85D52E9}" id="{00FEA48A-AD2B-4B07-88E0-F80C2D3A1730}">
    <text>Report not available</text>
  </threadedComment>
  <threadedComment ref="W159" dT="2025-01-16T07:13:52.45" personId="{385AE97E-DB3C-47AF-B0F4-D63AD85D52E9}" id="{73E3EBD5-843D-40EF-A9B3-5AB5D81D3487}">
    <text>Report not available</text>
  </threadedComment>
  <threadedComment ref="X159" dT="2025-01-16T07:13:52.45" personId="{385AE97E-DB3C-47AF-B0F4-D63AD85D52E9}" id="{BC9F1C0A-ED51-42D5-BF1B-B87E99684863}">
    <text>Report not available</text>
  </threadedComment>
  <threadedComment ref="Y159" dT="2025-01-16T07:13:52.45" personId="{385AE97E-DB3C-47AF-B0F4-D63AD85D52E9}" id="{9C275086-E5DF-417C-A683-E2CF5BE8E621}">
    <text>Report not available</text>
  </threadedComment>
  <threadedComment ref="Z159" dT="2025-01-16T07:13:52.45" personId="{385AE97E-DB3C-47AF-B0F4-D63AD85D52E9}" id="{18CF31B2-7B2A-4BAD-98BB-98A5E0D48226}">
    <text>Report not available</text>
  </threadedComment>
  <threadedComment ref="AA159" dT="2025-01-16T07:13:52.45" personId="{385AE97E-DB3C-47AF-B0F4-D63AD85D52E9}" id="{53889C6A-00B1-49C3-8841-E7A6B59A992A}">
    <text>Report not available</text>
  </threadedComment>
  <threadedComment ref="AB159" dT="2025-01-16T07:13:52.45" personId="{385AE97E-DB3C-47AF-B0F4-D63AD85D52E9}" id="{EE7F3A1F-4B13-4709-8065-731943573081}">
    <text>Report not available</text>
  </threadedComment>
  <threadedComment ref="AF159" dT="2025-05-20T07:08:56.53" personId="{385AE97E-DB3C-47AF-B0F4-D63AD85D52E9}" id="{60EEE4E5-FD08-454C-B9EF-64F1420045F2}">
    <text>Removed from SLA’s list</text>
  </threadedComment>
  <threadedComment ref="AH159" dT="2025-05-20T07:08:56.53" personId="{385AE97E-DB3C-47AF-B0F4-D63AD85D52E9}" id="{6D065772-0960-4230-BD8F-1442C2A45B24}">
    <text>Removed from SLA’s list</text>
  </threadedComment>
  <threadedComment ref="AJ159" dT="2025-01-16T07:13:52.45" personId="{385AE97E-DB3C-47AF-B0F4-D63AD85D52E9}" id="{E3F5F159-ACEB-4649-9189-0BB454FB16DA}">
    <text>Report not available</text>
  </threadedComment>
  <threadedComment ref="J160" dT="2025-05-21T10:40:14.22" personId="{803D42D1-F8A1-4625-BA7D-02834BDCA61B}" id="{01718432-FD25-4778-B5A2-6B4679FC6511}">
    <text>Validated</text>
  </threadedComment>
  <threadedComment ref="L160" dT="2025-06-19T10:24:27.58" personId="{385AE97E-DB3C-47AF-B0F4-D63AD85D52E9}" id="{34EB2CAD-ACD0-4705-B29D-5801BBA152BD}">
    <text>53 joiners</text>
  </threadedComment>
  <threadedComment ref="N160" dT="2025-07-21T07:27:51.87" personId="{385AE97E-DB3C-47AF-B0F4-D63AD85D52E9}" id="{97E66D0C-B332-4A35-ADBA-D7313B8D3013}">
    <text>48 joiners</text>
  </threadedComment>
  <threadedComment ref="J161" dT="2025-05-21T10:40:37.38" personId="{803D42D1-F8A1-4625-BA7D-02834BDCA61B}" id="{EF920446-A252-468B-A634-B894593C87E9}">
    <text>Validated</text>
  </threadedComment>
  <threadedComment ref="L161" dT="2025-06-19T10:21:17.41" personId="{385AE97E-DB3C-47AF-B0F4-D63AD85D52E9}" id="{F09B6742-E72F-4CBE-93CA-B9AA6169FAB4}">
    <text xml:space="preserve">43 offers </text>
  </threadedComment>
  <threadedComment ref="N161" dT="2025-07-21T07:27:57.03" personId="{385AE97E-DB3C-47AF-B0F4-D63AD85D52E9}" id="{61FDB099-3828-4B03-973B-D687073779A7}">
    <text>28 Offers</text>
  </threadedComment>
  <threadedComment ref="L163" dT="2025-06-19T11:10:10.63" personId="{385AE97E-DB3C-47AF-B0F4-D63AD85D52E9}" id="{5EE41A61-3265-40C4-8888-0FC2EC75D9C9}">
    <text>182 CV shortlisted and 315 CV shared</text>
  </threadedComment>
  <threadedComment ref="N163" dT="2025-07-21T07:39:23.52" personId="{385AE97E-DB3C-47AF-B0F4-D63AD85D52E9}" id="{D384ABB7-4B32-40DB-80BD-46A548C0CC79}">
    <text>143CV shorlisted shared and 244 total CV shared</text>
  </threadedComment>
  <threadedComment ref="R163" dT="2025-08-20T08:05:49.51" personId="{385AE97E-DB3C-47AF-B0F4-D63AD85D52E9}" id="{02356AEA-876E-4FDF-8EAF-97CD965F735C}">
    <text>Validated</text>
  </threadedComment>
  <threadedComment ref="R163" dT="2025-08-20T08:09:49.97" personId="{385AE97E-DB3C-47AF-B0F4-D63AD85D52E9}" id="{83BECC8D-800B-4264-9950-1D5E20F1A2F2}" parentId="{02356AEA-876E-4FDF-8EAF-97CD965F735C}">
    <text>187/324</text>
  </threadedComment>
  <threadedComment ref="L164" dT="2025-06-19T11:10:43.72" personId="{385AE97E-DB3C-47AF-B0F4-D63AD85D52E9}" id="{32CD501F-77C8-49D2-919A-7A0B0C6BE4E7}">
    <text>16 selected and 314 CV shared</text>
  </threadedComment>
  <threadedComment ref="N164" dT="2025-07-21T07:39:44.22" personId="{385AE97E-DB3C-47AF-B0F4-D63AD85D52E9}" id="{BD8A9BCD-9FE2-4251-A05D-E6DC36EBF3E9}">
    <text>45 selection and 244 total CV shared</text>
  </threadedComment>
  <threadedComment ref="R164" dT="2025-08-20T08:05:44.51" personId="{385AE97E-DB3C-47AF-B0F4-D63AD85D52E9}" id="{259E2D9F-E36E-4FA5-BF51-60A9FC39B8EA}">
    <text>Validated</text>
  </threadedComment>
  <threadedComment ref="R164" dT="2025-08-20T08:09:59.33" personId="{385AE97E-DB3C-47AF-B0F4-D63AD85D52E9}" id="{FBB2C87E-EA85-4C44-85D6-C44B103F15C3}" parentId="{259E2D9F-E36E-4FA5-BF51-60A9FC39B8EA}">
    <text xml:space="preserve">33/324
</text>
  </threadedComment>
  <threadedComment ref="L165" dT="2025-06-19T11:11:27.18" personId="{385AE97E-DB3C-47AF-B0F4-D63AD85D52E9}" id="{D49DB212-DFB4-4A3E-9414-8ADD83EE8A51}">
    <text>20 declined and 43 offer released</text>
  </threadedComment>
  <threadedComment ref="N165" dT="2025-07-21T07:42:27.20" personId="{385AE97E-DB3C-47AF-B0F4-D63AD85D52E9}" id="{9C84006C-F10A-4D4D-8E04-02361AF88D23}">
    <text>17 offer drop and 28 offer released</text>
  </threadedComment>
  <threadedComment ref="R165" dT="2025-08-20T08:10:07.71" personId="{385AE97E-DB3C-47AF-B0F4-D63AD85D52E9}" id="{9ADA9A74-2316-483B-9391-C4D6FA5D8A4A}">
    <text>8/51</text>
  </threadedComment>
  <threadedComment ref="AD165" dT="2026-01-21T10:20:57.69" personId="{803D42D1-F8A1-4625-BA7D-02834BDCA61B}" id="{D6A5CB3E-0C48-4F39-968B-7E596D917A5A}">
    <text>Validated</text>
  </threadedComment>
  <threadedComment ref="N167" dT="2025-07-21T07:43:19.57" personId="{385AE97E-DB3C-47AF-B0F4-D63AD85D52E9}" id="{93E4CC2D-696C-4652-9640-D23FEB606EDE}">
    <text>4 female out of 50 joiners</text>
  </threadedComment>
  <threadedComment ref="P167" dT="2025-07-21T07:43:35.59" personId="{385AE97E-DB3C-47AF-B0F4-D63AD85D52E9}" id="{44B52E8C-BE21-4F1D-900C-242BB7D6FD19}">
    <text>17 female and 151 joiners</text>
  </threadedComment>
  <threadedComment ref="R167" dT="2025-08-20T07:55:10.96" personId="{385AE97E-DB3C-47AF-B0F4-D63AD85D52E9}" id="{2BB24AF4-D3A2-4C25-8CF4-6B02C6A3B6AA}">
    <text>3 females out of 194 Joiners</text>
  </threadedComment>
  <threadedComment ref="J168" dT="2025-05-21T12:58:27.16" personId="{803D42D1-F8A1-4625-BA7D-02834BDCA61B}" id="{B1CC407A-709D-48C1-888E-39EC44385D1B}">
    <text>Validated</text>
  </threadedComment>
  <threadedComment ref="L168" dT="2025-05-21T12:58:27.16" personId="{803D42D1-F8A1-4625-BA7D-02834BDCA61B}" id="{B29F6F4A-C42C-4141-AFBA-486C3DFBFC3B}">
    <text>Validated</text>
  </threadedComment>
  <threadedComment ref="N168" dT="2025-07-23T05:32:52.67" personId="{803D42D1-F8A1-4625-BA7D-02834BDCA61B}" id="{6CD6E886-9A6D-47F8-A6A9-280AF301F873}">
    <text>Validated</text>
  </threadedComment>
  <threadedComment ref="P168" dT="2025-07-23T05:32:52.67" personId="{803D42D1-F8A1-4625-BA7D-02834BDCA61B}" id="{B29EBDA8-F0EE-4392-B462-480BC054EE77}">
    <text>Validated</text>
  </threadedComment>
  <threadedComment ref="R168" dT="2025-08-24T12:26:46.38" personId="{803D42D1-F8A1-4625-BA7D-02834BDCA61B}" id="{55BF0982-D960-4FF8-9336-CF9F7A04806C}">
    <text>Validated</text>
  </threadedComment>
  <threadedComment ref="T168" dT="2025-09-29T07:56:50.31" personId="{803D42D1-F8A1-4625-BA7D-02834BDCA61B}" id="{BFB8F998-BE36-4B5C-948A-28DAFB63F438}">
    <text>Validated</text>
  </threadedComment>
  <threadedComment ref="V168" dT="2025-10-21T10:19:09.65" personId="{803D42D1-F8A1-4625-BA7D-02834BDCA61B}" id="{91A0F548-D9E7-4784-B3CF-81FFB6249E5E}">
    <text>Validated</text>
  </threadedComment>
  <threadedComment ref="X168" dT="2025-10-21T10:19:09.65" personId="{803D42D1-F8A1-4625-BA7D-02834BDCA61B}" id="{1B8AAB90-279D-409F-8F4B-3BE19F4C7612}">
    <text>Validated</text>
  </threadedComment>
  <threadedComment ref="AB168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J168" dT="2025-10-21T10:19:09.65" personId="{803D42D1-F8A1-4625-BA7D-02834BDCA61B}" id="{6FF1225F-E818-4293-92AE-746AE74F1796}">
    <text>Validated</text>
  </threadedComment>
  <threadedComment ref="R169" dT="2025-08-24T12:51:19.91" personId="{803D42D1-F8A1-4625-BA7D-02834BDCA61B}" id="{E32E4C96-9917-4840-AFB0-32C0FEE8E751}">
    <text>Standard Number</text>
  </threadedComment>
  <threadedComment ref="T169" dT="2025-09-29T07:55:08.54" personId="{803D42D1-F8A1-4625-BA7D-02834BDCA61B}" id="{07D5F4E9-0E70-498B-8732-89794BD7AFEF}">
    <text>Standard Number</text>
  </threadedComment>
  <threadedComment ref="V169" dT="2025-10-21T10:19:45.75" personId="{803D42D1-F8A1-4625-BA7D-02834BDCA61B}" id="{0A4F2071-0365-46B7-8689-2496F69D51F9}">
    <text>Standard Number</text>
  </threadedComment>
  <threadedComment ref="X169" dT="2025-10-21T10:19:45.75" personId="{803D42D1-F8A1-4625-BA7D-02834BDCA61B}" id="{A03D633B-D832-4DDE-8772-E39A34ED19AF}">
    <text>Standard Number</text>
  </threadedComment>
  <threadedComment ref="AB169" dT="2025-12-23T10:49:36.69" personId="{385AE97E-DB3C-47AF-B0F4-D63AD85D52E9}" id="{95586C86-519A-4C03-9881-511582B054BC}">
    <text>No joiners, no offers released, and no profiles sourced during the month of Nov’25.</text>
  </threadedComment>
  <threadedComment ref="AJ169" dT="2025-10-21T10:19:45.75" personId="{803D42D1-F8A1-4625-BA7D-02834BDCA61B}" id="{80C58232-605A-460F-92B2-D8267FE5C1C2}">
    <text>Standard Number</text>
  </threadedComment>
  <threadedComment ref="J170" dT="2025-05-21T12:59:16.35" personId="{803D42D1-F8A1-4625-BA7D-02834BDCA61B}" id="{B189FAC2-5875-4EFF-834D-3A0B7B3BB27A}">
    <text>Validated</text>
  </threadedComment>
  <threadedComment ref="L170" dT="2025-05-21T12:58:27.16" personId="{803D42D1-F8A1-4625-BA7D-02834BDCA61B}" id="{1948DB52-BF8A-4D7F-8BEC-32C4F2D48B49}">
    <text>Validated</text>
  </threadedComment>
  <threadedComment ref="R170" dT="2025-08-24T12:51:19.91" personId="{803D42D1-F8A1-4625-BA7D-02834BDCA61B}" id="{D939D4EC-084A-4A22-A441-88801BF90742}">
    <text>Standard Number</text>
  </threadedComment>
  <threadedComment ref="T170" dT="2025-09-29T07:55:08.54" personId="{803D42D1-F8A1-4625-BA7D-02834BDCA61B}" id="{B04A311A-81DF-4ED7-9390-0D6A90CB886F}">
    <text>Standard Number</text>
  </threadedComment>
  <threadedComment ref="V170" dT="2025-10-21T10:19:45.75" personId="{803D42D1-F8A1-4625-BA7D-02834BDCA61B}" id="{10AA3BD7-C26C-44CE-8BA2-EF6E13E3D604}">
    <text>Standard Number</text>
  </threadedComment>
  <threadedComment ref="X170" dT="2025-10-21T10:19:45.75" personId="{803D42D1-F8A1-4625-BA7D-02834BDCA61B}" id="{E07C2427-EE66-4475-8334-5CFE8D7EBF2C}">
    <text>Standard Number</text>
  </threadedComment>
  <threadedComment ref="AB170" dT="2025-12-23T10:49:40.96" personId="{385AE97E-DB3C-47AF-B0F4-D63AD85D52E9}" id="{BCB8B8A7-58DC-4B6A-AD39-088DA5842567}">
    <text>No joiners, no offers released, and no profiles sourced during the month of Nov’25.</text>
  </threadedComment>
  <threadedComment ref="AJ170" dT="2025-10-21T10:19:45.75" personId="{803D42D1-F8A1-4625-BA7D-02834BDCA61B}" id="{36B8D749-FA35-4CA7-BB53-1536AB5FEE42}">
    <text>Standard Number</text>
  </threadedComment>
  <threadedComment ref="J171" dT="2025-05-21T12:59:27.57" personId="{803D42D1-F8A1-4625-BA7D-02834BDCA61B}" id="{1C3FADEC-BECB-4080-BB16-094ED166CA76}">
    <text>Validated</text>
  </threadedComment>
  <threadedComment ref="L171" dT="2025-05-21T12:58:27.16" personId="{803D42D1-F8A1-4625-BA7D-02834BDCA61B}" id="{8D85699D-61BF-48C1-B1C1-569B30CD538E}">
    <text>Validated</text>
  </threadedComment>
  <threadedComment ref="N171" dT="2025-07-23T05:33:07.79" personId="{803D42D1-F8A1-4625-BA7D-02834BDCA61B}" id="{EDD7BEF1-B615-43F0-BEC5-4AC28B445B4F}">
    <text>Validated</text>
  </threadedComment>
  <threadedComment ref="P171" dT="2025-07-23T05:32:52.67" personId="{803D42D1-F8A1-4625-BA7D-02834BDCA61B}" id="{458DF53F-FD65-4CEC-B4D7-3707AA373A2C}">
    <text>Validated</text>
  </threadedComment>
  <threadedComment ref="R171" dT="2025-08-24T12:26:46.38" personId="{803D42D1-F8A1-4625-BA7D-02834BDCA61B}" id="{DD3EF041-7E4B-4BA4-8CA6-B4E342B2F9E4}">
    <text>Validated</text>
  </threadedComment>
  <threadedComment ref="T171" dT="2025-09-29T07:56:50.31" personId="{803D42D1-F8A1-4625-BA7D-02834BDCA61B}" id="{358EFFAD-9884-45BE-8194-37D41763C0FD}">
    <text>Validated</text>
  </threadedComment>
  <threadedComment ref="V171" dT="2025-10-21T10:19:09.65" personId="{803D42D1-F8A1-4625-BA7D-02834BDCA61B}" id="{37E1B1A2-AEFA-4D9C-94C9-00ED95C47AD9}">
    <text>Validated</text>
  </threadedComment>
  <threadedComment ref="X171" dT="2025-10-21T10:19:09.65" personId="{803D42D1-F8A1-4625-BA7D-02834BDCA61B}" id="{ED7C53B7-C359-49DF-BF41-DB285250759E}">
    <text>Validated</text>
  </threadedComment>
  <threadedComment ref="AB171" dT="2025-12-23T10:49:44.15" personId="{385AE97E-DB3C-47AF-B0F4-D63AD85D52E9}" id="{6A662BBA-3A5A-4DA7-B09F-8F815C514CF9}">
    <text>No joiners, no offers released, and no profiles sourced during the month of Nov’25.</text>
  </threadedComment>
  <threadedComment ref="AJ171" dT="2025-10-21T10:19:09.65" personId="{803D42D1-F8A1-4625-BA7D-02834BDCA61B}" id="{7CDBC620-DFB2-4B64-B6E9-C00D96871957}">
    <text>Validated</text>
  </threadedComment>
  <threadedComment ref="J172" dT="2025-05-21T12:59:51.79" personId="{803D42D1-F8A1-4625-BA7D-02834BDCA61B}" id="{747E6BC7-F6E8-48C8-8590-CEE5158F4749}">
    <text>Validated</text>
  </threadedComment>
  <threadedComment ref="L172" dT="2025-06-24T11:39:42.72" personId="{803D42D1-F8A1-4625-BA7D-02834BDCA61B}" id="{2338BD1B-1A1C-4980-B62E-8F57CBA7D7B9}">
    <text>Validated</text>
  </threadedComment>
  <threadedComment ref="N172" dT="2025-07-23T05:34:23.12" personId="{803D42D1-F8A1-4625-BA7D-02834BDCA61B}" id="{E4CDEED5-B3EF-4931-AD76-311B58C91A8E}">
    <text>Validated</text>
  </threadedComment>
  <threadedComment ref="P172" dT="2025-07-23T05:32:52.67" personId="{803D42D1-F8A1-4625-BA7D-02834BDCA61B}" id="{5452C671-8091-4482-9DF8-263B742167FC}">
    <text>Validated</text>
  </threadedComment>
  <threadedComment ref="AB172" dT="2025-12-23T10:50:18.13" personId="{385AE97E-DB3C-47AF-B0F4-D63AD85D52E9}" id="{41A56E66-D8BA-4DD6-858A-8E0ADA0AD54A}">
    <text>No joiners, no offers released, and no profiles sourced during the month of Nov’25.</text>
  </threadedComment>
  <threadedComment ref="L173" dT="2025-05-21T12:58:27.16" personId="{803D42D1-F8A1-4625-BA7D-02834BDCA61B}" id="{D19774A3-05CE-4435-8812-50A2CD1340CD}">
    <text>Validated</text>
  </threadedComment>
  <threadedComment ref="R173" dT="2025-08-24T12:53:35.31" personId="{803D42D1-F8A1-4625-BA7D-02834BDCA61B}" id="{479B7BFF-50EC-4EB5-9CFF-DB9055FB975B}">
    <text>Not Validated Incomplete data</text>
  </threadedComment>
  <threadedComment ref="T173" dT="2025-09-29T07:57:56.66" personId="{803D42D1-F8A1-4625-BA7D-02834BDCA61B}" id="{505769EA-F84C-4047-8F76-48629A3B7117}">
    <text>Selection Tracker not available</text>
  </threadedComment>
  <threadedComment ref="V173" dT="2025-10-21T10:23:09.34" personId="{803D42D1-F8A1-4625-BA7D-02834BDCA61B}" id="{5B6E45E3-8512-4A75-B1B6-35E42A0DC1CD}">
    <text>Selection data not available</text>
  </threadedComment>
  <threadedComment ref="X173" dT="2025-10-21T10:23:09.34" personId="{803D42D1-F8A1-4625-BA7D-02834BDCA61B}" id="{1CB98AEB-7AA2-4EBF-811E-433758F0DA4C}">
    <text>Selection data not available</text>
  </threadedComment>
  <threadedComment ref="AB173" dT="2025-12-23T10:50:23.45" personId="{385AE97E-DB3C-47AF-B0F4-D63AD85D52E9}" id="{749FFB6F-F7F4-46DD-8F95-E39E62659844}">
    <text>No joiners, no offers released, and no profiles sourced during the month of Nov’25.</text>
  </threadedComment>
  <threadedComment ref="AJ173" dT="2025-10-21T10:23:09.34" personId="{803D42D1-F8A1-4625-BA7D-02834BDCA61B}" id="{C65F3CF5-288A-49EB-A985-B70A0A4AB80E}">
    <text>Selection data not available</text>
  </threadedComment>
  <threadedComment ref="L174" dT="2025-05-21T12:58:27.16" personId="{803D42D1-F8A1-4625-BA7D-02834BDCA61B}" id="{B0E7D9D9-26AD-4CD2-A6E0-0EEB18261CE4}">
    <text>Validated</text>
  </threadedComment>
  <threadedComment ref="AB174" dT="2025-12-23T10:50:28.01" personId="{385AE97E-DB3C-47AF-B0F4-D63AD85D52E9}" id="{08D4B18A-C1AA-4732-86F6-CD2E3B78A395}">
    <text>No joiners, no offers released, and no profiles sourced during the month of Nov’25.</text>
  </threadedComment>
  <threadedComment ref="L175" dT="2025-05-21T12:58:27.16" personId="{803D42D1-F8A1-4625-BA7D-02834BDCA61B}" id="{B0CF3F1F-B2EF-47EB-9A58-10C64ED86452}">
    <text>Validated</text>
  </threadedComment>
  <threadedComment ref="N175" dT="2025-07-23T05:34:51.29" personId="{803D42D1-F8A1-4625-BA7D-02834BDCA61B}" id="{6483B071-352B-4157-B76D-01B801E06964}">
    <text>Validated</text>
  </threadedComment>
  <threadedComment ref="P175" dT="2025-07-23T05:32:52.67" personId="{803D42D1-F8A1-4625-BA7D-02834BDCA61B}" id="{92FE8146-4BD2-44E0-A774-14367FFD0E7E}">
    <text>Validated</text>
  </threadedComment>
  <threadedComment ref="AB175" dT="2025-12-23T10:50:32.18" personId="{385AE97E-DB3C-47AF-B0F4-D63AD85D52E9}" id="{A1B008B5-A641-485E-8E69-662EEEE88BBA}">
    <text>No joiners, no offers released, and no profiles sourced during the month of Nov’25.</text>
  </threadedComment>
  <threadedComment ref="AH176" dT="2026-03-23T07:54:38.78" personId="{803D42D1-F8A1-4625-BA7D-02834BDCA61B}" id="{999AA4E4-03DF-4618-9EC9-A83931A649EC}">
    <text>Validated</text>
  </threadedComment>
  <threadedComment ref="AJ176" dT="2026-03-23T07:54:38.78" personId="{803D42D1-F8A1-4625-BA7D-02834BDCA61B}" id="{67E63634-9E8B-42AF-8EA6-6EB790C0A2CB}">
    <text>Validated</text>
  </threadedComment>
  <threadedComment ref="AH177" dT="2026-03-23T07:54:38.78" personId="{803D42D1-F8A1-4625-BA7D-02834BDCA61B}" id="{C2B70FBA-576C-41CE-A8B1-663DB2396ABB}">
    <text>Validated</text>
  </threadedComment>
  <threadedComment ref="AJ177" dT="2026-03-23T07:54:38.78" personId="{803D42D1-F8A1-4625-BA7D-02834BDCA61B}" id="{A71A3435-D68D-4D53-8C8A-6D9F03CCADC5}">
    <text>Validated</text>
  </threadedComment>
  <threadedComment ref="I178" dT="2024-05-11T05:44:49.44" personId="{385AE97E-DB3C-47AF-B0F4-D63AD85D52E9}" id="{50E07AE9-E3B2-49EA-B18C-3F29DFEC88A6}">
    <text>Approved by Ashok</text>
  </threadedComment>
  <threadedComment ref="AH178" dT="2026-03-23T07:54:38.78" personId="{803D42D1-F8A1-4625-BA7D-02834BDCA61B}" id="{246FB325-5A0B-4B3D-9211-E8449EE30D9C}">
    <text>Validated</text>
  </threadedComment>
  <threadedComment ref="AJ178" dT="2026-03-23T07:54:38.78" personId="{803D42D1-F8A1-4625-BA7D-02834BDCA61B}" id="{809D7D23-71AB-4834-B670-E6C626846A08}">
    <text>Validated</text>
  </threadedComment>
  <threadedComment ref="I179" dT="2024-05-11T05:44:55.47" personId="{385AE97E-DB3C-47AF-B0F4-D63AD85D52E9}" id="{A61C3AFE-6A76-48DA-AEF6-672C1CA3474B}">
    <text>Approved by Ashok</text>
  </threadedComment>
  <threadedComment ref="AH179" dT="2026-03-23T07:54:38.78" personId="{803D42D1-F8A1-4625-BA7D-02834BDCA61B}" id="{4A99B26E-C6C9-4A95-9354-3D7B3160F68E}">
    <text>Validated</text>
  </threadedComment>
  <threadedComment ref="AJ179" dT="2026-03-23T07:54:38.78" personId="{803D42D1-F8A1-4625-BA7D-02834BDCA61B}" id="{2158555C-D4DF-416E-A11C-3F44BEBC7F88}">
    <text>Validated</text>
  </threadedComment>
  <threadedComment ref="I180" dT="2024-05-11T05:44:58.47" personId="{385AE97E-DB3C-47AF-B0F4-D63AD85D52E9}" id="{1F1889D9-BF74-421C-9EFE-61E422AE5D1E}">
    <text>Approved by Ashok</text>
  </threadedComment>
  <threadedComment ref="AH180" dT="2026-03-23T07:54:38.78" personId="{803D42D1-F8A1-4625-BA7D-02834BDCA61B}" id="{4F00FB4E-4228-4DE7-9659-3D41DDF1DCAB}">
    <text>Validated</text>
  </threadedComment>
  <threadedComment ref="AJ180" dT="2026-03-23T07:54:38.78" personId="{803D42D1-F8A1-4625-BA7D-02834BDCA61B}" id="{E2682F74-58D9-4033-9AE2-13F0365B38EF}">
    <text>Validated</text>
  </threadedComment>
  <threadedComment ref="I181" dT="2024-05-11T05:45:01.74" personId="{385AE97E-DB3C-47AF-B0F4-D63AD85D52E9}" id="{537F7578-405D-48A9-A011-E2A264C49B39}">
    <text>Approved by Ashok</text>
  </threadedComment>
  <threadedComment ref="AH181" dT="2026-03-23T07:54:38.78" personId="{803D42D1-F8A1-4625-BA7D-02834BDCA61B}" id="{292D0B11-84D8-483E-BD97-833D1AE26AF1}">
    <text>Validated</text>
  </threadedComment>
  <threadedComment ref="AJ181" dT="2026-03-23T07:54:38.78" personId="{803D42D1-F8A1-4625-BA7D-02834BDCA61B}" id="{A8AE9688-CDFF-403F-BE7D-798E6C33E650}">
    <text>Validated</text>
  </threadedComment>
  <threadedComment ref="I182" dT="2024-05-11T05:45:04.67" personId="{385AE97E-DB3C-47AF-B0F4-D63AD85D52E9}" id="{9B3644D6-E840-46DE-B1A3-75B965B343B9}">
    <text>Approved by Ashok</text>
  </threadedComment>
  <threadedComment ref="I183" dT="2024-05-11T05:45:08.03" personId="{385AE97E-DB3C-47AF-B0F4-D63AD85D52E9}" id="{973C7651-9B77-43C6-B48F-03C7ED360718}">
    <text>Approved by Ashok</text>
  </threadedComment>
  <threadedComment ref="Z191" dT="2025-11-21T09:43:07.52" personId="{0DA7D522-9CE4-4258-8DAB-BD560F345A98}" id="{D13006ED-C82C-43A2-A494-A26E68264246}">
    <text xml:space="preserve">To be excluded as discussed with Kirti same has been discontinued </text>
  </threadedComment>
  <threadedComment ref="AA191" dT="2025-11-21T09:43:07.52" personId="{0DA7D522-9CE4-4258-8DAB-BD560F345A98}" id="{064B0E43-7BD3-4542-9CF0-4E41DE297B42}">
    <text xml:space="preserve">To be excluded as discussed with Kirti same has been discontinued </text>
  </threadedComment>
  <threadedComment ref="I198" dT="2023-05-11T07:53:02.07" personId="{0DA7D522-9CE4-4258-8DAB-BD560F345A98}" id="{209517CF-78A1-4157-996B-8573B8009AB5}">
    <text xml:space="preserve">42 Days </text>
  </threadedComment>
  <threadedComment ref="I198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199" dT="2023-12-13T12:06:42.55" personId="{ED1D359B-D851-4826-88EF-B9650B16DF7A}" id="{4CC6E86F-CAC8-401D-A641-35E00F0C014C}">
    <text xml:space="preserve">Target changed in Oct'23 from 80% to 85% </text>
  </threadedComment>
  <threadedComment ref="I200" dT="2023-12-13T12:06:49.52" personId="{ED1D359B-D851-4826-88EF-B9650B16DF7A}" id="{76166279-D559-4DB2-AEC4-9C53C04EA19E}">
    <text xml:space="preserve">Target changed in Oct'23 from 80% to 85% </text>
  </threadedComment>
  <threadedComment ref="I201" dT="2023-05-11T07:57:13.60" personId="{0DA7D522-9CE4-4258-8DAB-BD560F345A98}" id="{11959FDD-BE78-4FC6-B86F-193B56649B1E}">
    <text xml:space="preserve">60 days </text>
  </threadedComment>
  <threadedComment ref="I201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04" dT="2025-05-20T19:14:47.27" personId="{0DA7D522-9CE4-4258-8DAB-BD560F345A98}" id="{63C8EE9C-1FC6-4671-9962-B17502E9115A}">
    <text xml:space="preserve">To be Reported Quarterly </text>
  </threadedComment>
  <threadedComment ref="K204" dT="2025-05-20T19:14:47.27" personId="{0DA7D522-9CE4-4258-8DAB-BD560F345A98}" id="{4E5B633A-A23C-4F44-BA3B-E1D1F1B4A2B2}">
    <text xml:space="preserve">To be Reported Quarterly </text>
  </threadedComment>
  <threadedComment ref="L204" dT="2025-05-20T19:14:47.27" personId="{0DA7D522-9CE4-4258-8DAB-BD560F345A98}" id="{86C4B1DA-91A0-4C17-B888-38DB782F90A8}">
    <text xml:space="preserve">To be Reported Quarterly </text>
  </threadedComment>
  <threadedComment ref="M204" dT="2025-05-20T19:14:47.27" personId="{0DA7D522-9CE4-4258-8DAB-BD560F345A98}" id="{1D106E46-705A-4442-8F10-C3C4BC196E48}">
    <text xml:space="preserve">To be Reported Quarterly </text>
  </threadedComment>
  <threadedComment ref="AF204" dT="2025-05-20T19:14:47.27" personId="{0DA7D522-9CE4-4258-8DAB-BD560F345A98}" id="{48706896-B1EE-489D-9AA0-B24778C60FE3}">
    <text xml:space="preserve">To be Reported Quarterly </text>
  </threadedComment>
  <threadedComment ref="AJ204" dT="2025-05-20T19:14:47.27" personId="{0DA7D522-9CE4-4258-8DAB-BD560F345A98}" id="{7A26D4B1-6B86-4C23-B623-E1D6DDC11744}">
    <text xml:space="preserve">To be Reported Quarterly </text>
  </threadedComment>
  <threadedComment ref="I205" dT="2023-03-31T08:59:40.08" personId="{219F215A-79DA-44BC-BFFA-161BF47770CC}" id="{6EBFB5E2-B2A4-4BCE-A4DC-755863947901}">
    <text>Target to 15%</text>
  </threadedComment>
  <threadedComment ref="R212" dT="2025-08-28T13:46:17.42" personId="{ED1D359B-D851-4826-88EF-B9650B16DF7A}" id="{949203C8-ED64-4A02-A57E-59850F1D1D9B}">
    <text>don’t have any open roles and no closures at the moment everything is on hold</text>
  </threadedComment>
  <threadedComment ref="S212" dT="2025-08-28T13:46:17.42" personId="{ED1D359B-D851-4826-88EF-B9650B16DF7A}" id="{F67445A5-FAF3-48CC-86F0-53EB7A9FE383}">
    <text>don’t have any open roles and no closures at the moment everything is on hold</text>
  </threadedComment>
  <threadedComment ref="T212" dT="2025-08-28T13:46:17.42" personId="{ED1D359B-D851-4826-88EF-B9650B16DF7A}" id="{7B6C04EF-42DE-4C1A-9C14-032C4B0CC209}">
    <text>don’t have any open roles and no closures at the moment everything is on hold</text>
  </threadedComment>
  <threadedComment ref="U212" dT="2025-08-28T13:46:17.42" personId="{ED1D359B-D851-4826-88EF-B9650B16DF7A}" id="{DDA3E9DE-B756-4D85-AB5E-06CFE651D885}">
    <text>don’t have any open roles and no closures at the moment everything is on hold</text>
  </threadedComment>
  <threadedComment ref="V212" dT="2025-08-28T13:46:17.42" personId="{ED1D359B-D851-4826-88EF-B9650B16DF7A}" id="{7B8E281A-8F4E-42E0-A423-31642B66D5B4}">
    <text>don’t have any open roles and no closures at the moment everything is on hold</text>
  </threadedComment>
  <threadedComment ref="W212" dT="2025-08-28T13:46:17.42" personId="{ED1D359B-D851-4826-88EF-B9650B16DF7A}" id="{23C224EB-7C88-42ED-8C65-332E793A1A4F}">
    <text>don’t have any open roles and no closures at the moment everything is on hold</text>
  </threadedComment>
  <threadedComment ref="X212" dT="2025-08-28T13:46:17.42" personId="{ED1D359B-D851-4826-88EF-B9650B16DF7A}" id="{3D42D7AF-895B-4FF5-B23D-07CF1FB42AF7}">
    <text>don’t have any open roles and no closures at the moment everything is on hold</text>
  </threadedComment>
  <threadedComment ref="Y212" dT="2025-08-28T13:46:17.42" personId="{ED1D359B-D851-4826-88EF-B9650B16DF7A}" id="{1E8B64A4-B517-4F77-AF7F-5465F9935692}">
    <text>don’t have any open roles and no closures at the moment everything is on hold</text>
  </threadedComment>
  <threadedComment ref="Z212" dT="2025-08-28T13:46:17.42" personId="{ED1D359B-D851-4826-88EF-B9650B16DF7A}" id="{D5094DDF-BFF1-4615-9BC2-F64BAD6F4612}">
    <text>don’t have any open roles and no closures at the moment everything is on hold</text>
  </threadedComment>
  <threadedComment ref="AA212" dT="2025-08-28T13:46:17.42" personId="{ED1D359B-D851-4826-88EF-B9650B16DF7A}" id="{6C8655AF-F004-4F18-B10D-FB775B249FCF}">
    <text>don’t have any open roles and no closures at the moment everything is on hold</text>
  </threadedComment>
  <threadedComment ref="AB212" dT="2025-08-28T13:46:17.42" personId="{ED1D359B-D851-4826-88EF-B9650B16DF7A}" id="{C4671212-7E0E-4BFF-B53D-8D7312E9F031}">
    <text>don’t have any open roles and no closures at the moment everything is on hold</text>
  </threadedComment>
  <threadedComment ref="AF212" dT="2025-08-28T13:46:17.42" personId="{ED1D359B-D851-4826-88EF-B9650B16DF7A}" id="{76F3F3BA-1A37-486D-AB69-FFEDB40AEF5D}">
    <text>don’t have any open roles and no closures at the moment everything is on hold</text>
  </threadedComment>
  <threadedComment ref="AH212" dT="2025-08-28T13:46:17.42" personId="{ED1D359B-D851-4826-88EF-B9650B16DF7A}" id="{1A8E0C0F-BDE6-410F-93EC-DCE9143659CE}">
    <text>don’t have any open roles and no closures at the moment everything is on hold</text>
  </threadedComment>
  <threadedComment ref="AJ212" dT="2025-08-28T13:46:17.42" personId="{ED1D359B-D851-4826-88EF-B9650B16DF7A}" id="{F7DF2FA4-A98E-4F78-944C-97FF724DA118}">
    <text>don’t have any open roles and no closures at the moment everything is on hold</text>
  </threadedComment>
  <threadedComment ref="R213" dT="2025-08-28T13:46:17.42" personId="{ED1D359B-D851-4826-88EF-B9650B16DF7A}" id="{2B3FBEC6-F3E3-4BC2-B0F5-51EBDC497515}">
    <text>don’t have any open roles and no closures at the moment everything is on hold</text>
  </threadedComment>
  <threadedComment ref="S213" dT="2025-08-28T13:46:17.42" personId="{ED1D359B-D851-4826-88EF-B9650B16DF7A}" id="{4CE1D6FF-752D-4C71-8976-0DB7E43D22BD}">
    <text>don’t have any open roles and no closures at the moment everything is on hold</text>
  </threadedComment>
  <threadedComment ref="T213" dT="2025-08-28T13:46:17.42" personId="{ED1D359B-D851-4826-88EF-B9650B16DF7A}" id="{183C84FF-76B3-4D23-9EDD-13E0A3A72C9A}">
    <text>don’t have any open roles and no closures at the moment everything is on hold</text>
  </threadedComment>
  <threadedComment ref="U213" dT="2025-08-28T13:46:17.42" personId="{ED1D359B-D851-4826-88EF-B9650B16DF7A}" id="{4BA31AB1-B3EB-44DE-A953-A3BD53D82045}">
    <text>don’t have any open roles and no closures at the moment everything is on hold</text>
  </threadedComment>
  <threadedComment ref="V213" dT="2025-08-28T13:46:17.42" personId="{ED1D359B-D851-4826-88EF-B9650B16DF7A}" id="{0A8D6D5D-EAAA-45F6-BD0C-09A5673D5DB1}">
    <text>don’t have any open roles and no closures at the moment everything is on hold</text>
  </threadedComment>
  <threadedComment ref="W213" dT="2025-08-28T13:46:17.42" personId="{ED1D359B-D851-4826-88EF-B9650B16DF7A}" id="{EF396F0E-C9F0-4FF8-BC5C-E270B905866C}">
    <text>don’t have any open roles and no closures at the moment everything is on hold</text>
  </threadedComment>
  <threadedComment ref="X213" dT="2025-08-28T13:46:17.42" personId="{ED1D359B-D851-4826-88EF-B9650B16DF7A}" id="{33DA71C1-4A98-445F-B48C-F186722D96E3}">
    <text>don’t have any open roles and no closures at the moment everything is on hold</text>
  </threadedComment>
  <threadedComment ref="Y213" dT="2025-08-28T13:46:17.42" personId="{ED1D359B-D851-4826-88EF-B9650B16DF7A}" id="{523C3D40-B1FA-4D7C-AEF4-D93EEACD996E}">
    <text>don’t have any open roles and no closures at the moment everything is on hold</text>
  </threadedComment>
  <threadedComment ref="Z213" dT="2025-08-28T13:46:17.42" personId="{ED1D359B-D851-4826-88EF-B9650B16DF7A}" id="{5C8974AC-7D03-4DEE-A7BC-529EEDB20EAE}">
    <text>don’t have any open roles and no closures at the moment everything is on hold</text>
  </threadedComment>
  <threadedComment ref="AA213" dT="2025-08-28T13:46:17.42" personId="{ED1D359B-D851-4826-88EF-B9650B16DF7A}" id="{06B548E0-E93D-48AA-88A8-2365871494A6}">
    <text>don’t have any open roles and no closures at the moment everything is on hold</text>
  </threadedComment>
  <threadedComment ref="AB213" dT="2025-08-28T13:46:17.42" personId="{ED1D359B-D851-4826-88EF-B9650B16DF7A}" id="{2E702787-F065-4398-98FD-FC0125C102D6}">
    <text>don’t have any open roles and no closures at the moment everything is on hold</text>
  </threadedComment>
  <threadedComment ref="AF213" dT="2025-08-28T13:46:17.42" personId="{ED1D359B-D851-4826-88EF-B9650B16DF7A}" id="{20DE3601-0E84-4728-94C2-2612A2C18068}">
    <text>don’t have any open roles and no closures at the moment everything is on hold</text>
  </threadedComment>
  <threadedComment ref="AH213" dT="2025-08-28T13:46:17.42" personId="{ED1D359B-D851-4826-88EF-B9650B16DF7A}" id="{92F64D34-ECAB-4F21-AA7A-27D5FE9A932E}">
    <text>don’t have any open roles and no closures at the moment everything is on hold</text>
  </threadedComment>
  <threadedComment ref="AJ213" dT="2025-08-28T13:46:17.42" personId="{ED1D359B-D851-4826-88EF-B9650B16DF7A}" id="{2B0EC822-1E7A-4253-AB6D-E00093BE4C0B}">
    <text>don’t have any open roles and no closures at the moment everything is on hold</text>
  </threadedComment>
  <threadedComment ref="R214" dT="2025-08-28T13:46:17.42" personId="{ED1D359B-D851-4826-88EF-B9650B16DF7A}" id="{8A18BF28-D0C9-4E20-8AF5-379A36078DD5}">
    <text>don’t have any open roles and no closures at the moment everything is on hold</text>
  </threadedComment>
  <threadedComment ref="S214" dT="2025-08-28T13:46:17.42" personId="{ED1D359B-D851-4826-88EF-B9650B16DF7A}" id="{3126D54A-AB29-4CA2-9BEC-F1085E6D8028}">
    <text>don’t have any open roles and no closures at the moment everything is on hold</text>
  </threadedComment>
  <threadedComment ref="T214" dT="2025-08-28T13:46:17.42" personId="{ED1D359B-D851-4826-88EF-B9650B16DF7A}" id="{BF5C1769-5C85-498E-9583-D9D297EDF849}">
    <text>don’t have any open roles and no closures at the moment everything is on hold</text>
  </threadedComment>
  <threadedComment ref="U214" dT="2025-08-28T13:46:17.42" personId="{ED1D359B-D851-4826-88EF-B9650B16DF7A}" id="{4A06F9F6-ACBA-422D-B781-3417D441B0F5}">
    <text>don’t have any open roles and no closures at the moment everything is on hold</text>
  </threadedComment>
  <threadedComment ref="V214" dT="2025-08-28T13:46:17.42" personId="{ED1D359B-D851-4826-88EF-B9650B16DF7A}" id="{BC37F9E0-C7FD-4996-BD79-7FE5C7BF4258}">
    <text>don’t have any open roles and no closures at the moment everything is on hold</text>
  </threadedComment>
  <threadedComment ref="W214" dT="2025-08-28T13:46:17.42" personId="{ED1D359B-D851-4826-88EF-B9650B16DF7A}" id="{1D10E6D2-779B-4E97-BD6C-6EE968C752E5}">
    <text>don’t have any open roles and no closures at the moment everything is on hold</text>
  </threadedComment>
  <threadedComment ref="X214" dT="2025-08-28T13:46:17.42" personId="{ED1D359B-D851-4826-88EF-B9650B16DF7A}" id="{FE206AD5-AF95-41C4-82B4-5CDAF95B71E7}">
    <text>don’t have any open roles and no closures at the moment everything is on hold</text>
  </threadedComment>
  <threadedComment ref="Y214" dT="2025-08-28T13:46:17.42" personId="{ED1D359B-D851-4826-88EF-B9650B16DF7A}" id="{4EF7DBE7-3CDC-4609-9510-AD90D6809A54}">
    <text>don’t have any open roles and no closures at the moment everything is on hold</text>
  </threadedComment>
  <threadedComment ref="Z214" dT="2025-08-28T13:46:17.42" personId="{ED1D359B-D851-4826-88EF-B9650B16DF7A}" id="{809D89DB-9F05-484D-981F-A5BB1CE6CD7E}">
    <text>don’t have any open roles and no closures at the moment everything is on hold</text>
  </threadedComment>
  <threadedComment ref="AA214" dT="2025-08-28T13:46:17.42" personId="{ED1D359B-D851-4826-88EF-B9650B16DF7A}" id="{6312B8E2-CA4D-4339-B970-485071B907BF}">
    <text>don’t have any open roles and no closures at the moment everything is on hold</text>
  </threadedComment>
  <threadedComment ref="AB214" dT="2025-08-28T13:46:17.42" personId="{ED1D359B-D851-4826-88EF-B9650B16DF7A}" id="{792FA950-ADE3-49F2-95D9-E4184F5CEC40}">
    <text>don’t have any open roles and no closures at the moment everything is on hold</text>
  </threadedComment>
  <threadedComment ref="AF214" dT="2025-08-28T13:46:17.42" personId="{ED1D359B-D851-4826-88EF-B9650B16DF7A}" id="{095CFFF6-1204-438C-BC36-1A04FE8E0051}">
    <text>don’t have any open roles and no closures at the moment everything is on hold</text>
  </threadedComment>
  <threadedComment ref="AH214" dT="2025-08-28T13:46:17.42" personId="{ED1D359B-D851-4826-88EF-B9650B16DF7A}" id="{AEA82161-A5C8-4BD2-BDB3-1F9A88A50431}">
    <text>don’t have any open roles and no closures at the moment everything is on hold</text>
  </threadedComment>
  <threadedComment ref="AJ214" dT="2025-08-28T13:46:17.42" personId="{ED1D359B-D851-4826-88EF-B9650B16DF7A}" id="{11012A41-5FC0-4C7B-BBC0-A700C2D1CB1B}">
    <text>don’t have any open roles and no closures at the moment everything is on hold</text>
  </threadedComment>
  <threadedComment ref="R215" dT="2025-08-28T13:46:17.42" personId="{ED1D359B-D851-4826-88EF-B9650B16DF7A}" id="{9C7885AF-E8A5-49A9-8BF8-566020F9A59F}">
    <text>don’t have any open roles and no closures at the moment everything is on hold</text>
  </threadedComment>
  <threadedComment ref="S215" dT="2025-08-28T13:46:17.42" personId="{ED1D359B-D851-4826-88EF-B9650B16DF7A}" id="{47D57A82-5B44-451A-9FB7-4946AA760F80}">
    <text>don’t have any open roles and no closures at the moment everything is on hold</text>
  </threadedComment>
  <threadedComment ref="T215" dT="2025-08-28T13:46:17.42" personId="{ED1D359B-D851-4826-88EF-B9650B16DF7A}" id="{BD1F9E19-41E3-4063-81CC-1659B321034B}">
    <text>don’t have any open roles and no closures at the moment everything is on hold</text>
  </threadedComment>
  <threadedComment ref="U215" dT="2025-08-28T13:46:17.42" personId="{ED1D359B-D851-4826-88EF-B9650B16DF7A}" id="{994BB3B1-B9A9-4681-95A7-D81B3DFB9AAF}">
    <text>don’t have any open roles and no closures at the moment everything is on hold</text>
  </threadedComment>
  <threadedComment ref="V215" dT="2025-08-28T13:46:17.42" personId="{ED1D359B-D851-4826-88EF-B9650B16DF7A}" id="{8CCD13D1-8AB8-43BF-8A34-84CBD705DAC3}">
    <text>don’t have any open roles and no closures at the moment everything is on hold</text>
  </threadedComment>
  <threadedComment ref="W215" dT="2025-08-28T13:46:17.42" personId="{ED1D359B-D851-4826-88EF-B9650B16DF7A}" id="{0E1FFCB0-5D27-4418-953E-0B389B33ACC5}">
    <text>don’t have any open roles and no closures at the moment everything is on hold</text>
  </threadedComment>
  <threadedComment ref="X215" dT="2025-08-28T13:46:17.42" personId="{ED1D359B-D851-4826-88EF-B9650B16DF7A}" id="{82DA3F71-E092-46D5-BCA4-82D1A82CF22E}">
    <text>don’t have any open roles and no closures at the moment everything is on hold</text>
  </threadedComment>
  <threadedComment ref="Y215" dT="2025-08-28T13:46:17.42" personId="{ED1D359B-D851-4826-88EF-B9650B16DF7A}" id="{DCD7249E-6B3A-48CA-8A61-89FC5A7E70DA}">
    <text>don’t have any open roles and no closures at the moment everything is on hold</text>
  </threadedComment>
  <threadedComment ref="Z215" dT="2025-08-28T13:46:17.42" personId="{ED1D359B-D851-4826-88EF-B9650B16DF7A}" id="{30AFB34C-E6BD-4C25-9FA4-8D5CE302BBA2}">
    <text>don’t have any open roles and no closures at the moment everything is on hold</text>
  </threadedComment>
  <threadedComment ref="AA215" dT="2025-08-28T13:46:17.42" personId="{ED1D359B-D851-4826-88EF-B9650B16DF7A}" id="{1529D190-A18D-4197-B704-4FDD4EE64E6A}">
    <text>don’t have any open roles and no closures at the moment everything is on hold</text>
  </threadedComment>
  <threadedComment ref="AB215" dT="2025-08-28T13:46:17.42" personId="{ED1D359B-D851-4826-88EF-B9650B16DF7A}" id="{EFE72FDB-879B-40F2-A07C-E8CE252AC3E3}">
    <text>don’t have any open roles and no closures at the moment everything is on hold</text>
  </threadedComment>
  <threadedComment ref="AF215" dT="2025-08-28T13:46:17.42" personId="{ED1D359B-D851-4826-88EF-B9650B16DF7A}" id="{11DE3AE9-2E2F-4CEE-97E1-76A7D0EFF16F}">
    <text>don’t have any open roles and no closures at the moment everything is on hold</text>
  </threadedComment>
  <threadedComment ref="AH215" dT="2025-08-28T13:46:17.42" personId="{ED1D359B-D851-4826-88EF-B9650B16DF7A}" id="{53963812-095B-4898-BC2B-39F790B3C186}">
    <text>don’t have any open roles and no closures at the moment everything is on hold</text>
  </threadedComment>
  <threadedComment ref="AJ215" dT="2025-08-28T13:46:17.42" personId="{ED1D359B-D851-4826-88EF-B9650B16DF7A}" id="{12293EAE-9E71-4AED-BCAD-967E0660E192}">
    <text>don’t have any open roles and no closures at the moment everything is on hold</text>
  </threadedComment>
  <threadedComment ref="R216" dT="2025-08-28T13:46:17.42" personId="{ED1D359B-D851-4826-88EF-B9650B16DF7A}" id="{80369311-94B2-47D8-B210-0E242C8EAF8D}">
    <text>don’t have any open roles and no closures at the moment everything is on hold</text>
  </threadedComment>
  <threadedComment ref="S216" dT="2025-08-28T13:46:17.42" personId="{ED1D359B-D851-4826-88EF-B9650B16DF7A}" id="{57DC3A69-2870-412D-8361-7964B20722CF}">
    <text>don’t have any open roles and no closures at the moment everything is on hold</text>
  </threadedComment>
  <threadedComment ref="T216" dT="2025-08-28T13:46:17.42" personId="{ED1D359B-D851-4826-88EF-B9650B16DF7A}" id="{34DB3342-46E0-4841-B28F-DF1D79B677C0}">
    <text>don’t have any open roles and no closures at the moment everything is on hold</text>
  </threadedComment>
  <threadedComment ref="U216" dT="2025-08-28T13:46:17.42" personId="{ED1D359B-D851-4826-88EF-B9650B16DF7A}" id="{1DFFBC57-E698-44D3-8AA7-1A85100B67E9}">
    <text>don’t have any open roles and no closures at the moment everything is on hold</text>
  </threadedComment>
  <threadedComment ref="V216" dT="2025-08-28T13:46:17.42" personId="{ED1D359B-D851-4826-88EF-B9650B16DF7A}" id="{40504972-AEB2-4E50-90FB-0FB2307ADCC4}">
    <text>don’t have any open roles and no closures at the moment everything is on hold</text>
  </threadedComment>
  <threadedComment ref="W216" dT="2025-08-28T13:46:17.42" personId="{ED1D359B-D851-4826-88EF-B9650B16DF7A}" id="{26ACB037-F4A9-44DD-9694-4CF65F0DEF79}">
    <text>don’t have any open roles and no closures at the moment everything is on hold</text>
  </threadedComment>
  <threadedComment ref="X216" dT="2025-08-28T13:46:17.42" personId="{ED1D359B-D851-4826-88EF-B9650B16DF7A}" id="{48CB764C-4ED5-4181-B9E1-ACAC04BD00E9}">
    <text>don’t have any open roles and no closures at the moment everything is on hold</text>
  </threadedComment>
  <threadedComment ref="Y216" dT="2025-08-28T13:46:17.42" personId="{ED1D359B-D851-4826-88EF-B9650B16DF7A}" id="{495F9A49-0F3E-401F-83FA-7A7B1AE73EBE}">
    <text>don’t have any open roles and no closures at the moment everything is on hold</text>
  </threadedComment>
  <threadedComment ref="Z216" dT="2025-08-28T13:46:17.42" personId="{ED1D359B-D851-4826-88EF-B9650B16DF7A}" id="{E79BBA12-18D3-48F2-9C76-60797D1F2010}">
    <text>don’t have any open roles and no closures at the moment everything is on hold</text>
  </threadedComment>
  <threadedComment ref="AA216" dT="2025-08-28T13:46:17.42" personId="{ED1D359B-D851-4826-88EF-B9650B16DF7A}" id="{D9E1C3C3-2904-4A60-9189-21B69F798CE7}">
    <text>don’t have any open roles and no closures at the moment everything is on hold</text>
  </threadedComment>
  <threadedComment ref="AB216" dT="2025-08-28T13:46:17.42" personId="{ED1D359B-D851-4826-88EF-B9650B16DF7A}" id="{DBB48B00-ED47-4508-9BDD-99E84C851769}">
    <text>don’t have any open roles and no closures at the moment everything is on hold</text>
  </threadedComment>
  <threadedComment ref="AF216" dT="2025-08-28T13:46:17.42" personId="{ED1D359B-D851-4826-88EF-B9650B16DF7A}" id="{13D7664F-778E-4DE2-B96F-3AA407BF7607}">
    <text>don’t have any open roles and no closures at the moment everything is on hold</text>
  </threadedComment>
  <threadedComment ref="AH216" dT="2025-08-28T13:46:17.42" personId="{ED1D359B-D851-4826-88EF-B9650B16DF7A}" id="{7FCB15FD-0A9B-48DD-810D-BF6E6BD0422F}">
    <text>don’t have any open roles and no closures at the moment everything is on hold</text>
  </threadedComment>
  <threadedComment ref="AJ216" dT="2025-08-28T13:46:17.42" personId="{ED1D359B-D851-4826-88EF-B9650B16DF7A}" id="{1ADA637E-9129-4293-889C-E4552C0422C2}">
    <text>don’t have any open roles and no closures at the moment everything is on hold</text>
  </threadedComment>
  <threadedComment ref="R217" dT="2025-08-28T13:46:17.42" personId="{ED1D359B-D851-4826-88EF-B9650B16DF7A}" id="{A76D8369-63BB-41BC-9B69-2FE92B3DC867}">
    <text>don’t have any open roles and no closures at the moment everything is on hold</text>
  </threadedComment>
  <threadedComment ref="S217" dT="2025-08-28T13:46:17.42" personId="{ED1D359B-D851-4826-88EF-B9650B16DF7A}" id="{0EAE944C-DA45-4B08-9DE9-5A30E57840A3}">
    <text>don’t have any open roles and no closures at the moment everything is on hold</text>
  </threadedComment>
  <threadedComment ref="T217" dT="2025-08-28T13:46:17.42" personId="{ED1D359B-D851-4826-88EF-B9650B16DF7A}" id="{CDC73DCF-F059-48C2-8DAC-6AD3F1133D8D}">
    <text>don’t have any open roles and no closures at the moment everything is on hold</text>
  </threadedComment>
  <threadedComment ref="U217" dT="2025-08-28T13:46:17.42" personId="{ED1D359B-D851-4826-88EF-B9650B16DF7A}" id="{AC7DD4FE-27FB-4390-8EE2-8F6AC0FC0091}">
    <text>don’t have any open roles and no closures at the moment everything is on hold</text>
  </threadedComment>
  <threadedComment ref="V217" dT="2025-08-28T13:46:17.42" personId="{ED1D359B-D851-4826-88EF-B9650B16DF7A}" id="{AACDF24F-1634-45F0-B7B9-D8BBC6CCF36F}">
    <text>don’t have any open roles and no closures at the moment everything is on hold</text>
  </threadedComment>
  <threadedComment ref="W217" dT="2025-08-28T13:46:17.42" personId="{ED1D359B-D851-4826-88EF-B9650B16DF7A}" id="{57565792-5B24-47A0-9B87-719A1A9E3752}">
    <text>don’t have any open roles and no closures at the moment everything is on hold</text>
  </threadedComment>
  <threadedComment ref="X217" dT="2025-08-28T13:46:17.42" personId="{ED1D359B-D851-4826-88EF-B9650B16DF7A}" id="{9EEE4916-AB77-4801-BF5B-EBC866C65AA3}">
    <text>don’t have any open roles and no closures at the moment everything is on hold</text>
  </threadedComment>
  <threadedComment ref="Y217" dT="2025-08-28T13:46:17.42" personId="{ED1D359B-D851-4826-88EF-B9650B16DF7A}" id="{31EEA7E1-A6D9-4228-9026-7B0C88AB63D1}">
    <text>don’t have any open roles and no closures at the moment everything is on hold</text>
  </threadedComment>
  <threadedComment ref="Z217" dT="2025-08-28T13:46:17.42" personId="{ED1D359B-D851-4826-88EF-B9650B16DF7A}" id="{9073F364-77BE-474D-B6BC-8955656BD7ED}">
    <text>don’t have any open roles and no closures at the moment everything is on hold</text>
  </threadedComment>
  <threadedComment ref="AA217" dT="2025-08-28T13:46:17.42" personId="{ED1D359B-D851-4826-88EF-B9650B16DF7A}" id="{3ED8CC6B-EF74-450E-AD09-C927BE9FDDF7}">
    <text>don’t have any open roles and no closures at the moment everything is on hold</text>
  </threadedComment>
  <threadedComment ref="AB217" dT="2025-08-28T13:46:17.42" personId="{ED1D359B-D851-4826-88EF-B9650B16DF7A}" id="{BEDD8E24-E5EA-4517-9E71-5E6BFB638542}">
    <text>don’t have any open roles and no closures at the moment everything is on hold</text>
  </threadedComment>
  <threadedComment ref="AF217" dT="2025-08-28T13:46:17.42" personId="{ED1D359B-D851-4826-88EF-B9650B16DF7A}" id="{FF328F5C-412A-4BC6-BD64-EE30C2C71E51}">
    <text>don’t have any open roles and no closures at the moment everything is on hold</text>
  </threadedComment>
  <threadedComment ref="AH217" dT="2025-08-28T13:46:17.42" personId="{ED1D359B-D851-4826-88EF-B9650B16DF7A}" id="{7B330927-92F6-475B-8AFC-08FAA432DFC4}">
    <text>don’t have any open roles and no closures at the moment everything is on hold</text>
  </threadedComment>
  <threadedComment ref="AJ217" dT="2025-08-28T13:46:17.42" personId="{ED1D359B-D851-4826-88EF-B9650B16DF7A}" id="{EAEDC70E-EA55-4553-8AB1-F6E771C44E78}">
    <text>don’t have any open roles and no closures at the moment everything is on hold</text>
  </threadedComment>
  <threadedComment ref="R218" dT="2025-08-28T13:46:17.42" personId="{ED1D359B-D851-4826-88EF-B9650B16DF7A}" id="{3861C1CB-891D-4B1A-94A3-5FD059C077B6}">
    <text>don’t have any open roles and no closures at the moment everything is on hold</text>
  </threadedComment>
  <threadedComment ref="S218" dT="2025-08-28T13:46:17.42" personId="{ED1D359B-D851-4826-88EF-B9650B16DF7A}" id="{F5DF0A46-1504-4CF2-BB7C-7828D3B45965}">
    <text>don’t have any open roles and no closures at the moment everything is on hold</text>
  </threadedComment>
  <threadedComment ref="T218" dT="2025-08-28T13:46:17.42" personId="{ED1D359B-D851-4826-88EF-B9650B16DF7A}" id="{E229C7D0-4F42-4D06-B1BA-48EB33F1EA85}">
    <text>don’t have any open roles and no closures at the moment everything is on hold</text>
  </threadedComment>
  <threadedComment ref="U218" dT="2025-08-28T13:46:17.42" personId="{ED1D359B-D851-4826-88EF-B9650B16DF7A}" id="{03D859B5-E9CD-44D3-9725-E5D5C8C747F1}">
    <text>don’t have any open roles and no closures at the moment everything is on hold</text>
  </threadedComment>
  <threadedComment ref="V218" dT="2025-08-28T13:46:17.42" personId="{ED1D359B-D851-4826-88EF-B9650B16DF7A}" id="{F9579B30-F5BB-4161-9783-6C6F9AA8465C}">
    <text>don’t have any open roles and no closures at the moment everything is on hold</text>
  </threadedComment>
  <threadedComment ref="W218" dT="2025-08-28T13:46:17.42" personId="{ED1D359B-D851-4826-88EF-B9650B16DF7A}" id="{E50109E0-8132-4761-B9C9-EB3FD2C08D3F}">
    <text>don’t have any open roles and no closures at the moment everything is on hold</text>
  </threadedComment>
  <threadedComment ref="X218" dT="2025-08-28T13:46:17.42" personId="{ED1D359B-D851-4826-88EF-B9650B16DF7A}" id="{065C2D9C-3973-4AD6-9B37-633C74D77CF0}">
    <text>don’t have any open roles and no closures at the moment everything is on hold</text>
  </threadedComment>
  <threadedComment ref="Y218" dT="2025-08-28T13:46:17.42" personId="{ED1D359B-D851-4826-88EF-B9650B16DF7A}" id="{32AAFD9C-D0E9-4118-AF21-A5B067BF9830}">
    <text>don’t have any open roles and no closures at the moment everything is on hold</text>
  </threadedComment>
  <threadedComment ref="Z218" dT="2025-08-28T13:46:17.42" personId="{ED1D359B-D851-4826-88EF-B9650B16DF7A}" id="{4D59B4AA-01F8-43B4-826D-F0AE0E36BF55}">
    <text>don’t have any open roles and no closures at the moment everything is on hold</text>
  </threadedComment>
  <threadedComment ref="AA218" dT="2025-08-28T13:46:17.42" personId="{ED1D359B-D851-4826-88EF-B9650B16DF7A}" id="{F440C3CD-3689-4924-B01F-2FFA26111F19}">
    <text>don’t have any open roles and no closures at the moment everything is on hold</text>
  </threadedComment>
  <threadedComment ref="AB218" dT="2025-08-28T13:46:17.42" personId="{ED1D359B-D851-4826-88EF-B9650B16DF7A}" id="{62C5123D-EE5A-479E-97F4-B9BD4E54C8A6}">
    <text>don’t have any open roles and no closures at the moment everything is on hold</text>
  </threadedComment>
  <threadedComment ref="AF218" dT="2025-08-28T13:46:17.42" personId="{ED1D359B-D851-4826-88EF-B9650B16DF7A}" id="{A6AB81DB-D34A-4220-BE4B-10E87FCC7397}">
    <text>don’t have any open roles and no closures at the moment everything is on hold</text>
  </threadedComment>
  <threadedComment ref="AH218" dT="2025-08-28T13:46:17.42" personId="{ED1D359B-D851-4826-88EF-B9650B16DF7A}" id="{8C220044-A9A4-48FA-931C-8BB0BDA330A3}">
    <text>don’t have any open roles and no closures at the moment everything is on hold</text>
  </threadedComment>
  <threadedComment ref="AJ218" dT="2025-08-28T13:46:17.42" personId="{ED1D359B-D851-4826-88EF-B9650B16DF7A}" id="{6E0A653B-0C2D-432F-A4FB-6BB2F3D310DA}">
    <text>don’t have any open roles and no closures at the moment everything is on hold</text>
  </threadedComment>
  <threadedComment ref="Z233" dT="2025-11-21T08:38:40.01" personId="{0DA7D522-9CE4-4258-8DAB-BD560F345A98}" id="{00DDC7CB-7542-44BA-9731-B0B47B0E0B21}">
    <text xml:space="preserve">To be reported Quarterly </text>
  </threadedComment>
  <threadedComment ref="AA233" dT="2025-11-21T08:38:40.01" personId="{0DA7D522-9CE4-4258-8DAB-BD560F345A98}" id="{283A7720-8A79-49A1-8E7D-700A913E1E23}">
    <text xml:space="preserve">To be reported Quarterly </text>
  </threadedComment>
  <threadedComment ref="AB233" dT="2025-11-21T08:38:40.01" personId="{0DA7D522-9CE4-4258-8DAB-BD560F345A98}" id="{782FFE2F-8D88-4739-8E9A-E41CF430FB7D}">
    <text xml:space="preserve">To be reported Quarterly </text>
  </threadedComment>
  <threadedComment ref="V248" dT="2025-10-21T10:33:18.74" personId="{803D42D1-F8A1-4625-BA7D-02834BDCA61B}" id="{4E3C41F6-ABD4-4A7D-A5BE-A01EFDA12059}">
    <text>Position Freeze</text>
  </threadedComment>
  <threadedComment ref="W248" dT="2025-10-21T10:33:33.85" personId="{803D42D1-F8A1-4625-BA7D-02834BDCA61B}" id="{5DB03B83-B57B-465F-813D-4C4801EE8991}">
    <text>Position Freeze</text>
  </threadedComment>
  <threadedComment ref="V249" dT="2025-10-21T10:33:18.74" personId="{803D42D1-F8A1-4625-BA7D-02834BDCA61B}" id="{D7E55968-8259-4640-9388-8F8B0F60F60B}">
    <text>Position Freeze</text>
  </threadedComment>
  <threadedComment ref="W249" dT="2025-10-21T10:33:33.85" personId="{803D42D1-F8A1-4625-BA7D-02834BDCA61B}" id="{8FC78122-5A71-4B70-83D3-307EA788EF9A}">
    <text>Position Freeze</text>
  </threadedComment>
  <threadedComment ref="V250" dT="2025-10-21T10:33:18.74" personId="{803D42D1-F8A1-4625-BA7D-02834BDCA61B}" id="{02B5D443-32CA-4D3E-A751-1D457C0E56EE}">
    <text>Position Freeze</text>
  </threadedComment>
  <threadedComment ref="W250" dT="2025-10-21T10:33:33.85" personId="{803D42D1-F8A1-4625-BA7D-02834BDCA61B}" id="{6F5CDBF3-F153-4A07-9D01-CF3AE69E0F0A}">
    <text>Position Freeze</text>
  </threadedComment>
  <threadedComment ref="V251" dT="2025-10-21T10:33:18.74" personId="{803D42D1-F8A1-4625-BA7D-02834BDCA61B}" id="{514B2F64-6978-41CF-9713-5C362739A69F}">
    <text>Position Freeze</text>
  </threadedComment>
  <threadedComment ref="W251" dT="2025-10-21T10:33:33.85" personId="{803D42D1-F8A1-4625-BA7D-02834BDCA61B}" id="{226DB8A3-EF8E-4C99-8B4C-A840C248133F}">
    <text>Position Freeze</text>
  </threadedComment>
  <threadedComment ref="V252" dT="2025-10-21T10:33:18.74" personId="{803D42D1-F8A1-4625-BA7D-02834BDCA61B}" id="{89DDA2B1-8B71-4B28-BC6D-01902E0B2EB0}">
    <text>Position Freeze</text>
  </threadedComment>
  <threadedComment ref="W252" dT="2025-10-21T10:33:33.85" personId="{803D42D1-F8A1-4625-BA7D-02834BDCA61B}" id="{E1041BFA-79FE-47BD-92AC-925A8292714E}">
    <text>Position Freeze</text>
  </threadedComment>
  <threadedComment ref="V253" dT="2025-10-21T10:33:18.74" personId="{803D42D1-F8A1-4625-BA7D-02834BDCA61B}" id="{4114CEBD-5085-4DCC-A658-D737824A5B54}">
    <text>Position Freeze</text>
  </threadedComment>
  <threadedComment ref="W253" dT="2025-10-21T10:33:33.85" personId="{803D42D1-F8A1-4625-BA7D-02834BDCA61B}" id="{143F0FFE-C359-4A82-B7DB-AD73FE5ED93C}">
    <text>Position Freeze</text>
  </threadedComment>
  <threadedComment ref="V254" dT="2025-10-21T10:33:18.74" personId="{803D42D1-F8A1-4625-BA7D-02834BDCA61B}" id="{5BF74B0A-7476-4449-B345-483EE16501C4}">
    <text>Position Freeze</text>
  </threadedComment>
  <threadedComment ref="W254" dT="2025-10-21T10:33:33.85" personId="{803D42D1-F8A1-4625-BA7D-02834BDCA61B}" id="{1EB3BE16-2428-4208-8F8F-76E8E39F3179}">
    <text>Position Freeze</text>
  </threadedComment>
  <threadedComment ref="V255" dT="2025-10-21T10:33:18.74" personId="{803D42D1-F8A1-4625-BA7D-02834BDCA61B}" id="{107CE7A7-63F3-457D-BC94-0AB1FDCAFE2C}">
    <text>Position Freeze</text>
  </threadedComment>
  <threadedComment ref="W255" dT="2025-10-21T10:33:33.85" personId="{803D42D1-F8A1-4625-BA7D-02834BDCA61B}" id="{DE9445FC-7942-4C7C-84D2-341CEF565F54}">
    <text>Position Freeze</text>
  </threadedComment>
  <threadedComment ref="L256" dT="2025-06-24T10:20:10.29" personId="{803D42D1-F8A1-4625-BA7D-02834BDCA61B}" id="{4B04B840-CD24-40BB-88C1-9D5B51956BF5}">
    <text>Validated</text>
  </threadedComment>
  <threadedComment ref="N256" dT="2025-07-23T05:26:43.11" personId="{803D42D1-F8A1-4625-BA7D-02834BDCA61B}" id="{849AD661-1CCE-4BA8-B71E-C301B70A0D0E}">
    <text>Validated</text>
  </threadedComment>
  <threadedComment ref="P256" dT="2025-07-23T05:26:43.11" personId="{803D42D1-F8A1-4625-BA7D-02834BDCA61B}" id="{9B13E473-4059-40FB-87B5-C589A7001B57}">
    <text>Validated</text>
  </threadedComment>
  <threadedComment ref="V256" dT="2025-10-21T10:33:18.74" personId="{803D42D1-F8A1-4625-BA7D-02834BDCA61B}" id="{C4705F04-4870-4B43-B101-B3FDAAB523C8}">
    <text>Position Freeze</text>
  </threadedComment>
  <threadedComment ref="W256" dT="2025-10-21T10:33:33.85" personId="{803D42D1-F8A1-4625-BA7D-02834BDCA61B}" id="{F4057F83-216D-46CF-B7E5-4F5D617617DD}">
    <text>Position Freeze</text>
  </threadedComment>
  <threadedComment ref="Z256" dT="2025-11-24T11:34:18.28" personId="{803D42D1-F8A1-4625-BA7D-02834BDCA61B}" id="{079F4988-EBBD-4D51-83B8-2FB330439C3B}">
    <text>Validated</text>
  </threadedComment>
  <threadedComment ref="AB256" dT="2025-12-23T11:13:42.17" personId="{385AE97E-DB3C-47AF-B0F4-D63AD85D52E9}" id="{DE4C002F-1433-40C8-8C95-1B976E8ECC7B}">
    <text>Cannot validate due to incomplete base file</text>
  </threadedComment>
  <threadedComment ref="AJ256" dT="2025-11-24T11:34:26.81" personId="{803D42D1-F8A1-4625-BA7D-02834BDCA61B}" id="{F04D0D89-98C6-4048-BA56-CC152405FC89}">
    <text>Validated</text>
  </threadedComment>
  <threadedComment ref="N257" dT="2025-07-23T05:26:43.11" personId="{803D42D1-F8A1-4625-BA7D-02834BDCA61B}" id="{8F8378A8-04AB-4E15-8823-83AA616C67EB}">
    <text>Validated</text>
  </threadedComment>
  <threadedComment ref="P257" dT="2025-07-23T05:26:43.11" personId="{803D42D1-F8A1-4625-BA7D-02834BDCA61B}" id="{866D4E31-66B2-401D-B014-4E0A220781EC}">
    <text>Validated</text>
  </threadedComment>
  <threadedComment ref="V257" dT="2025-10-21T10:33:18.74" personId="{803D42D1-F8A1-4625-BA7D-02834BDCA61B}" id="{22E98BAB-4DF3-4B0B-96B0-A2799A41BCBB}">
    <text>Position Freeze</text>
  </threadedComment>
  <threadedComment ref="W257" dT="2025-10-21T10:33:33.85" personId="{803D42D1-F8A1-4625-BA7D-02834BDCA61B}" id="{3896EC51-8F69-45B1-9F0B-E390C9F65C86}">
    <text>Position Freeze</text>
  </threadedComment>
  <threadedComment ref="Z257" dT="2025-11-24T11:29:23.29" personId="{803D42D1-F8A1-4625-BA7D-02834BDCA61B}" id="{4492FCD7-F893-497A-BD71-B7E7CB4EBE45}">
    <text>Validated</text>
  </threadedComment>
  <threadedComment ref="AB257" dT="2025-12-23T11:13:52.58" personId="{385AE97E-DB3C-47AF-B0F4-D63AD85D52E9}" id="{EDFDEC14-5B33-4730-8D94-8AECD80E13A4}">
    <text>Cannot validate due to incomplete base file</text>
  </threadedComment>
  <threadedComment ref="AJ257" dT="2025-11-24T11:29:32.61" personId="{803D42D1-F8A1-4625-BA7D-02834BDCA61B}" id="{6A51A96C-D6AD-4897-B6CB-0E7CA2AD9803}">
    <text>Validated</text>
  </threadedComment>
  <threadedComment ref="V258" dT="2025-10-21T10:33:18.74" personId="{803D42D1-F8A1-4625-BA7D-02834BDCA61B}" id="{72601231-5F8D-4BCA-990F-9EC197CDF3CF}">
    <text>Position Freeze</text>
  </threadedComment>
  <threadedComment ref="W258" dT="2025-10-21T10:33:33.85" personId="{803D42D1-F8A1-4625-BA7D-02834BDCA61B}" id="{40C7106C-6FE1-4B6D-B94A-99E34CD9F268}">
    <text>Position Freeze</text>
  </threadedComment>
  <threadedComment ref="V259" dT="2025-10-21T10:33:18.74" personId="{803D42D1-F8A1-4625-BA7D-02834BDCA61B}" id="{B56F153C-3CDB-4CD6-8DAA-3ACEC2ABA1FD}">
    <text>Position Freeze</text>
  </threadedComment>
  <threadedComment ref="W259" dT="2025-10-21T10:33:33.85" personId="{803D42D1-F8A1-4625-BA7D-02834BDCA61B}" id="{F2E973C0-CA70-4577-849E-2BFB0C1EC86F}">
    <text>Position Freeze</text>
  </threadedComment>
  <threadedComment ref="V260" dT="2025-10-21T10:33:18.74" personId="{803D42D1-F8A1-4625-BA7D-02834BDCA61B}" id="{1F3A1222-67BD-49FB-B725-1D48EF42AFC4}">
    <text>Position Freeze</text>
  </threadedComment>
  <threadedComment ref="W260" dT="2025-10-21T10:33:33.85" personId="{803D42D1-F8A1-4625-BA7D-02834BDCA61B}" id="{90FB5A42-1401-4B49-B349-1C773A964E3C}">
    <text>Position Freeze</text>
  </threadedComment>
  <threadedComment ref="T261" dT="2025-09-29T10:28:05.88" personId="{803D42D1-F8A1-4625-BA7D-02834BDCA61B}" id="{36AE8365-A329-43E6-81BC-D746EC0FEB47}">
    <text>Validated</text>
  </threadedComment>
  <threadedComment ref="V261" dT="2025-10-21T10:33:18.74" personId="{803D42D1-F8A1-4625-BA7D-02834BDCA61B}" id="{5BA17211-F1A3-4716-ACD9-0E20B6E4F5B6}">
    <text>Position Freeze</text>
  </threadedComment>
  <threadedComment ref="W261" dT="2025-10-21T10:33:33.85" personId="{803D42D1-F8A1-4625-BA7D-02834BDCA61B}" id="{AEC033AD-76E9-4FC0-9AC2-0FA695511C08}">
    <text>Position Freeze</text>
  </threadedComment>
  <threadedComment ref="T262" dT="2025-09-29T10:28:05.88" personId="{803D42D1-F8A1-4625-BA7D-02834BDCA61B}" id="{96CC87F7-1BD9-4D09-80AF-5FBF07D8B1CC}">
    <text>Validated</text>
  </threadedComment>
  <threadedComment ref="V262" dT="2025-10-21T10:33:18.74" personId="{803D42D1-F8A1-4625-BA7D-02834BDCA61B}" id="{8BBE465B-8D23-4FBE-A6B8-AEB8F8CB9AA6}">
    <text>Position Freeze</text>
  </threadedComment>
  <threadedComment ref="W262" dT="2025-10-21T10:33:33.85" personId="{803D42D1-F8A1-4625-BA7D-02834BDCA61B}" id="{89D4C3F2-26B2-4E75-9FDC-A86FF3819D56}">
    <text>Position Freeze</text>
  </threadedComment>
  <threadedComment ref="T263" dT="2025-09-29T10:28:05.88" personId="{803D42D1-F8A1-4625-BA7D-02834BDCA61B}" id="{325316A1-4F4F-44DB-9777-A0FF2122A9DB}">
    <text>Validated</text>
  </threadedComment>
  <threadedComment ref="V263" dT="2025-10-21T10:33:18.74" personId="{803D42D1-F8A1-4625-BA7D-02834BDCA61B}" id="{4CE755B5-C4D6-47F0-A3C4-8BBC09FA6DA2}">
    <text>Position Freeze</text>
  </threadedComment>
  <threadedComment ref="W263" dT="2025-10-21T10:33:33.85" personId="{803D42D1-F8A1-4625-BA7D-02834BDCA61B}" id="{4E454FEF-F0C0-4139-9F0E-F6348AF95FA3}">
    <text>Position Freeze</text>
  </threadedComment>
  <threadedComment ref="T264" dT="2025-09-29T10:28:05.88" personId="{803D42D1-F8A1-4625-BA7D-02834BDCA61B}" id="{4191A49E-A603-431C-A1E0-CA7B472B4E90}">
    <text>Validated</text>
  </threadedComment>
  <threadedComment ref="V264" dT="2025-10-21T10:33:18.74" personId="{803D42D1-F8A1-4625-BA7D-02834BDCA61B}" id="{D5B6CE4C-E544-499B-BD19-EDFFF94CDD43}">
    <text>Position Freeze</text>
  </threadedComment>
  <threadedComment ref="W264" dT="2025-10-21T10:33:33.85" personId="{803D42D1-F8A1-4625-BA7D-02834BDCA61B}" id="{FE78613F-C86C-4919-B702-9F7376F4C315}">
    <text>Position Freeze</text>
  </threadedComment>
  <threadedComment ref="V265" dT="2025-10-21T10:33:18.74" personId="{803D42D1-F8A1-4625-BA7D-02834BDCA61B}" id="{B279194D-010E-4A39-BBF3-51AE0BDEE5F8}">
    <text>Position Freeze</text>
  </threadedComment>
  <threadedComment ref="W265" dT="2025-10-21T10:33:33.85" personId="{803D42D1-F8A1-4625-BA7D-02834BDCA61B}" id="{3FF385CD-CDE3-4601-A2AE-90C194740641}">
    <text>Position Freeze</text>
  </threadedComment>
  <threadedComment ref="V266" dT="2025-10-21T10:33:18.74" personId="{803D42D1-F8A1-4625-BA7D-02834BDCA61B}" id="{2693702F-F412-4322-8ECF-DD412DCD837B}">
    <text>Position Freeze</text>
  </threadedComment>
  <threadedComment ref="W266" dT="2025-10-21T10:33:33.85" personId="{803D42D1-F8A1-4625-BA7D-02834BDCA61B}" id="{30CA49B9-6874-4C13-94FF-8074F268F019}">
    <text>Position Freeze</text>
  </threadedComment>
  <threadedComment ref="V267" dT="2025-10-21T10:33:18.74" personId="{803D42D1-F8A1-4625-BA7D-02834BDCA61B}" id="{A4F107B3-8FA4-460C-B8D2-F4077BCBD801}">
    <text>Position Freeze</text>
  </threadedComment>
  <threadedComment ref="W267" dT="2025-10-21T10:33:33.85" personId="{803D42D1-F8A1-4625-BA7D-02834BDCA61B}" id="{026B4065-71C9-4445-9F3D-7CC97D9A363C}">
    <text>Position Freeze</text>
  </threadedComment>
  <threadedComment ref="V268" dT="2025-10-21T10:33:18.74" personId="{803D42D1-F8A1-4625-BA7D-02834BDCA61B}" id="{957C0AAD-DCD7-45B8-B1E4-2A13C05AD908}">
    <text>Position Freeze</text>
  </threadedComment>
  <threadedComment ref="W268" dT="2025-10-21T10:33:33.85" personId="{803D42D1-F8A1-4625-BA7D-02834BDCA61B}" id="{043E2342-FEEC-45D5-865B-F72277AB39BA}">
    <text>Position Freeze</text>
  </threadedComment>
  <threadedComment ref="V269" dT="2025-10-21T10:33:18.74" personId="{803D42D1-F8A1-4625-BA7D-02834BDCA61B}" id="{1873A4F7-284F-41E8-B88E-8C42C396DC9D}">
    <text>Position Freeze</text>
  </threadedComment>
  <threadedComment ref="W269" dT="2025-10-21T10:33:33.85" personId="{803D42D1-F8A1-4625-BA7D-02834BDCA61B}" id="{6701C01B-240A-4DD2-BB84-9954A86171EE}">
    <text>Position Freeze</text>
  </threadedComment>
  <threadedComment ref="V270" dT="2025-10-21T10:33:18.74" personId="{803D42D1-F8A1-4625-BA7D-02834BDCA61B}" id="{20D9894A-0A18-4127-8FA8-D7DE33FC7E11}">
    <text>Position Freeze</text>
  </threadedComment>
  <threadedComment ref="W270" dT="2025-10-21T10:33:33.85" personId="{803D42D1-F8A1-4625-BA7D-02834BDCA61B}" id="{60B45074-5C09-4505-B4D8-E8B3A54DA563}">
    <text>Position Freeze</text>
  </threadedComment>
  <threadedComment ref="V271" dT="2025-10-21T10:33:18.74" personId="{803D42D1-F8A1-4625-BA7D-02834BDCA61B}" id="{935F7975-F48E-4466-AB84-7AF67D805735}">
    <text>Position Freeze</text>
  </threadedComment>
  <threadedComment ref="W271" dT="2025-10-21T10:33:33.85" personId="{803D42D1-F8A1-4625-BA7D-02834BDCA61B}" id="{8A682DE9-7F4B-48D3-9CB8-99128D951C3A}">
    <text>Position Freeze</text>
  </threadedComment>
  <threadedComment ref="J272" dT="2025-05-21T12:13:52.95" personId="{803D42D1-F8A1-4625-BA7D-02834BDCA61B}" id="{3002BEC4-D5FA-4DF6-AC7E-365C3BF61BE1}">
    <text>Validated</text>
  </threadedComment>
  <threadedComment ref="L272" dT="2025-06-24T10:20:10.29" personId="{803D42D1-F8A1-4625-BA7D-02834BDCA61B}" id="{D992EAC8-AB3A-42ED-8493-E85D280A9F64}">
    <text>Validated</text>
  </threadedComment>
  <threadedComment ref="N272" dT="2025-07-22T13:24:16.43" personId="{803D42D1-F8A1-4625-BA7D-02834BDCA61B}" id="{DDF54560-30B5-4551-BBFF-A1D1239A2813}">
    <text>Validated</text>
  </threadedComment>
  <threadedComment ref="P272" dT="2025-07-22T13:24:16.43" personId="{803D42D1-F8A1-4625-BA7D-02834BDCA61B}" id="{2CA68B9C-75F4-4DFF-9E3E-E6B56A568B5F}">
    <text>Validated</text>
  </threadedComment>
  <threadedComment ref="V272" dT="2025-10-21T10:11:07.24" personId="{803D42D1-F8A1-4625-BA7D-02834BDCA61B}" id="{C55C81C0-0513-4869-B99E-6E64EC3B26D9}">
    <text>Validated</text>
  </threadedComment>
  <threadedComment ref="X272" dT="2025-10-21T10:11:07.24" personId="{803D42D1-F8A1-4625-BA7D-02834BDCA61B}" id="{57B5FE01-AAEC-4102-9131-BFA9915B31B5}">
    <text>Validated</text>
  </threadedComment>
  <threadedComment ref="J273" dT="2025-05-21T12:14:05.34" personId="{803D42D1-F8A1-4625-BA7D-02834BDCA61B}" id="{86F53FC1-E436-4C73-BA0E-9AEDCDD73B8F}">
    <text>Validated</text>
  </threadedComment>
  <threadedComment ref="L273" dT="2025-06-24T10:20:10.29" personId="{803D42D1-F8A1-4625-BA7D-02834BDCA61B}" id="{8A43FF48-E300-425A-9295-87E137DB3350}">
    <text>Validated</text>
  </threadedComment>
  <threadedComment ref="N273" dT="2025-07-22T13:24:16.43" personId="{803D42D1-F8A1-4625-BA7D-02834BDCA61B}" id="{B6AFAAAF-31BC-4BC1-993C-04FADD16E1AA}">
    <text>Validated</text>
  </threadedComment>
  <threadedComment ref="P273" dT="2025-07-22T13:24:16.43" personId="{803D42D1-F8A1-4625-BA7D-02834BDCA61B}" id="{866A36F8-31D8-4024-BE34-FAD84538BE87}">
    <text>Validated</text>
  </threadedComment>
  <threadedComment ref="V273" dT="2025-10-21T10:11:07.24" personId="{803D42D1-F8A1-4625-BA7D-02834BDCA61B}" id="{24D6B509-11B0-4C56-BF20-4783326433FD}">
    <text>Validated</text>
  </threadedComment>
  <threadedComment ref="X273" dT="2025-10-21T10:11:07.24" personId="{803D42D1-F8A1-4625-BA7D-02834BDCA61B}" id="{1DF4DCF5-3B51-4F26-8BB8-22F7B880B53C}">
    <text>Validated</text>
  </threadedComment>
  <threadedComment ref="J274" dT="2025-05-21T12:14:14.89" personId="{803D42D1-F8A1-4625-BA7D-02834BDCA61B}" id="{EC0FA85B-E489-4136-8385-8B8A44F28640}">
    <text>Validated</text>
  </threadedComment>
  <threadedComment ref="L274" dT="2025-06-24T10:20:10.29" personId="{803D42D1-F8A1-4625-BA7D-02834BDCA61B}" id="{E81AA761-F54C-4719-8EE2-B02069C87F32}">
    <text>Validated</text>
  </threadedComment>
  <threadedComment ref="N274" dT="2025-07-22T13:24:16.43" personId="{803D42D1-F8A1-4625-BA7D-02834BDCA61B}" id="{0BAA1856-D2A4-4F07-BC90-F46042B860E4}">
    <text>Validated</text>
  </threadedComment>
  <threadedComment ref="P274" dT="2025-07-22T13:24:16.43" personId="{803D42D1-F8A1-4625-BA7D-02834BDCA61B}" id="{C9002B54-97E6-4A95-A745-8D6260D442A1}">
    <text>Validated</text>
  </threadedComment>
  <threadedComment ref="V274" dT="2025-10-21T10:11:07.24" personId="{803D42D1-F8A1-4625-BA7D-02834BDCA61B}" id="{E81A1FBB-2436-40C2-BE77-F1F393A5FA03}">
    <text>Validated</text>
  </threadedComment>
  <threadedComment ref="X274" dT="2025-10-21T10:11:07.24" personId="{803D42D1-F8A1-4625-BA7D-02834BDCA61B}" id="{53EC64AA-268B-4D9F-B4F3-980BF31A43B5}">
    <text>Validated</text>
  </threadedComment>
  <threadedComment ref="J275" dT="2025-05-21T12:14:24.48" personId="{803D42D1-F8A1-4625-BA7D-02834BDCA61B}" id="{93076DAC-C1E8-4CF7-B1C3-002238D6E998}">
    <text>Validated</text>
  </threadedComment>
  <threadedComment ref="L275" dT="2025-06-24T10:20:10.29" personId="{803D42D1-F8A1-4625-BA7D-02834BDCA61B}" id="{41828B7D-EC3B-41C5-8873-F111C5D120B0}">
    <text>Validated</text>
  </threadedComment>
  <threadedComment ref="N275" dT="2025-07-22T13:24:16.43" personId="{803D42D1-F8A1-4625-BA7D-02834BDCA61B}" id="{2DC6FB05-31E4-404E-B11B-CF5D29370AB2}">
    <text>Validated</text>
  </threadedComment>
  <threadedComment ref="P275" dT="2025-07-22T13:24:16.43" personId="{803D42D1-F8A1-4625-BA7D-02834BDCA61B}" id="{3F625F39-7550-4F14-833F-49AECE1E25DB}">
    <text>Validated</text>
  </threadedComment>
  <threadedComment ref="V275" dT="2025-10-21T10:11:07.24" personId="{803D42D1-F8A1-4625-BA7D-02834BDCA61B}" id="{09680999-925A-4B20-B01E-6D177C77A5FF}">
    <text>Validated</text>
  </threadedComment>
  <threadedComment ref="X275" dT="2025-10-21T10:11:07.24" personId="{803D42D1-F8A1-4625-BA7D-02834BDCA61B}" id="{18851E23-A354-4BD0-AE66-CB087C7948AB}">
    <text>Validated</text>
  </threadedComment>
  <threadedComment ref="J276" dT="2025-05-21T12:14:34.28" personId="{803D42D1-F8A1-4625-BA7D-02834BDCA61B}" id="{B9CBF635-37C1-42C6-BC16-A8EE4373AF9B}">
    <text>Validated</text>
  </threadedComment>
  <threadedComment ref="L276" dT="2025-06-24T10:20:10.29" personId="{803D42D1-F8A1-4625-BA7D-02834BDCA61B}" id="{8A64CDE4-DF0F-41F2-8CE0-A0191E8D25A1}">
    <text>Validated</text>
  </threadedComment>
  <threadedComment ref="N276" dT="2025-07-22T13:24:16.43" personId="{803D42D1-F8A1-4625-BA7D-02834BDCA61B}" id="{C7E6F1C8-CA9C-4346-9ED3-DECA79119259}">
    <text>Validated</text>
  </threadedComment>
  <threadedComment ref="P276" dT="2025-07-22T13:24:16.43" personId="{803D42D1-F8A1-4625-BA7D-02834BDCA61B}" id="{966D7318-0105-40BF-8E5E-202900CA6D42}">
    <text>Validated</text>
  </threadedComment>
  <threadedComment ref="V276" dT="2025-10-21T10:11:07.24" personId="{803D42D1-F8A1-4625-BA7D-02834BDCA61B}" id="{44F341C9-167E-40B7-A56C-AFF960DEE843}">
    <text>Validated</text>
  </threadedComment>
  <threadedComment ref="X276" dT="2025-10-21T10:11:07.24" personId="{803D42D1-F8A1-4625-BA7D-02834BDCA61B}" id="{8431B002-26AB-4F51-B172-8CF23137342E}">
    <text>Validated</text>
  </threadedComment>
  <threadedComment ref="J277" dT="2025-05-21T12:14:46.59" personId="{803D42D1-F8A1-4625-BA7D-02834BDCA61B}" id="{D5382E05-CAA2-425D-B2E5-B07610BC6FEA}">
    <text>Validated</text>
  </threadedComment>
  <threadedComment ref="L277" dT="2025-06-24T10:20:10.29" personId="{803D42D1-F8A1-4625-BA7D-02834BDCA61B}" id="{41F71B1D-7E8C-4070-96C9-E9B8AF5474F5}">
    <text>Validated</text>
  </threadedComment>
  <threadedComment ref="N277" dT="2025-07-22T13:24:16.43" personId="{803D42D1-F8A1-4625-BA7D-02834BDCA61B}" id="{83364EC0-735A-4768-9861-DCE94D3BDA20}">
    <text>Validated</text>
  </threadedComment>
  <threadedComment ref="P277" dT="2025-07-22T13:24:16.43" personId="{803D42D1-F8A1-4625-BA7D-02834BDCA61B}" id="{05DB0352-7820-41FA-A0CF-F9CACEA41EFD}">
    <text>Validated</text>
  </threadedComment>
  <threadedComment ref="V277" dT="2025-10-21T10:11:07.24" personId="{803D42D1-F8A1-4625-BA7D-02834BDCA61B}" id="{F42DDF1B-89F1-47F6-AF87-0AEE63CB2512}">
    <text>Validated</text>
  </threadedComment>
  <threadedComment ref="X277" dT="2025-10-21T10:11:07.24" personId="{803D42D1-F8A1-4625-BA7D-02834BDCA61B}" id="{B3615F2C-FD77-4193-92F9-21607CDCF7E0}">
    <text>Validated</text>
  </threadedComment>
  <threadedComment ref="L278" dT="2025-06-24T12:30:18.09" personId="{803D42D1-F8A1-4625-BA7D-02834BDCA61B}" id="{B50FE588-E722-4D89-BEF1-FFF1EBF9BA65}">
    <text>Validated</text>
  </threadedComment>
  <threadedComment ref="N278" dT="2025-07-22T13:24:16.43" personId="{803D42D1-F8A1-4625-BA7D-02834BDCA61B}" id="{85D090EA-C319-49C4-83E7-413BF81C2313}">
    <text>Validated</text>
  </threadedComment>
  <threadedComment ref="P278" dT="2025-07-22T13:24:16.43" personId="{803D42D1-F8A1-4625-BA7D-02834BDCA61B}" id="{944700E1-5B35-4C17-89B3-A34A81ADB943}">
    <text>Validated</text>
  </threadedComment>
  <threadedComment ref="R278" dT="2025-08-24T13:08:43.15" personId="{803D42D1-F8A1-4625-BA7D-02834BDCA61B}" id="{0807F2F5-FF49-4CD7-8E4D-4E36BAD87877}">
    <text>Validated</text>
  </threadedComment>
  <threadedComment ref="T278" dT="2025-09-29T08:30:30.72" personId="{803D42D1-F8A1-4625-BA7D-02834BDCA61B}" id="{5781CF53-7B76-4D4C-B8EB-7C15E719C648}">
    <text>Validated</text>
  </threadedComment>
  <threadedComment ref="V278" dT="2025-10-21T10:11:07.24" personId="{803D42D1-F8A1-4625-BA7D-02834BDCA61B}" id="{AEC0821B-0D9E-4D3F-A0B8-F74588306ABF}">
    <text>Validated</text>
  </threadedComment>
  <threadedComment ref="X278" dT="2025-10-21T10:13:02.26" personId="{803D42D1-F8A1-4625-BA7D-02834BDCA61B}" id="{77323E27-B615-4B26-85DD-7774262B9110}">
    <text>Insufficient data</text>
  </threadedComment>
  <threadedComment ref="L279" dT="2025-06-24T12:30:02.93" personId="{803D42D1-F8A1-4625-BA7D-02834BDCA61B}" id="{835E9F22-AC34-4A31-874B-E89B87F57EB2}">
    <text>Validated</text>
  </threadedComment>
  <threadedComment ref="N279" dT="2025-07-22T13:24:16.43" personId="{803D42D1-F8A1-4625-BA7D-02834BDCA61B}" id="{5DC4AE35-C02A-446F-9847-67DD85831D37}">
    <text>Validated</text>
  </threadedComment>
  <threadedComment ref="P279" dT="2025-07-22T13:24:16.43" personId="{803D42D1-F8A1-4625-BA7D-02834BDCA61B}" id="{66BAD949-F956-42D2-87CE-153EF74BC5D0}">
    <text>Validated</text>
  </threadedComment>
  <threadedComment ref="R279" dT="2025-08-24T13:08:43.15" personId="{803D42D1-F8A1-4625-BA7D-02834BDCA61B}" id="{E428FE34-94A5-49A4-ADD4-99062674AEE4}">
    <text>Validated</text>
  </threadedComment>
  <threadedComment ref="T279" dT="2025-09-29T08:30:30.72" personId="{803D42D1-F8A1-4625-BA7D-02834BDCA61B}" id="{411E272E-19AC-48DE-8AD6-6197C4DC5026}">
    <text>Validated</text>
  </threadedComment>
  <threadedComment ref="V279" dT="2025-10-21T10:11:07.24" personId="{803D42D1-F8A1-4625-BA7D-02834BDCA61B}" id="{BE14786B-5FAB-4C44-9740-D363856FDF84}">
    <text>Validated</text>
  </threadedComment>
  <threadedComment ref="X279" dT="2025-10-21T10:11:07.24" personId="{803D42D1-F8A1-4625-BA7D-02834BDCA61B}" id="{D8B2A11C-7114-4E51-8C80-1BC584CEE609}">
    <text>Validated</text>
  </threadedComment>
  <threadedComment ref="L280" dT="2025-06-24T10:20:10.29" personId="{803D42D1-F8A1-4625-BA7D-02834BDCA61B}" id="{4C9A000B-4CFC-4759-ACFF-D223A3C34F35}">
    <text>Validated</text>
  </threadedComment>
  <threadedComment ref="T280" dT="2025-09-29T08:29:02.01" personId="{803D42D1-F8A1-4625-BA7D-02834BDCA61B}" id="{803E1378-F30E-4EBD-8414-82700B6C94B1}">
    <text>Supply data not available</text>
  </threadedComment>
  <threadedComment ref="V280" dT="2025-10-21T10:42:57.22" personId="{803D42D1-F8A1-4625-BA7D-02834BDCA61B}" id="{567A154E-CBE4-4127-8051-40D4B4F8D810}">
    <text>Not Validated Insufficient Data</text>
  </threadedComment>
  <threadedComment ref="X280" dT="2025-10-21T10:42:57.22" personId="{803D42D1-F8A1-4625-BA7D-02834BDCA61B}" id="{CDC45CA6-8299-4D30-AD1F-2A5C6B78BB8D}">
    <text>Not Validated Insufficient Data</text>
  </threadedComment>
  <threadedComment ref="L281" dT="2025-06-24T10:20:10.29" personId="{803D42D1-F8A1-4625-BA7D-02834BDCA61B}" id="{47E56196-0F33-4D73-9205-75B3D122E646}">
    <text>Validated</text>
  </threadedComment>
  <threadedComment ref="J282" dT="2025-05-21T12:13:35.43" personId="{803D42D1-F8A1-4625-BA7D-02834BDCA61B}" id="{0119636D-1050-43BE-BE9F-BB4622C7B2C0}">
    <text>Not Validated, Insufficient data</text>
  </threadedComment>
  <threadedComment ref="N282" dT="2025-07-22T13:24:16.43" personId="{803D42D1-F8A1-4625-BA7D-02834BDCA61B}" id="{E7C65C6E-3A7C-48C4-971D-750435E880FA}">
    <text>Validated</text>
  </threadedComment>
  <threadedComment ref="P282" dT="2025-07-22T13:24:16.43" personId="{803D42D1-F8A1-4625-BA7D-02834BDCA61B}" id="{1807A6F3-05C0-472C-9724-709CD70715E4}">
    <text>Validated</text>
  </threadedComment>
  <threadedComment ref="L283" dT="2025-06-24T10:20:10.29" personId="{803D42D1-F8A1-4625-BA7D-02834BDCA61B}" id="{6BA7BF4B-7261-4971-92EC-3590182F1FF9}">
    <text>Validated</text>
  </threadedComment>
  <threadedComment ref="T283" dT="2025-09-29T08:28:04.69" personId="{803D42D1-F8A1-4625-BA7D-02834BDCA61B}" id="{8897987C-0542-469E-B2FF-DCAA377A0EF2}">
    <text>Validated</text>
  </threadedComment>
  <threadedComment ref="V283" dT="2025-10-21T10:11:07.24" personId="{803D42D1-F8A1-4625-BA7D-02834BDCA61B}" id="{88042119-F98F-4A13-AFF8-0DF327B345D5}">
    <text>Validated</text>
  </threadedComment>
  <threadedComment ref="X283" dT="2025-10-21T10:13:46.28" personId="{803D42D1-F8A1-4625-BA7D-02834BDCA61B}" id="{070156F2-B36A-4121-A842-FFA99EECF5A1}">
    <text>Insufficient data</text>
  </threadedComment>
  <threadedComment ref="J284" dT="2024-10-17T09:53:12.06" personId="{ED1D359B-D851-4826-88EF-B9650B16DF7A}" id="{D99E0B68-0120-4C75-9082-A79BC79AC1E9}">
    <text>Hiring is on Hold</text>
  </threadedComment>
  <threadedComment ref="K284" dT="2024-10-17T09:53:12.06" personId="{ED1D359B-D851-4826-88EF-B9650B16DF7A}" id="{48B9E700-486B-4DE2-8FF2-ADFFDFA8E3A5}">
    <text>Hiring is on Hold</text>
  </threadedComment>
  <threadedComment ref="L284" dT="2024-10-18T04:54:46.00" personId="{ED1D359B-D851-4826-88EF-B9650B16DF7A}" id="{DB21C846-8D31-4984-8CDD-B28D491D53C0}">
    <text>Project On-Hold</text>
  </threadedComment>
  <threadedComment ref="M284" dT="2024-10-18T04:54:46.00" personId="{ED1D359B-D851-4826-88EF-B9650B16DF7A}" id="{CEE6EF6F-CD4B-4512-AAE9-D95E0B78F2A4}">
    <text>Project On-Hold</text>
  </threadedComment>
  <threadedComment ref="N284" dT="2024-10-18T04:54:46.00" personId="{ED1D359B-D851-4826-88EF-B9650B16DF7A}" id="{F93F3529-ABD1-4C4A-8F04-D9AC7C2BE89E}">
    <text>Project On-Hold</text>
  </threadedComment>
  <threadedComment ref="O284" dT="2024-10-18T04:54:46.00" personId="{ED1D359B-D851-4826-88EF-B9650B16DF7A}" id="{F82CA1D0-426D-466B-ABD2-4C1A9A7A49BB}">
    <text>Project On-Hold</text>
  </threadedComment>
  <threadedComment ref="P284" dT="2024-10-18T04:54:46.00" personId="{ED1D359B-D851-4826-88EF-B9650B16DF7A}" id="{AE3D0FE7-39D1-48F7-A895-A75B7B1D23C9}">
    <text>Project On-Hold</text>
  </threadedComment>
  <threadedComment ref="Q284" dT="2024-10-18T04:54:46.00" personId="{ED1D359B-D851-4826-88EF-B9650B16DF7A}" id="{8E92F0B4-67FF-41AD-829F-142FACE99C6B}">
    <text>Project On-Hold</text>
  </threadedComment>
  <threadedComment ref="R284" dT="2024-10-18T04:54:46.00" personId="{ED1D359B-D851-4826-88EF-B9650B16DF7A}" id="{85A948E4-977C-49D2-9AFD-7B4A13A12EB0}">
    <text>Project On-Hold</text>
  </threadedComment>
  <threadedComment ref="S284" dT="2024-10-18T04:54:46.00" personId="{ED1D359B-D851-4826-88EF-B9650B16DF7A}" id="{FAAD29C3-F638-47EA-BB8E-2955C2A528CE}">
    <text>Project On-Hold</text>
  </threadedComment>
  <threadedComment ref="T284" dT="2024-10-18T04:54:46.00" personId="{ED1D359B-D851-4826-88EF-B9650B16DF7A}" id="{A1820ED3-F62A-4672-AD35-DD6E3EB5F0C7}">
    <text>Project On-Hold</text>
  </threadedComment>
  <threadedComment ref="U284" dT="2024-10-18T04:54:46.00" personId="{ED1D359B-D851-4826-88EF-B9650B16DF7A}" id="{198F824B-0EC7-4073-9772-26625247E26E}">
    <text>Project On-Hold</text>
  </threadedComment>
  <threadedComment ref="L285" dT="2024-10-18T04:54:46.00" personId="{ED1D359B-D851-4826-88EF-B9650B16DF7A}" id="{5A8D9CA0-13E5-4FCC-A278-A051909ACF4F}">
    <text>Project On-Hold</text>
  </threadedComment>
  <threadedComment ref="M285" dT="2024-10-18T04:54:46.00" personId="{ED1D359B-D851-4826-88EF-B9650B16DF7A}" id="{45611900-3B31-4677-BBA9-3F3BB98016C9}">
    <text>Project On-Hold</text>
  </threadedComment>
  <threadedComment ref="N285" dT="2024-10-18T04:54:46.00" personId="{ED1D359B-D851-4826-88EF-B9650B16DF7A}" id="{21E3E409-E365-404A-99A4-51AD3F4D1DFB}">
    <text>Project On-Hold</text>
  </threadedComment>
  <threadedComment ref="O285" dT="2024-10-18T04:54:46.00" personId="{ED1D359B-D851-4826-88EF-B9650B16DF7A}" id="{11BC4F4F-FD97-43FC-A7ED-51C8270CF715}">
    <text>Project On-Hold</text>
  </threadedComment>
  <threadedComment ref="P285" dT="2024-10-18T04:54:46.00" personId="{ED1D359B-D851-4826-88EF-B9650B16DF7A}" id="{B27169F9-394F-4F50-9855-79FC869B6299}">
    <text>Project On-Hold</text>
  </threadedComment>
  <threadedComment ref="Q285" dT="2024-10-18T04:54:46.00" personId="{ED1D359B-D851-4826-88EF-B9650B16DF7A}" id="{81BDD03B-6B96-4174-A5A2-01BCF4AE869B}">
    <text>Project On-Hold</text>
  </threadedComment>
  <threadedComment ref="R285" dT="2024-10-18T04:54:46.00" personId="{ED1D359B-D851-4826-88EF-B9650B16DF7A}" id="{28C27543-B124-48E1-8141-014753D11573}">
    <text>Project On-Hold</text>
  </threadedComment>
  <threadedComment ref="S285" dT="2024-10-18T04:54:46.00" personId="{ED1D359B-D851-4826-88EF-B9650B16DF7A}" id="{4EF21BFA-7BF7-4E5B-9ED0-0A3A4860588D}">
    <text>Project On-Hold</text>
  </threadedComment>
  <threadedComment ref="T285" dT="2024-10-18T04:54:46.00" personId="{ED1D359B-D851-4826-88EF-B9650B16DF7A}" id="{251FD052-C927-4C9C-B17B-EEDE249ECCD4}">
    <text>Project On-Hold</text>
  </threadedComment>
  <threadedComment ref="U285" dT="2024-10-18T04:54:46.00" personId="{ED1D359B-D851-4826-88EF-B9650B16DF7A}" id="{D365BB74-6A55-4FFE-A8E6-55BC516ABCF5}">
    <text>Project On-Hold</text>
  </threadedComment>
  <threadedComment ref="I286" dT="2024-05-11T07:56:38.19" personId="{385AE97E-DB3C-47AF-B0F4-D63AD85D52E9}" id="{0BC09175-AB2B-46EE-90B9-F3E1305C9683}">
    <text>Target not approved by PH</text>
  </threadedComment>
  <threadedComment ref="L286" dT="2024-10-18T04:54:46.00" personId="{ED1D359B-D851-4826-88EF-B9650B16DF7A}" id="{2478EF78-7B98-4241-9984-683F0DAB3C6D}">
    <text>Project On-Hold</text>
  </threadedComment>
  <threadedComment ref="M286" dT="2024-10-18T04:54:46.00" personId="{ED1D359B-D851-4826-88EF-B9650B16DF7A}" id="{A10CD384-0920-4050-B00C-EB9AABE1632B}">
    <text>Project On-Hold</text>
  </threadedComment>
  <threadedComment ref="N286" dT="2024-10-18T04:54:46.00" personId="{ED1D359B-D851-4826-88EF-B9650B16DF7A}" id="{C618DB47-B9E6-4C7E-BCB0-28BBD97C4E7B}">
    <text>Project On-Hold</text>
  </threadedComment>
  <threadedComment ref="O286" dT="2024-10-18T04:54:46.00" personId="{ED1D359B-D851-4826-88EF-B9650B16DF7A}" id="{08336370-F957-48B5-816C-7DDBB1330086}">
    <text>Project On-Hold</text>
  </threadedComment>
  <threadedComment ref="P286" dT="2024-10-18T04:54:46.00" personId="{ED1D359B-D851-4826-88EF-B9650B16DF7A}" id="{7539E4D8-2436-4BAB-A095-98ACED58ACA1}">
    <text>Project On-Hold</text>
  </threadedComment>
  <threadedComment ref="Q286" dT="2024-10-18T04:54:46.00" personId="{ED1D359B-D851-4826-88EF-B9650B16DF7A}" id="{72E78D97-889F-4CB2-9A2E-16381C6397AB}">
    <text>Project On-Hold</text>
  </threadedComment>
  <threadedComment ref="R286" dT="2024-10-18T04:54:46.00" personId="{ED1D359B-D851-4826-88EF-B9650B16DF7A}" id="{0812372C-9D1F-4C87-AC57-930420D83599}">
    <text>Project On-Hold</text>
  </threadedComment>
  <threadedComment ref="S286" dT="2024-10-18T04:54:46.00" personId="{ED1D359B-D851-4826-88EF-B9650B16DF7A}" id="{AF0B2FC4-721C-465D-8102-90EF0D06FA8E}">
    <text>Project On-Hold</text>
  </threadedComment>
  <threadedComment ref="T286" dT="2024-10-18T04:54:46.00" personId="{ED1D359B-D851-4826-88EF-B9650B16DF7A}" id="{661FE88D-66A7-4CD7-9165-42533C593307}">
    <text>Project On-Hold</text>
  </threadedComment>
  <threadedComment ref="U286" dT="2024-10-18T04:54:46.00" personId="{ED1D359B-D851-4826-88EF-B9650B16DF7A}" id="{E51CD633-B7C7-417E-95C4-8D81A38C6D5C}">
    <text>Project On-Hold</text>
  </threadedComment>
  <threadedComment ref="I287" dT="2024-05-11T07:56:42.79" personId="{385AE97E-DB3C-47AF-B0F4-D63AD85D52E9}" id="{44D7D96D-0B76-4702-BF63-BC655D1A3B65}">
    <text>Target not approved by PH</text>
  </threadedComment>
  <threadedComment ref="L287" dT="2024-10-18T04:54:46.00" personId="{ED1D359B-D851-4826-88EF-B9650B16DF7A}" id="{0BA36E91-4F7B-4277-A821-DCF014585E4D}">
    <text>Project On-Hold</text>
  </threadedComment>
  <threadedComment ref="M287" dT="2024-10-18T04:54:46.00" personId="{ED1D359B-D851-4826-88EF-B9650B16DF7A}" id="{8DE44287-5DD1-4FE1-B0E7-9D291F5D90CE}">
    <text>Project On-Hold</text>
  </threadedComment>
  <threadedComment ref="N287" dT="2024-10-18T04:54:46.00" personId="{ED1D359B-D851-4826-88EF-B9650B16DF7A}" id="{0EFCD1B4-0785-44F4-9B56-14367DD5940F}">
    <text>Project On-Hold</text>
  </threadedComment>
  <threadedComment ref="O287" dT="2024-10-18T04:54:46.00" personId="{ED1D359B-D851-4826-88EF-B9650B16DF7A}" id="{400EC54E-2DA1-4AA0-89C1-610A142B0695}">
    <text>Project On-Hold</text>
  </threadedComment>
  <threadedComment ref="P287" dT="2024-10-18T04:54:46.00" personId="{ED1D359B-D851-4826-88EF-B9650B16DF7A}" id="{ECC55AA3-B06F-449D-9C51-126A13B520BE}">
    <text>Project On-Hold</text>
  </threadedComment>
  <threadedComment ref="Q287" dT="2024-10-18T04:54:46.00" personId="{ED1D359B-D851-4826-88EF-B9650B16DF7A}" id="{58A633F0-5985-41E9-B6A2-EC970BC931F0}">
    <text>Project On-Hold</text>
  </threadedComment>
  <threadedComment ref="R287" dT="2024-10-18T04:54:46.00" personId="{ED1D359B-D851-4826-88EF-B9650B16DF7A}" id="{6FA4C948-EFAA-40D8-B325-4000A166B316}">
    <text>Project On-Hold</text>
  </threadedComment>
  <threadedComment ref="S287" dT="2024-10-18T04:54:46.00" personId="{ED1D359B-D851-4826-88EF-B9650B16DF7A}" id="{F70F0FB5-629F-4CE7-8BB7-E7DF8D8FD678}">
    <text>Project On-Hold</text>
  </threadedComment>
  <threadedComment ref="T287" dT="2024-10-18T04:54:46.00" personId="{ED1D359B-D851-4826-88EF-B9650B16DF7A}" id="{6E9ACCE8-5ABB-4F53-AC21-3AFF0FF91CC6}">
    <text>Project On-Hold</text>
  </threadedComment>
  <threadedComment ref="U287" dT="2024-10-18T04:54:46.00" personId="{ED1D359B-D851-4826-88EF-B9650B16DF7A}" id="{86E6C84D-91DC-4697-A7CA-471D506C889A}">
    <text>Project On-Hold</text>
  </threadedComment>
  <threadedComment ref="I288" dT="2024-05-11T07:56:48.55" personId="{385AE97E-DB3C-47AF-B0F4-D63AD85D52E9}" id="{8287E867-8217-4467-B8D6-8EF93E38A0B6}">
    <text>Target not approved by PH</text>
  </threadedComment>
  <threadedComment ref="L288" dT="2024-10-18T04:54:46.00" personId="{ED1D359B-D851-4826-88EF-B9650B16DF7A}" id="{C3CC57E0-6C99-482F-A055-C188D87BA538}">
    <text>Project On-Hold</text>
  </threadedComment>
  <threadedComment ref="M288" dT="2024-10-18T04:54:46.00" personId="{ED1D359B-D851-4826-88EF-B9650B16DF7A}" id="{E99FBB17-9056-432D-BFA5-161CED12F737}">
    <text>Project On-Hold</text>
  </threadedComment>
  <threadedComment ref="N288" dT="2024-10-18T04:54:46.00" personId="{ED1D359B-D851-4826-88EF-B9650B16DF7A}" id="{9CF57E16-E336-42C2-A5E1-83AC028B4B1B}">
    <text>Project On-Hold</text>
  </threadedComment>
  <threadedComment ref="O288" dT="2024-10-18T04:54:46.00" personId="{ED1D359B-D851-4826-88EF-B9650B16DF7A}" id="{353816C4-D6C0-41F7-B5A1-626074CB8962}">
    <text>Project On-Hold</text>
  </threadedComment>
  <threadedComment ref="P288" dT="2024-10-18T04:54:46.00" personId="{ED1D359B-D851-4826-88EF-B9650B16DF7A}" id="{37CBAE80-D0B0-48BE-8DB7-A2E9F4282F11}">
    <text>Project On-Hold</text>
  </threadedComment>
  <threadedComment ref="Q288" dT="2024-10-18T04:54:46.00" personId="{ED1D359B-D851-4826-88EF-B9650B16DF7A}" id="{3F81741A-CC27-484F-AC85-46FDDA962024}">
    <text>Project On-Hold</text>
  </threadedComment>
  <threadedComment ref="R288" dT="2024-10-18T04:54:46.00" personId="{ED1D359B-D851-4826-88EF-B9650B16DF7A}" id="{042F3A47-4428-4A0C-8E6B-AE1FE356E860}">
    <text>Project On-Hold</text>
  </threadedComment>
  <threadedComment ref="S288" dT="2024-10-18T04:54:46.00" personId="{ED1D359B-D851-4826-88EF-B9650B16DF7A}" id="{27CAA620-A7E0-415E-AD5F-865C08A70EF7}">
    <text>Project On-Hold</text>
  </threadedComment>
  <threadedComment ref="T288" dT="2024-10-18T04:54:46.00" personId="{ED1D359B-D851-4826-88EF-B9650B16DF7A}" id="{47DC7CF0-C652-4286-B56E-DF37AC9011F0}">
    <text>Project On-Hold</text>
  </threadedComment>
  <threadedComment ref="U288" dT="2024-10-18T04:54:46.00" personId="{ED1D359B-D851-4826-88EF-B9650B16DF7A}" id="{327F0621-347D-46D1-90E0-8D7D4EF96260}">
    <text>Project On-Hold</text>
  </threadedComment>
  <threadedComment ref="I289" dT="2024-05-11T07:56:52.38" personId="{385AE97E-DB3C-47AF-B0F4-D63AD85D52E9}" id="{F09B5898-5CFC-47F3-91A3-97E74CC3BB93}">
    <text>Target not approved by PH</text>
  </threadedComment>
  <threadedComment ref="L289" dT="2024-10-18T04:54:46.00" personId="{ED1D359B-D851-4826-88EF-B9650B16DF7A}" id="{158E44A2-C2ED-48EE-96A8-23427EF1AF63}">
    <text>Project On-Hold</text>
  </threadedComment>
  <threadedComment ref="M289" dT="2024-10-18T04:54:46.00" personId="{ED1D359B-D851-4826-88EF-B9650B16DF7A}" id="{E4BD8E36-45C7-4C05-BD00-76C5044DAE86}">
    <text>Project On-Hold</text>
  </threadedComment>
  <threadedComment ref="N289" dT="2024-10-18T04:54:46.00" personId="{ED1D359B-D851-4826-88EF-B9650B16DF7A}" id="{81C1F546-1633-4CA3-B0CF-DA7685E36D9C}">
    <text>Project On-Hold</text>
  </threadedComment>
  <threadedComment ref="O289" dT="2024-10-18T04:54:46.00" personId="{ED1D359B-D851-4826-88EF-B9650B16DF7A}" id="{FE834FD8-233F-42DA-AD42-CC640A3740A0}">
    <text>Project On-Hold</text>
  </threadedComment>
  <threadedComment ref="P289" dT="2024-10-18T04:54:46.00" personId="{ED1D359B-D851-4826-88EF-B9650B16DF7A}" id="{1A938A8B-7175-4AA4-B2D1-B73B14518A70}">
    <text>Project On-Hold</text>
  </threadedComment>
  <threadedComment ref="Q289" dT="2024-10-18T04:54:46.00" personId="{ED1D359B-D851-4826-88EF-B9650B16DF7A}" id="{4DA3E5BE-6333-4679-8CD5-CBE5DAF0F591}">
    <text>Project On-Hold</text>
  </threadedComment>
  <threadedComment ref="R289" dT="2024-10-18T04:54:46.00" personId="{ED1D359B-D851-4826-88EF-B9650B16DF7A}" id="{BA72CD7F-3ECA-451B-AF56-511D0B05D8C0}">
    <text>Project On-Hold</text>
  </threadedComment>
  <threadedComment ref="S289" dT="2024-10-18T04:54:46.00" personId="{ED1D359B-D851-4826-88EF-B9650B16DF7A}" id="{B19AE297-F5BB-44F9-A261-2CA86EBBBD64}">
    <text>Project On-Hold</text>
  </threadedComment>
  <threadedComment ref="T289" dT="2024-10-18T04:54:46.00" personId="{ED1D359B-D851-4826-88EF-B9650B16DF7A}" id="{62505D2F-4259-4D0A-B2F5-1D01CA3537A8}">
    <text>Project On-Hold</text>
  </threadedComment>
  <threadedComment ref="U289" dT="2024-10-18T04:54:46.00" personId="{ED1D359B-D851-4826-88EF-B9650B16DF7A}" id="{70EBDF10-4CD8-43F6-B1BA-1E35346A3AF8}">
    <text>Project On-Hold</text>
  </threadedComment>
  <threadedComment ref="I290" dT="2024-05-11T07:56:57.64" personId="{385AE97E-DB3C-47AF-B0F4-D63AD85D52E9}" id="{F68BC87B-A22C-4714-A580-B378C75A60AF}">
    <text>Target not approved by PH</text>
  </threadedComment>
  <threadedComment ref="L290" dT="2024-10-18T04:54:46.00" personId="{ED1D359B-D851-4826-88EF-B9650B16DF7A}" id="{724250CB-824F-4983-AF15-8AB8C27B586B}">
    <text>Project On-Hold</text>
  </threadedComment>
  <threadedComment ref="M290" dT="2024-10-18T04:54:46.00" personId="{ED1D359B-D851-4826-88EF-B9650B16DF7A}" id="{E9964DE9-09D3-4B47-96A8-B0D7D9EA4E17}">
    <text>Project On-Hold</text>
  </threadedComment>
  <threadedComment ref="N290" dT="2024-10-18T04:54:46.00" personId="{ED1D359B-D851-4826-88EF-B9650B16DF7A}" id="{EB4D8B1D-4CA7-4BAB-8D37-68473F705132}">
    <text>Project On-Hold</text>
  </threadedComment>
  <threadedComment ref="O290" dT="2024-10-18T04:54:46.00" personId="{ED1D359B-D851-4826-88EF-B9650B16DF7A}" id="{FAFDBD9A-6D6B-4AE1-9273-2F545CDE519B}">
    <text>Project On-Hold</text>
  </threadedComment>
  <threadedComment ref="P290" dT="2024-10-18T04:54:46.00" personId="{ED1D359B-D851-4826-88EF-B9650B16DF7A}" id="{97D9DE30-E007-4A34-ABE4-8B319BA93022}">
    <text>Project On-Hold</text>
  </threadedComment>
  <threadedComment ref="Q290" dT="2024-10-18T04:54:46.00" personId="{ED1D359B-D851-4826-88EF-B9650B16DF7A}" id="{C2DF05BB-649B-488E-A4C0-C41A629B7E0E}">
    <text>Project On-Hold</text>
  </threadedComment>
  <threadedComment ref="R290" dT="2024-10-18T04:54:46.00" personId="{ED1D359B-D851-4826-88EF-B9650B16DF7A}" id="{38688B21-7B7D-4210-9B58-82AE89B445F9}">
    <text>Project On-Hold</text>
  </threadedComment>
  <threadedComment ref="S290" dT="2024-10-18T04:54:46.00" personId="{ED1D359B-D851-4826-88EF-B9650B16DF7A}" id="{1CA40280-8EB9-4C77-8312-3B00F1E07BF2}">
    <text>Project On-Hold</text>
  </threadedComment>
  <threadedComment ref="T290" dT="2024-10-18T04:54:46.00" personId="{ED1D359B-D851-4826-88EF-B9650B16DF7A}" id="{8289411C-AD58-4498-8872-2B221CBFD5E0}">
    <text>Project On-Hold</text>
  </threadedComment>
  <threadedComment ref="U290" dT="2024-10-18T04:54:46.00" personId="{ED1D359B-D851-4826-88EF-B9650B16DF7A}" id="{1409B4B4-3A63-4533-96E3-13F83CA2E473}">
    <text>Project On-Hold</text>
  </threadedComment>
  <threadedComment ref="J291" dT="2025-05-22T11:19:46.53" personId="{ED1D359B-D851-4826-88EF-B9650B16DF7A}" id="{38CF17F5-F1F5-45F7-A5BC-423DB51423B5}">
    <text>No Joiner in the month</text>
  </threadedComment>
  <threadedComment ref="K291" dT="2025-05-22T11:19:46.53" personId="{ED1D359B-D851-4826-88EF-B9650B16DF7A}" id="{A215B461-B1AA-482E-8130-EC561D1766B5}">
    <text>No Joiner in the month</text>
  </threadedComment>
  <threadedComment ref="L291" dT="2025-06-27T07:58:19.79" personId="{ED1D359B-D851-4826-88EF-B9650B16DF7A}" id="{5F0B151F-2C55-46E1-9EDE-D7B69BE682E7}">
    <text>Not Validated</text>
  </threadedComment>
  <threadedComment ref="J292" dT="2025-05-21T12:47:41.69" personId="{803D42D1-F8A1-4625-BA7D-02834BDCA61B}" id="{4C0DE673-4CFF-4949-8A33-811B5AB88080}">
    <text xml:space="preserve">Validated
</text>
  </threadedComment>
  <threadedComment ref="L292" dT="2025-06-27T07:58:19.79" personId="{ED1D359B-D851-4826-88EF-B9650B16DF7A}" id="{2328E850-ACAF-43A5-928C-1271819AC343}">
    <text>Not Validated</text>
  </threadedComment>
  <threadedComment ref="T292" dT="2025-09-29T12:48:33.71" personId="{5E6C111D-6CBD-463B-B75C-C6A667AF4364}" id="{553776E1-CA4C-49F8-A679-D4D8B3BBD77C}">
    <text xml:space="preserve">Incorrect values
</text>
  </threadedComment>
  <threadedComment ref="J293" dT="2025-05-21T13:03:17.30" personId="{803D42D1-F8A1-4625-BA7D-02834BDCA61B}" id="{F0D8A016-F2E3-4D7A-9394-9C7CCB66F550}">
    <text>Not Validated, due to absence of month end tracker</text>
  </threadedComment>
  <threadedComment ref="L293" dT="2025-06-27T07:58:19.79" personId="{ED1D359B-D851-4826-88EF-B9650B16DF7A}" id="{43F0D9F5-0704-4C42-8C5C-C8737CF28205}">
    <text>Not Validated</text>
  </threadedComment>
  <threadedComment ref="N293" dT="2025-07-25T10:51:00.29" personId="{5E6C111D-6CBD-463B-B75C-C6A667AF4364}" id="{B21A4808-043C-4AE2-9CC5-0FF3D015D3F9}">
    <text>Not validated</text>
  </threadedComment>
  <threadedComment ref="P293" dT="2025-07-25T10:54:34.75" personId="{5E6C111D-6CBD-463B-B75C-C6A667AF4364}" id="{BB048B64-B2FE-4B02-A33E-DC063FE40688}">
    <text>Not Validated</text>
  </threadedComment>
  <threadedComment ref="T293" dT="2025-09-29T12:49:01.58" personId="{5E6C111D-6CBD-463B-B75C-C6A667AF4364}" id="{FA0A8A18-8C8F-4093-8276-9EFE1097F8F9}">
    <text xml:space="preserve">Incorrect values
</text>
  </threadedComment>
  <threadedComment ref="L294" dT="2025-06-27T07:58:19.79" personId="{ED1D359B-D851-4826-88EF-B9650B16DF7A}" id="{EDEFF433-B7EB-439C-A9DF-553E974F8ED1}">
    <text>Not Validated</text>
  </threadedComment>
  <threadedComment ref="N294" dT="2025-07-25T10:51:23.89" personId="{5E6C111D-6CBD-463B-B75C-C6A667AF4364}" id="{AA2CEB5C-8F1E-4F20-B8B2-28DBD1249982}">
    <text>Not Validated</text>
  </threadedComment>
  <threadedComment ref="P294" dT="2025-07-25T10:54:40.39" personId="{5E6C111D-6CBD-463B-B75C-C6A667AF4364}" id="{3E7EC866-7F08-4ABE-9CAA-EBB134B841F8}">
    <text>Not Validated</text>
  </threadedComment>
  <threadedComment ref="L295" dT="2025-06-27T07:58:19.79" personId="{ED1D359B-D851-4826-88EF-B9650B16DF7A}" id="{CB5F93E7-EA12-477B-BADA-B1B8E2FA9E99}">
    <text>Not Validated</text>
  </threadedComment>
  <threadedComment ref="N295" dT="2025-07-25T10:54:01.47" personId="{5E6C111D-6CBD-463B-B75C-C6A667AF4364}" id="{3FFF239C-5B3E-4816-8AED-183A1064AA75}">
    <text>Not Validated</text>
  </threadedComment>
  <threadedComment ref="P295" dT="2025-07-25T10:54:45.88" personId="{5E6C111D-6CBD-463B-B75C-C6A667AF4364}" id="{3338FD61-E976-4FFA-A260-2B8CFAB12ABA}">
    <text>Not Validated</text>
  </threadedComment>
  <threadedComment ref="T295" dT="2025-09-29T12:46:47.91" personId="{5E6C111D-6CBD-463B-B75C-C6A667AF4364}" id="{6D8C148D-9C3E-41A8-A70C-BC64DDD36EA4}">
    <text>Incorrect values</text>
  </threadedComment>
  <threadedComment ref="L296" dT="2025-06-27T07:58:19.79" personId="{ED1D359B-D851-4826-88EF-B9650B16DF7A}" id="{30687F18-B323-4DDA-A141-211D9107243D}">
    <text>Not Validated</text>
  </threadedComment>
  <threadedComment ref="T296" dT="2025-09-29T12:47:39.56" personId="{5E6C111D-6CBD-463B-B75C-C6A667AF4364}" id="{BA79AA53-8C1A-4516-8297-58227FF5C9A2}">
    <text xml:space="preserve">Incorrect values
</text>
  </threadedComment>
  <threadedComment ref="L297" dT="2025-06-27T07:58:19.79" personId="{ED1D359B-D851-4826-88EF-B9650B16DF7A}" id="{EFAC8BE8-7042-4ABF-926D-82CB0481BE1F}">
    <text>Not Validated</text>
  </threadedComment>
  <threadedComment ref="N297" dT="2025-07-25T10:54:18.31" personId="{5E6C111D-6CBD-463B-B75C-C6A667AF4364}" id="{450D2D34-6950-4304-BDE9-AEC31BE9FB64}">
    <text>Not Validated</text>
  </threadedComment>
  <threadedComment ref="P297" dT="2025-07-25T10:55:16.14" personId="{5E6C111D-6CBD-463B-B75C-C6A667AF4364}" id="{CBD3A31B-8495-4BF9-BC6B-4D0300461E11}">
    <text>Not Validated</text>
  </threadedComment>
  <threadedComment ref="L298" dT="2025-07-25T11:42:56.15" personId="{ED1D359B-D851-4826-88EF-B9650B16DF7A}" id="{E9760269-127B-41DC-8885-9D9119B02C28}">
    <text>Reported from June month</text>
  </threadedComment>
  <threadedComment ref="M298" dT="2025-07-25T11:42:56.15" personId="{ED1D359B-D851-4826-88EF-B9650B16DF7A}" id="{54D8D704-82B4-4000-AEBB-E06B9CE2DF7F}">
    <text>Reported from June month</text>
  </threadedComment>
  <threadedComment ref="Z301" dT="2025-11-21T07:34:41.83" personId="{0DA7D522-9CE4-4258-8DAB-BD560F345A98}" id="{AA4C1496-89E5-4A37-AA04-83E56AAB878A}">
    <text>No offers in Oct’25</text>
  </threadedComment>
  <threadedComment ref="Z304" dT="2025-11-21T07:34:41.83" personId="{0DA7D522-9CE4-4258-8DAB-BD560F345A98}" id="{97D90C00-AF6C-444F-8D79-F791624849A9}">
    <text>No offers in Oct’25</text>
  </threadedComment>
  <threadedComment ref="AF304" dT="2026-02-20T11:47:59.45" personId="{0DA7D522-9CE4-4258-8DAB-BD560F345A98}" id="{94ED5E0C-EDC2-4140-BBA3-4537EA481F81}">
    <text xml:space="preserve">No Candidate offered for this band </text>
  </threadedComment>
  <threadedComment ref="L305" dT="2025-06-19T07:59:25.93" personId="{0DA7D522-9CE4-4258-8DAB-BD560F345A98}" id="{E13A299E-5654-4032-B415-3BCA455EA402}">
    <text>No offers for Band 2 candidates</text>
  </threadedComment>
  <threadedComment ref="M305" dT="2025-06-19T07:59:25.93" personId="{0DA7D522-9CE4-4258-8DAB-BD560F345A98}" id="{0C0F8395-0D4A-4D01-9B8B-FE1F776697C3}">
    <text>No offers for Band 2 candidates</text>
  </threadedComment>
  <threadedComment ref="N305" dT="2025-06-19T07:59:25.93" personId="{0DA7D522-9CE4-4258-8DAB-BD560F345A98}" id="{B9D88A8D-55DD-4B7B-BD2A-E85110310152}">
    <text>No offers for Band 2 candidates</text>
  </threadedComment>
  <threadedComment ref="O305" dT="2025-06-19T07:59:25.93" personId="{0DA7D522-9CE4-4258-8DAB-BD560F345A98}" id="{FE4F5313-8056-42F5-BF39-065BA3C5259F}">
    <text>No offers for Band 2 candidates</text>
  </threadedComment>
  <threadedComment ref="P305" dT="2025-06-19T07:59:25.93" personId="{0DA7D522-9CE4-4258-8DAB-BD560F345A98}" id="{E6568946-F395-41A8-887A-7C5155298981}">
    <text>No offers for Band 2 candidates</text>
  </threadedComment>
  <threadedComment ref="Q305" dT="2025-06-19T07:59:25.93" personId="{0DA7D522-9CE4-4258-8DAB-BD560F345A98}" id="{D6EC8352-C8AC-47B2-A7E9-ACBC3951A060}">
    <text>No offers for Band 2 candidates</text>
  </threadedComment>
  <threadedComment ref="Z305" dT="2025-11-21T07:34:41.83" personId="{0DA7D522-9CE4-4258-8DAB-BD560F345A98}" id="{1E05043B-B506-4C08-B0C2-BF84CBA177D3}">
    <text>No offers in Oct’25</text>
  </threadedComment>
  <threadedComment ref="AF305" dT="2026-02-20T11:47:59.45" personId="{0DA7D522-9CE4-4258-8DAB-BD560F345A98}" id="{5C5850B9-AFAC-4C43-B885-D319BE80C96F}">
    <text xml:space="preserve">No Candidate offered for this band </text>
  </threadedComment>
  <threadedComment ref="I306" dT="2024-09-15T09:56:36.87" personId="{ED1D359B-D851-4826-88EF-B9650B16DF7A}" id="{070C7122-B9FD-49EA-9A54-ECD02E1EE7BB}">
    <text>Target change from 45 Days to &lt;=20%</text>
  </threadedComment>
  <threadedComment ref="L311" dT="2025-06-20T07:50:59.57" personId="{385AE97E-DB3C-47AF-B0F4-D63AD85D52E9}" id="{C87B9590-B0C4-433D-B823-510E7B2C6A45}">
    <text>15 offers</text>
  </threadedComment>
  <threadedComment ref="T311" dT="2025-09-25T09:38:45.82" personId="{385AE97E-DB3C-47AF-B0F4-D63AD85D52E9}" id="{BA29B258-EEA1-4BBD-8F36-37908CCE142F}">
    <text>Validated</text>
  </threadedComment>
  <threadedComment ref="L312" dT="2025-06-19T10:35:56.54" personId="{385AE97E-DB3C-47AF-B0F4-D63AD85D52E9}" id="{3DB7DB21-A7AF-4919-BB00-A3E531A44CF0}">
    <text>15 joiners</text>
  </threadedComment>
  <threadedComment ref="T312" dT="2025-09-25T09:38:49.25" personId="{385AE97E-DB3C-47AF-B0F4-D63AD85D52E9}" id="{31E255E7-82DC-4DC8-8C1C-85570E226CAA}">
    <text>Validated</text>
  </threadedComment>
  <threadedComment ref="L314" dT="2025-06-20T08:12:41.54" personId="{385AE97E-DB3C-47AF-B0F4-D63AD85D52E9}" id="{3EE2E8DE-BFEA-48A8-9AAD-1397AB0F96F1}">
    <text>82cvs shortlisted and 109 CVs shared</text>
  </threadedComment>
  <threadedComment ref="T314" dT="2025-09-25T09:38:51.95" personId="{385AE97E-DB3C-47AF-B0F4-D63AD85D52E9}" id="{0A011F5D-5195-4F8A-9B0C-9F2BC2AE45B7}">
    <text>Validated</text>
  </threadedComment>
  <threadedComment ref="L315" dT="2025-06-20T08:13:11.27" personId="{385AE97E-DB3C-47AF-B0F4-D63AD85D52E9}" id="{AC4583F0-FBD5-4346-A6FB-AAE57738E49A}">
    <text>Cannot validate as the base file is not complete</text>
  </threadedComment>
  <threadedComment ref="T315" dT="2025-09-25T09:38:56.06" personId="{385AE97E-DB3C-47AF-B0F4-D63AD85D52E9}" id="{995FF377-56E9-428B-84C2-D413C1CDF2C2}">
    <text>Validated</text>
  </threadedComment>
  <threadedComment ref="L316" dT="2025-06-20T08:13:41.18" personId="{385AE97E-DB3C-47AF-B0F4-D63AD85D52E9}" id="{9BE49006-DBD0-4546-BF0D-465CB0AEAE1F}">
    <text>1 offer declined and 5 offer released</text>
  </threadedComment>
  <threadedComment ref="AB316" dT="2025-12-30T09:45:11.32" personId="{803D42D1-F8A1-4625-BA7D-02834BDCA61B}" id="{7F943D2C-18B0-42C3-9844-5318AE7BCD53}">
    <text>Validated</text>
  </threadedComment>
  <threadedComment ref="I317" dT="2024-05-24T12:01:46.49" personId="{ED1D359B-D851-4826-88EF-B9650B16DF7A}" id="{811E5C17-0ABD-40EE-A063-929510D9DDDA}">
    <text>MG of 21 Positions</text>
  </threadedComment>
  <threadedComment ref="AB317" dT="2025-12-30T09:45:52.00" personId="{803D42D1-F8A1-4625-BA7D-02834BDCA61B}" id="{6794F02F-B5C7-4A6B-A80E-F646D99B64B9}">
    <text>Not Validated. Insufficient Data</text>
  </threadedComment>
  <threadedComment ref="L318" dT="2025-06-20T08:14:14.78" personId="{385AE97E-DB3C-47AF-B0F4-D63AD85D52E9}" id="{A71F0E2F-9ADB-47E5-858D-F261447539AB}">
    <text>1 female out of 15 joiners</text>
  </threadedComment>
  <threadedComment ref="J319" dT="2024-10-18T04:54:46.00" personId="{ED1D359B-D851-4826-88EF-B9650B16DF7A}" id="{DC1CA44F-4CE4-41DD-A83E-8D056EBC1055}">
    <text>Project On-Hold</text>
  </threadedComment>
  <threadedComment ref="K319" dT="2024-10-18T04:54:46.00" personId="{ED1D359B-D851-4826-88EF-B9650B16DF7A}" id="{544E1350-405A-40B9-BEC9-CACD7370D1D3}">
    <text>Project On-Hold</text>
  </threadedComment>
  <threadedComment ref="L319" dT="2024-10-18T04:54:46.00" personId="{ED1D359B-D851-4826-88EF-B9650B16DF7A}" id="{E8E256AA-732E-4D8D-ACE2-690088CD92D5}">
    <text>Project On-Hold</text>
  </threadedComment>
  <threadedComment ref="M319" dT="2024-10-18T04:54:46.00" personId="{ED1D359B-D851-4826-88EF-B9650B16DF7A}" id="{4429727D-D259-4D14-8E29-CAFED5B23885}">
    <text>Project On-Hold</text>
  </threadedComment>
  <threadedComment ref="N319" dT="2024-10-18T04:54:46.00" personId="{ED1D359B-D851-4826-88EF-B9650B16DF7A}" id="{755A6FDB-CC56-4E60-873B-03FDC2008442}">
    <text>Project On-Hold</text>
  </threadedComment>
  <threadedComment ref="O319" dT="2024-10-18T04:54:46.00" personId="{ED1D359B-D851-4826-88EF-B9650B16DF7A}" id="{EED7B2F0-A22C-443F-91B0-988EACA87B3E}">
    <text>Project On-Hold</text>
  </threadedComment>
  <threadedComment ref="P319" dT="2024-10-18T04:54:46.00" personId="{ED1D359B-D851-4826-88EF-B9650B16DF7A}" id="{33EAF934-A846-4D46-AE5F-A335A634FC5A}">
    <text>Project On-Hold</text>
  </threadedComment>
  <threadedComment ref="Q319" dT="2024-10-18T04:54:46.00" personId="{ED1D359B-D851-4826-88EF-B9650B16DF7A}" id="{79B5FCD9-2C7D-4541-A882-1AF151802666}">
    <text>Project On-Hold</text>
  </threadedComment>
  <threadedComment ref="R319" dT="2024-10-18T04:54:46.00" personId="{ED1D359B-D851-4826-88EF-B9650B16DF7A}" id="{84786267-5517-49A8-8959-CB3F7374D41F}">
    <text>Project On-Hold</text>
  </threadedComment>
  <threadedComment ref="S319" dT="2024-10-18T04:54:46.00" personId="{ED1D359B-D851-4826-88EF-B9650B16DF7A}" id="{ABFBECAF-D01F-4D7D-933A-0647336B4D05}">
    <text>Project On-Hold</text>
  </threadedComment>
  <threadedComment ref="T319" dT="2024-10-18T04:54:46.00" personId="{ED1D359B-D851-4826-88EF-B9650B16DF7A}" id="{D4DC6383-5531-4416-AD54-78202BCA9945}">
    <text>Project On-Hold</text>
  </threadedComment>
  <threadedComment ref="U319" dT="2024-10-18T04:54:46.00" personId="{ED1D359B-D851-4826-88EF-B9650B16DF7A}" id="{F5117101-33AA-4D30-BC85-6E7C0888F49D}">
    <text>Project On-Hold</text>
  </threadedComment>
  <threadedComment ref="J320" dT="2024-10-18T04:54:46.00" personId="{ED1D359B-D851-4826-88EF-B9650B16DF7A}" id="{7D8CB022-6CE2-4E98-B6B4-1F5073BBF28E}">
    <text>Project On-Hold</text>
  </threadedComment>
  <threadedComment ref="K320" dT="2024-10-18T04:54:46.00" personId="{ED1D359B-D851-4826-88EF-B9650B16DF7A}" id="{CB2A9FE2-97E7-4D25-80F5-D0ED1F2CE175}">
    <text>Project On-Hold</text>
  </threadedComment>
  <threadedComment ref="L320" dT="2024-10-18T04:54:46.00" personId="{ED1D359B-D851-4826-88EF-B9650B16DF7A}" id="{4C0C1E81-8969-4E4D-8A8B-A8DD8432E2A3}">
    <text>Project On-Hold</text>
  </threadedComment>
  <threadedComment ref="M320" dT="2024-10-18T04:54:46.00" personId="{ED1D359B-D851-4826-88EF-B9650B16DF7A}" id="{3AB5F030-7414-4621-88C9-6B3DFED5B39A}">
    <text>Project On-Hold</text>
  </threadedComment>
  <threadedComment ref="N320" dT="2024-10-18T04:54:46.00" personId="{ED1D359B-D851-4826-88EF-B9650B16DF7A}" id="{0A8E8BAF-5EE7-4896-A6CF-0F0584D6C376}">
    <text>Project On-Hold</text>
  </threadedComment>
  <threadedComment ref="O320" dT="2024-10-18T04:54:46.00" personId="{ED1D359B-D851-4826-88EF-B9650B16DF7A}" id="{A8179E61-142C-4207-A7F1-5637FDE2F6B9}">
    <text>Project On-Hold</text>
  </threadedComment>
  <threadedComment ref="P320" dT="2024-10-18T04:54:46.00" personId="{ED1D359B-D851-4826-88EF-B9650B16DF7A}" id="{7E971D10-6990-4A20-B869-5BC00BB89187}">
    <text>Project On-Hold</text>
  </threadedComment>
  <threadedComment ref="Q320" dT="2024-10-18T04:54:46.00" personId="{ED1D359B-D851-4826-88EF-B9650B16DF7A}" id="{726FAA3F-9493-4101-A668-CBFE43DE8203}">
    <text>Project On-Hold</text>
  </threadedComment>
  <threadedComment ref="R320" dT="2024-10-18T04:54:46.00" personId="{ED1D359B-D851-4826-88EF-B9650B16DF7A}" id="{45DF8CBB-F088-4BDD-A35E-F861FCEC4E48}">
    <text>Project On-Hold</text>
  </threadedComment>
  <threadedComment ref="S320" dT="2024-10-18T04:54:46.00" personId="{ED1D359B-D851-4826-88EF-B9650B16DF7A}" id="{296D487D-0201-4344-9098-CAB0EA28CEC5}">
    <text>Project On-Hold</text>
  </threadedComment>
  <threadedComment ref="T320" dT="2024-10-18T04:54:46.00" personId="{ED1D359B-D851-4826-88EF-B9650B16DF7A}" id="{A40E8F09-DA7D-42BD-ABF8-77A237AB3EC1}">
    <text>Project On-Hold</text>
  </threadedComment>
  <threadedComment ref="U320" dT="2024-10-18T04:54:46.00" personId="{ED1D359B-D851-4826-88EF-B9650B16DF7A}" id="{076982E5-8A07-4D85-9518-B7874989B280}">
    <text>Project On-Hold</text>
  </threadedComment>
  <threadedComment ref="J321" dT="2024-10-18T04:54:46.00" personId="{ED1D359B-D851-4826-88EF-B9650B16DF7A}" id="{A5AEE27A-035B-4954-B886-2537DB65CDEA}">
    <text>Project On-Hold</text>
  </threadedComment>
  <threadedComment ref="K321" dT="2024-10-18T04:54:46.00" personId="{ED1D359B-D851-4826-88EF-B9650B16DF7A}" id="{E54DE342-A246-40AD-9474-3DD55B32C909}">
    <text>Project On-Hold</text>
  </threadedComment>
  <threadedComment ref="L321" dT="2024-10-18T04:54:46.00" personId="{ED1D359B-D851-4826-88EF-B9650B16DF7A}" id="{8899E6FF-B448-48A1-80AA-74019432AB11}">
    <text>Project On-Hold</text>
  </threadedComment>
  <threadedComment ref="M321" dT="2024-10-18T04:54:46.00" personId="{ED1D359B-D851-4826-88EF-B9650B16DF7A}" id="{751EC8B1-E962-4ACE-8AC1-FC68FAE63A6B}">
    <text>Project On-Hold</text>
  </threadedComment>
  <threadedComment ref="N321" dT="2024-10-18T04:54:46.00" personId="{ED1D359B-D851-4826-88EF-B9650B16DF7A}" id="{069040FF-2931-45B3-A2E7-A86DDF81FCAC}">
    <text>Project On-Hold</text>
  </threadedComment>
  <threadedComment ref="O321" dT="2024-10-18T04:54:46.00" personId="{ED1D359B-D851-4826-88EF-B9650B16DF7A}" id="{E530A4D8-BE34-4DE4-B5A5-6D91EAF7279E}">
    <text>Project On-Hold</text>
  </threadedComment>
  <threadedComment ref="P321" dT="2024-10-18T04:54:46.00" personId="{ED1D359B-D851-4826-88EF-B9650B16DF7A}" id="{7CCBF569-E7D9-4DB5-ADD2-35A6F2CB62B7}">
    <text>Project On-Hold</text>
  </threadedComment>
  <threadedComment ref="Q321" dT="2024-10-18T04:54:46.00" personId="{ED1D359B-D851-4826-88EF-B9650B16DF7A}" id="{06198629-A0A3-4493-A1E9-4BFF98F99603}">
    <text>Project On-Hold</text>
  </threadedComment>
  <threadedComment ref="R321" dT="2024-10-18T04:54:46.00" personId="{ED1D359B-D851-4826-88EF-B9650B16DF7A}" id="{AA2D43D0-3A58-448D-9DA4-6B66CA9C3879}">
    <text>Project On-Hold</text>
  </threadedComment>
  <threadedComment ref="S321" dT="2024-10-18T04:54:46.00" personId="{ED1D359B-D851-4826-88EF-B9650B16DF7A}" id="{D41A45A6-F238-4ECF-9AB1-9C85AD0FDBDC}">
    <text>Project On-Hold</text>
  </threadedComment>
  <threadedComment ref="T321" dT="2024-10-18T04:54:46.00" personId="{ED1D359B-D851-4826-88EF-B9650B16DF7A}" id="{C00E20C5-BF2E-43FF-996E-1094CEEB8BC9}">
    <text>Project On-Hold</text>
  </threadedComment>
  <threadedComment ref="U321" dT="2024-10-18T04:54:46.00" personId="{ED1D359B-D851-4826-88EF-B9650B16DF7A}" id="{B1D45861-C666-48A6-9F81-6AE9368A4C9E}">
    <text>Project On-Hold</text>
  </threadedComment>
  <threadedComment ref="J322" dT="2024-10-18T04:54:46.00" personId="{ED1D359B-D851-4826-88EF-B9650B16DF7A}" id="{868F9940-5DCC-43A0-9EA6-7701C6989430}">
    <text>Project On-Hold</text>
  </threadedComment>
  <threadedComment ref="K322" dT="2024-10-18T04:54:46.00" personId="{ED1D359B-D851-4826-88EF-B9650B16DF7A}" id="{05FDCEC8-F90B-4FF6-863E-2FA28D9F1EFD}">
    <text>Project On-Hold</text>
  </threadedComment>
  <threadedComment ref="L322" dT="2024-10-18T04:54:46.00" personId="{ED1D359B-D851-4826-88EF-B9650B16DF7A}" id="{84B91636-1BF9-4AD2-9E57-5051247DB434}">
    <text>Project On-Hold</text>
  </threadedComment>
  <threadedComment ref="M322" dT="2024-10-18T04:54:46.00" personId="{ED1D359B-D851-4826-88EF-B9650B16DF7A}" id="{70EB890F-7879-4514-B865-3123E5A4BFDC}">
    <text>Project On-Hold</text>
  </threadedComment>
  <threadedComment ref="N322" dT="2024-10-18T04:54:46.00" personId="{ED1D359B-D851-4826-88EF-B9650B16DF7A}" id="{3A7F73F6-DAF0-4AB3-BA56-38C5A7EDB024}">
    <text>Project On-Hold</text>
  </threadedComment>
  <threadedComment ref="O322" dT="2024-10-18T04:54:46.00" personId="{ED1D359B-D851-4826-88EF-B9650B16DF7A}" id="{EB95AF56-2028-4A08-A1AA-D661069D1A5F}">
    <text>Project On-Hold</text>
  </threadedComment>
  <threadedComment ref="P322" dT="2024-10-18T04:54:46.00" personId="{ED1D359B-D851-4826-88EF-B9650B16DF7A}" id="{22DB22C0-0E19-40D1-B027-12EF37B33514}">
    <text>Project On-Hold</text>
  </threadedComment>
  <threadedComment ref="Q322" dT="2024-10-18T04:54:46.00" personId="{ED1D359B-D851-4826-88EF-B9650B16DF7A}" id="{0353DE0F-D644-4BFF-8440-959B4F90C3B9}">
    <text>Project On-Hold</text>
  </threadedComment>
  <threadedComment ref="R322" dT="2024-10-18T04:54:46.00" personId="{ED1D359B-D851-4826-88EF-B9650B16DF7A}" id="{CA937108-B0BD-4615-B41A-2809F6757C5B}">
    <text>Project On-Hold</text>
  </threadedComment>
  <threadedComment ref="S322" dT="2024-10-18T04:54:46.00" personId="{ED1D359B-D851-4826-88EF-B9650B16DF7A}" id="{0080B8F8-DF68-4DCE-8797-807F8592125B}">
    <text>Project On-Hold</text>
  </threadedComment>
  <threadedComment ref="T322" dT="2024-10-18T04:54:46.00" personId="{ED1D359B-D851-4826-88EF-B9650B16DF7A}" id="{EACFC4F5-28FF-496C-A88B-4219F14CED3B}">
    <text>Project On-Hold</text>
  </threadedComment>
  <threadedComment ref="U322" dT="2024-10-18T04:54:46.00" personId="{ED1D359B-D851-4826-88EF-B9650B16DF7A}" id="{47BF7A41-C3A1-4838-86A6-5BEE6C5BD769}">
    <text>Project On-Hold</text>
  </threadedComment>
  <threadedComment ref="J323" dT="2024-10-18T04:54:46.00" personId="{ED1D359B-D851-4826-88EF-B9650B16DF7A}" id="{6CE9A9DA-6643-487A-B057-DFF1F0E129E0}">
    <text>Project On-Hold</text>
  </threadedComment>
  <threadedComment ref="K323" dT="2024-10-18T04:54:46.00" personId="{ED1D359B-D851-4826-88EF-B9650B16DF7A}" id="{72D1899E-3448-4F20-AF85-05C71692F3A3}">
    <text>Project On-Hold</text>
  </threadedComment>
  <threadedComment ref="L323" dT="2024-10-18T04:54:46.00" personId="{ED1D359B-D851-4826-88EF-B9650B16DF7A}" id="{7689DA54-B539-436A-8A5B-FEE373FAAC8F}">
    <text>Project On-Hold</text>
  </threadedComment>
  <threadedComment ref="M323" dT="2024-10-18T04:54:46.00" personId="{ED1D359B-D851-4826-88EF-B9650B16DF7A}" id="{8F7A6492-1A63-4D4A-A63B-A7CD19774A17}">
    <text>Project On-Hold</text>
  </threadedComment>
  <threadedComment ref="N323" dT="2024-10-18T04:54:46.00" personId="{ED1D359B-D851-4826-88EF-B9650B16DF7A}" id="{02CE2CB9-E606-4EC1-9F39-C6AC297076D1}">
    <text>Project On-Hold</text>
  </threadedComment>
  <threadedComment ref="O323" dT="2024-10-18T04:54:46.00" personId="{ED1D359B-D851-4826-88EF-B9650B16DF7A}" id="{FF3B46FF-D700-4494-B1F7-56971F16F61A}">
    <text>Project On-Hold</text>
  </threadedComment>
  <threadedComment ref="P323" dT="2024-10-18T04:54:46.00" personId="{ED1D359B-D851-4826-88EF-B9650B16DF7A}" id="{0A7AEB68-C36A-4280-885C-AA6F9F105142}">
    <text>Project On-Hold</text>
  </threadedComment>
  <threadedComment ref="Q323" dT="2024-10-18T04:54:46.00" personId="{ED1D359B-D851-4826-88EF-B9650B16DF7A}" id="{CC6E9F79-50FE-4304-A6FB-92FCC69296EC}">
    <text>Project On-Hold</text>
  </threadedComment>
  <threadedComment ref="R323" dT="2024-10-18T04:54:46.00" personId="{ED1D359B-D851-4826-88EF-B9650B16DF7A}" id="{D06089D5-88EA-45F8-A6D1-8F443790BDA3}">
    <text>Project On-Hold</text>
  </threadedComment>
  <threadedComment ref="S323" dT="2024-10-18T04:54:46.00" personId="{ED1D359B-D851-4826-88EF-B9650B16DF7A}" id="{9D01584C-DEAF-470E-A4C8-A68EF913330E}">
    <text>Project On-Hold</text>
  </threadedComment>
  <threadedComment ref="T323" dT="2024-10-18T04:54:46.00" personId="{ED1D359B-D851-4826-88EF-B9650B16DF7A}" id="{2DECA7D1-B5D9-4ACD-A511-B5E9B56C80B0}">
    <text>Project On-Hold</text>
  </threadedComment>
  <threadedComment ref="U323" dT="2024-10-18T04:54:46.00" personId="{ED1D359B-D851-4826-88EF-B9650B16DF7A}" id="{5808A825-03D4-438D-BD03-3B18D63FC025}">
    <text>Project On-Hold</text>
  </threadedComment>
  <threadedComment ref="I324" dT="2023-02-09T08:45:29.68" personId="{0DA7D522-9CE4-4258-8DAB-BD560F345A98}" id="{80BBDEAC-A8D6-44E3-86D7-04402B478397}">
    <text xml:space="preserve">Old Target was 90 Days </text>
  </threadedComment>
  <threadedComment ref="J324" dT="2025-05-21T07:06:15.46" personId="{385AE97E-DB3C-47AF-B0F4-D63AD85D52E9}" id="{0E3A90BA-1DD5-4A14-B015-B95B7FF754DB}">
    <text>Validated</text>
  </threadedComment>
  <threadedComment ref="L324" dT="2025-06-19T08:39:43.34" personId="{385AE97E-DB3C-47AF-B0F4-D63AD85D52E9}" id="{97240E2A-471F-46BA-BEBF-AF50355D4F77}">
    <text>4 joiners</text>
  </threadedComment>
  <threadedComment ref="N324" dT="2025-07-21T08:15:56.68" personId="{385AE97E-DB3C-47AF-B0F4-D63AD85D52E9}" id="{692F8704-99DF-430B-87BF-971C27D16286}">
    <text>7 joiners</text>
  </threadedComment>
  <threadedComment ref="P324" dT="2025-07-21T08:19:42.47" personId="{385AE97E-DB3C-47AF-B0F4-D63AD85D52E9}" id="{123028EB-3F94-4AB6-BCF3-3F81F01D550F}">
    <text>21 joiners</text>
  </threadedComment>
  <threadedComment ref="AH324" dT="2026-03-23T07:58:44.25" personId="{803D42D1-F8A1-4625-BA7D-02834BDCA61B}" id="{0D61E097-367C-45B8-A34C-8D9F59031D5E}">
    <text>Not Validated. Insufficient Data</text>
  </threadedComment>
  <threadedComment ref="AJ324" dT="2026-03-23T07:58:44.25" personId="{803D42D1-F8A1-4625-BA7D-02834BDCA61B}" id="{12D8E619-3733-464F-B164-A4D8E8EF5F52}">
    <text>Not Validated. Insufficient Data</text>
  </threadedComment>
  <threadedComment ref="I325" dT="2023-02-09T08:45:43.54" personId="{0DA7D522-9CE4-4258-8DAB-BD560F345A98}" id="{C9EE6651-EF36-476F-BC7D-9446DFAE4152}">
    <text xml:space="preserve">Old target was 45 Days </text>
  </threadedComment>
  <threadedComment ref="J325" dT="2025-05-21T07:06:21.55" personId="{385AE97E-DB3C-47AF-B0F4-D63AD85D52E9}" id="{8BB06F18-558D-4BD9-99F5-34C3ADEDFCA0}">
    <text>Validated</text>
  </threadedComment>
  <threadedComment ref="L325" dT="2025-06-19T08:40:54.52" personId="{385AE97E-DB3C-47AF-B0F4-D63AD85D52E9}" id="{4392025C-9739-47EA-9D10-0A90D098D1A0}">
    <text>3 offers</text>
  </threadedComment>
  <threadedComment ref="N325" dT="2025-07-21T08:18:02.40" personId="{385AE97E-DB3C-47AF-B0F4-D63AD85D52E9}" id="{1575A4BA-53CE-4E08-B0CB-52F735EA9722}">
    <text>5 offers,</text>
  </threadedComment>
  <threadedComment ref="P325" dT="2025-07-21T08:18:55.48" personId="{385AE97E-DB3C-47AF-B0F4-D63AD85D52E9}" id="{F23A05D8-52A7-4137-A6A9-9EFEABAE604C}">
    <text>12 offers</text>
  </threadedComment>
  <threadedComment ref="AH325" dT="2026-03-23T07:58:44.25" personId="{803D42D1-F8A1-4625-BA7D-02834BDCA61B}" id="{F76EBAFC-6F24-459E-B2CA-6A1D4096ADC1}">
    <text>Not Validated. Insufficient Data</text>
  </threadedComment>
  <threadedComment ref="AJ325" dT="2026-03-23T07:58:44.25" personId="{803D42D1-F8A1-4625-BA7D-02834BDCA61B}" id="{61DDD26C-E2FE-4F75-BCE1-3DE9A9E09F16}">
    <text>Not Validated. Insufficient Data</text>
  </threadedComment>
  <threadedComment ref="I326" dT="2023-02-09T08:46:18.40" personId="{0DA7D522-9CE4-4258-8DAB-BD560F345A98}" id="{0BBE2631-5385-4864-8B82-BD5C4676C2D0}">
    <text>Old target was 95%</text>
  </threadedComment>
  <threadedComment ref="L326" dT="2025-06-19T08:45:27.64" personId="{385AE97E-DB3C-47AF-B0F4-D63AD85D52E9}" id="{9AACF866-3835-4BD9-9295-7F18B883A124}">
    <text>4 offers/7 joiners</text>
  </threadedComment>
  <threadedComment ref="N326" dT="2025-07-21T08:22:03.10" personId="{385AE97E-DB3C-47AF-B0F4-D63AD85D52E9}" id="{63A48C45-A42B-4DD4-B828-8E12085596F3}">
    <text>7 offers and 9 joiners</text>
  </threadedComment>
  <threadedComment ref="P326" dT="2025-07-21T08:22:15.88" personId="{385AE97E-DB3C-47AF-B0F4-D63AD85D52E9}" id="{C0D81A7C-3825-4499-BE33-8C3ED954B19E}">
    <text>21 offers and 30 joiners</text>
  </threadedComment>
  <threadedComment ref="AH326" dT="2026-03-23T07:58:44.25" personId="{803D42D1-F8A1-4625-BA7D-02834BDCA61B}" id="{9DAB514B-A547-47BB-A246-CE439E09C774}">
    <text>Not Validated. Insufficient Data</text>
  </threadedComment>
  <threadedComment ref="AJ326" dT="2026-03-23T07:58:44.25" personId="{803D42D1-F8A1-4625-BA7D-02834BDCA61B}" id="{3CF4A8AC-F0E8-4EF4-868D-6F5059479ADD}">
    <text>Not Validated. Insufficient Data</text>
  </threadedComment>
  <threadedComment ref="I327" dT="2023-02-09T12:18:36.35" personId="{ED1D359B-D851-4826-88EF-B9650B16DF7A}" id="{B9BD7590-E77F-47BD-8EC3-420EC890A7F4}">
    <text>Old target was 1:7</text>
  </threadedComment>
  <threadedComment ref="AH327" dT="2026-03-23T07:59:31.24" personId="{803D42D1-F8A1-4625-BA7D-02834BDCA61B}" id="{C725B73C-FB26-4397-8326-77F93BD3DD5A}">
    <text>Not Validated. Calculation Method Not Available</text>
  </threadedComment>
  <threadedComment ref="AJ327" dT="2026-03-23T07:59:31.24" personId="{803D42D1-F8A1-4625-BA7D-02834BDCA61B}" id="{1D26A78A-515C-48F5-ABF7-654478AB7523}">
    <text>Not Validated. Calculation Method Not Available</text>
  </threadedComment>
  <threadedComment ref="N328" dT="2025-07-21T08:22:40.11" personId="{385AE97E-DB3C-47AF-B0F4-D63AD85D52E9}" id="{D84B3A2F-85A6-4D20-A5C6-26F0E94ECC64}">
    <text>1 employee referral out of 14 joiners</text>
  </threadedComment>
  <threadedComment ref="P328" dT="2025-07-21T08:22:55.21" personId="{385AE97E-DB3C-47AF-B0F4-D63AD85D52E9}" id="{E85F2EA6-110E-4397-A9BB-636C91FD0512}">
    <text>14 employee referral out of 21 joiners</text>
  </threadedComment>
  <threadedComment ref="AH328" dT="2026-03-23T07:58:44.25" personId="{803D42D1-F8A1-4625-BA7D-02834BDCA61B}" id="{F4DB70F6-B1F0-4258-8281-02D3B8A2C442}">
    <text>Not Validated. Insufficient Data</text>
  </threadedComment>
  <threadedComment ref="AJ328" dT="2026-03-23T07:58:44.25" personId="{803D42D1-F8A1-4625-BA7D-02834BDCA61B}" id="{93D65A58-3DD8-41CA-B2A5-C19F8F025092}">
    <text>Not Validated. Insufficient Data</text>
  </threadedComment>
  <threadedComment ref="I329" dT="2024-05-11T05:08:18.08" personId="{385AE97E-DB3C-47AF-B0F4-D63AD85D52E9}" id="{435682AD-FA78-45FC-AC0B-F9E470E1E441}">
    <text>Target not approved by PH</text>
  </threadedComment>
  <threadedComment ref="J329" dT="2025-05-21T07:16:13.13" personId="{385AE97E-DB3C-47AF-B0F4-D63AD85D52E9}" id="{4A9577BD-D9DA-4E2C-8783-A0FB5DAF74A8}">
    <text>Validated</text>
  </threadedComment>
  <threadedComment ref="L329" dT="2025-06-19T08:42:29.84" personId="{385AE97E-DB3C-47AF-B0F4-D63AD85D52E9}" id="{B1838074-7C75-499A-A49E-83256D775120}">
    <text>3 positions beyond TTF and 19 open positions</text>
  </threadedComment>
  <threadedComment ref="N329" dT="2025-07-21T08:24:05.38" personId="{385AE97E-DB3C-47AF-B0F4-D63AD85D52E9}" id="{20B0B067-89B7-49F9-A2E1-1F04B9216323}">
    <text>5 position beyond TTF and 27 open positions</text>
  </threadedComment>
  <threadedComment ref="P329" dT="2025-07-21T08:24:21.99" personId="{385AE97E-DB3C-47AF-B0F4-D63AD85D52E9}" id="{97D67C84-52BF-46FA-9867-E16E98E20223}">
    <text>11 beyond TTF and 63 open positions</text>
  </threadedComment>
  <threadedComment ref="I330" dT="2024-05-11T05:08:21.57" personId="{385AE97E-DB3C-47AF-B0F4-D63AD85D52E9}" id="{3E43A46C-81CD-4CFF-A3E7-6194E669CF23}">
    <text>Target not approved by PH</text>
  </threadedComment>
  <threadedComment ref="L330" dT="2025-06-19T08:46:50.99" personId="{385AE97E-DB3C-47AF-B0F4-D63AD85D52E9}" id="{8051311C-B758-4C48-B05B-A8878F45AF53}">
    <text>36 CV shortlisted/64 CV shared</text>
  </threadedComment>
  <threadedComment ref="N330" dT="2025-07-21T08:24:45.31" personId="{385AE97E-DB3C-47AF-B0F4-D63AD85D52E9}" id="{E28C6945-4FE1-4378-A807-7250271BA3C0}">
    <text>56 CV shortlisted and 72 CV shared</text>
  </threadedComment>
  <threadedComment ref="P330" dT="2025-07-21T08:25:03.77" personId="{385AE97E-DB3C-47AF-B0F4-D63AD85D52E9}" id="{E48C7B01-B5A1-4C27-80CA-3ADCF56E8A2D}">
    <text>119 CVS shortlisted and 198 CV shared</text>
  </threadedComment>
  <threadedComment ref="R330" dT="2025-08-20T09:35:33.79" personId="{385AE97E-DB3C-47AF-B0F4-D63AD85D52E9}" id="{EC164407-F2FE-4AF3-87B6-AA0B8F45496B}">
    <text>Validated and 65/87</text>
  </threadedComment>
  <threadedComment ref="T330" dT="2025-09-25T10:04:17.24" personId="{385AE97E-DB3C-47AF-B0F4-D63AD85D52E9}" id="{B67B05C4-827B-486F-A01D-72A045776833}">
    <text>Validated</text>
  </threadedComment>
  <threadedComment ref="AH330" dT="2026-03-23T08:00:29.89" personId="{803D42D1-F8A1-4625-BA7D-02834BDCA61B}" id="{501A85A2-4FBD-40DD-8655-3A418ED69E74}">
    <text>Validated</text>
  </threadedComment>
  <threadedComment ref="AJ330" dT="2026-03-23T08:00:37.56" personId="{803D42D1-F8A1-4625-BA7D-02834BDCA61B}" id="{BBBB1376-334C-4CC4-9BDC-98DC6EE9B525}">
    <text>Validated</text>
  </threadedComment>
  <threadedComment ref="I331" dT="2024-05-11T05:08:24.67" personId="{385AE97E-DB3C-47AF-B0F4-D63AD85D52E9}" id="{CB5F870A-8AA6-4E7D-A407-A4D37B463DBC}">
    <text>Target not approved by PH</text>
  </threadedComment>
  <threadedComment ref="L331" dT="2025-06-19T08:47:37.70" personId="{385AE97E-DB3C-47AF-B0F4-D63AD85D52E9}" id="{50EE011B-EF27-41E4-B981-DECFB3041D30}">
    <text>2 selection and 64 CV shared</text>
  </threadedComment>
  <threadedComment ref="N331" dT="2025-07-21T08:25:28.00" personId="{385AE97E-DB3C-47AF-B0F4-D63AD85D52E9}" id="{602C3E52-1474-4809-897D-F93BD172113B}">
    <text>7 Selection and 72 Cv shared</text>
  </threadedComment>
  <threadedComment ref="P331" dT="2025-07-21T08:25:40.28" personId="{385AE97E-DB3C-47AF-B0F4-D63AD85D52E9}" id="{F72EC8E1-B3F2-4EAB-A532-149076B1C15B}">
    <text>13 selection and 198 CV shared</text>
  </threadedComment>
  <threadedComment ref="R331" dT="2025-08-20T09:35:41.75" personId="{385AE97E-DB3C-47AF-B0F4-D63AD85D52E9}" id="{3E42333F-D782-4024-B04D-681506139003}">
    <text>Validated and 12/87</text>
  </threadedComment>
  <threadedComment ref="T331" dT="2025-09-25T10:04:22.27" personId="{385AE97E-DB3C-47AF-B0F4-D63AD85D52E9}" id="{4F3601CC-32EC-47E5-A4EF-90640E0B9786}">
    <text>Validated</text>
  </threadedComment>
  <threadedComment ref="I332" dT="2024-05-11T05:08:28.38" personId="{385AE97E-DB3C-47AF-B0F4-D63AD85D52E9}" id="{45F2425D-D3CF-452C-A92E-3E3BE3D2DDF5}">
    <text>Target not approved by PH</text>
  </threadedComment>
  <threadedComment ref="L332" dT="2025-06-19T08:50:14.75" personId="{385AE97E-DB3C-47AF-B0F4-D63AD85D52E9}" id="{E6E36C2F-CD5D-480F-BB73-0DED94393BE2}">
    <text>0 offers decline and 3 offers released</text>
  </threadedComment>
  <threadedComment ref="N332" dT="2025-07-21T08:26:01.04" personId="{385AE97E-DB3C-47AF-B0F4-D63AD85D52E9}" id="{15040147-7448-4617-AFF0-3BD7BF45CD4C}">
    <text>1 offer drop and 5 offers released</text>
  </threadedComment>
  <threadedComment ref="P332" dT="2025-07-21T08:27:01.28" personId="{385AE97E-DB3C-47AF-B0F4-D63AD85D52E9}" id="{D2237137-6B23-4B8D-BBCA-AA687EF55667}">
    <text>2 offer declined out 12 offer released</text>
  </threadedComment>
  <threadedComment ref="AH332" dT="2026-03-23T07:58:44.25" personId="{803D42D1-F8A1-4625-BA7D-02834BDCA61B}" id="{6105B2EC-A514-4F07-9398-B0ADB3024B27}">
    <text>Not Validated. Insufficient Data</text>
  </threadedComment>
  <threadedComment ref="AJ332" dT="2026-03-23T07:58:44.25" personId="{803D42D1-F8A1-4625-BA7D-02834BDCA61B}" id="{9EBA1961-C3E8-40A3-8CCB-E1D46924DD25}">
    <text>Not Validated. Insufficient Data</text>
  </threadedComment>
  <threadedComment ref="I333" dT="2024-05-11T05:08:28.38" personId="{385AE97E-DB3C-47AF-B0F4-D63AD85D52E9}" id="{521E5D37-6181-4AB4-9B85-134820766F73}">
    <text>Target not approved by PH</text>
  </threadedComment>
  <threadedComment ref="N333" dT="2025-07-21T08:28:48.76" personId="{385AE97E-DB3C-47AF-B0F4-D63AD85D52E9}" id="{0E863B44-8901-44CA-A623-B9B5063622EA}">
    <text>Total 7 joiners and 27 open positions</text>
  </threadedComment>
  <threadedComment ref="P333" dT="2025-07-21T08:29:35.98" personId="{385AE97E-DB3C-47AF-B0F4-D63AD85D52E9}" id="{49FC5D50-8D87-4FF5-8EE8-11C6C251FE50}">
    <text xml:space="preserve">Total 21 joiners and 63 open positions
</text>
  </threadedComment>
  <threadedComment ref="I334" dT="2024-05-11T05:08:35.32" personId="{385AE97E-DB3C-47AF-B0F4-D63AD85D52E9}" id="{190BAC54-1880-4FD5-A300-E04D32177DDA}">
    <text>Target not approved by PH</text>
  </threadedComment>
  <threadedComment ref="N334" dT="2025-07-21T08:29:55.63" personId="{385AE97E-DB3C-47AF-B0F4-D63AD85D52E9}" id="{C8C9051D-3D69-46AE-8EC9-E698A74AC016}">
    <text>2 female and 7 joiners</text>
  </threadedComment>
  <threadedComment ref="P334" dT="2025-07-21T08:30:07.17" personId="{385AE97E-DB3C-47AF-B0F4-D63AD85D52E9}" id="{956A45CB-71D0-403A-9DCD-9A85FC9E40F7}">
    <text>6 female and 21 joiners</text>
  </threadedComment>
  <threadedComment ref="I335" dT="2023-03-10T16:13:24.09" personId="{ED1D359B-D851-4826-88EF-B9650B16DF7A}" id="{8AFAAD78-4DBD-4659-8AD5-8F2551BA86C9}">
    <text>Earlier we were measuring as a KPI and target was 90 Days till Dec'22</text>
  </threadedComment>
  <threadedComment ref="J335" dT="2025-05-21T07:12:44.28" personId="{385AE97E-DB3C-47AF-B0F4-D63AD85D52E9}" id="{2BD41418-FE9C-4368-B06C-EB381A347CF8}">
    <text>Validated</text>
  </threadedComment>
  <threadedComment ref="L335" dT="2025-06-19T08:27:30.65" personId="{385AE97E-DB3C-47AF-B0F4-D63AD85D52E9}" id="{65A97838-3521-4D61-AE8D-09885B17C06E}">
    <text>18 Joiners</text>
  </threadedComment>
  <threadedComment ref="N335" dT="2025-07-21T11:11:22.10" personId="{385AE97E-DB3C-47AF-B0F4-D63AD85D52E9}" id="{86A4D3A8-DAD2-4176-9994-2893D0A77692}">
    <text>19 joiners</text>
  </threadedComment>
  <threadedComment ref="AH335" dT="2026-03-23T08:07:22.40" personId="{803D42D1-F8A1-4625-BA7D-02834BDCA61B}" id="{F49F7060-D0E3-4065-8DAB-05A8D272460F}">
    <text>Not Validated. Insufficient Data</text>
  </threadedComment>
  <threadedComment ref="AJ335" dT="2026-03-23T08:07:22.40" personId="{803D42D1-F8A1-4625-BA7D-02834BDCA61B}" id="{9DDC5B1F-1B20-4BA5-A02C-7A8F59C8E599}">
    <text>Not Validated. Insufficient Data</text>
  </threadedComment>
  <threadedComment ref="I336" dT="2023-03-10T16:14:26.35" personId="{ED1D359B-D851-4826-88EF-B9650B16DF7A}" id="{3DCE3FAB-685E-493F-BC98-9E3B01A6537E}">
    <text>Earlier we were measuring as a KPI and target was 45 Days till Dec'22</text>
  </threadedComment>
  <threadedComment ref="J336" dT="2025-05-21T07:12:50.00" personId="{385AE97E-DB3C-47AF-B0F4-D63AD85D52E9}" id="{4891E11A-8227-492E-842A-A3A936F232D0}">
    <text>Validated</text>
  </threadedComment>
  <threadedComment ref="L336" dT="2025-06-19T08:29:29.02" personId="{385AE97E-DB3C-47AF-B0F4-D63AD85D52E9}" id="{263CEAB6-D740-4B18-B509-6AC6BAC13B92}">
    <text>10 offers</text>
  </threadedComment>
  <threadedComment ref="N336" dT="2025-07-21T11:14:51.22" personId="{385AE97E-DB3C-47AF-B0F4-D63AD85D52E9}" id="{991EF89A-C723-445B-93EA-70E8BE62B581}">
    <text>27 offers</text>
  </threadedComment>
  <threadedComment ref="P336" dT="2025-07-21T11:15:50.28" personId="{385AE97E-DB3C-47AF-B0F4-D63AD85D52E9}" id="{D7031159-4DDF-400F-9B1E-E0F621E48683}">
    <text>66 offers</text>
  </threadedComment>
  <threadedComment ref="AH336" dT="2026-03-23T08:07:22.40" personId="{803D42D1-F8A1-4625-BA7D-02834BDCA61B}" id="{8C090661-76D4-43AF-9EFA-D19BF219DD67}">
    <text>Not Validated. Insufficient Data</text>
  </threadedComment>
  <threadedComment ref="AJ336" dT="2026-03-23T08:07:22.40" personId="{803D42D1-F8A1-4625-BA7D-02834BDCA61B}" id="{D6377102-DB3D-4232-A224-2674264E62DB}">
    <text>Not Validated. Insufficient Data</text>
  </threadedComment>
  <threadedComment ref="L337" dT="2025-06-19T08:51:10.53" personId="{385AE97E-DB3C-47AF-B0F4-D63AD85D52E9}" id="{2560F414-3469-4E8D-A91A-8A6360DEC9BD}">
    <text>18 offers and 18 joined</text>
  </threadedComment>
  <threadedComment ref="N337" dT="2025-07-21T11:19:42.10" personId="{385AE97E-DB3C-47AF-B0F4-D63AD85D52E9}" id="{B4C6D9B6-285A-499F-8861-958778B977E1}">
    <text>19 offered and 22 joined</text>
  </threadedComment>
  <threadedComment ref="P337" dT="2025-07-21T11:19:57.55" personId="{385AE97E-DB3C-47AF-B0F4-D63AD85D52E9}" id="{8AD41FBD-0115-4379-AA7F-99F5D5CA34E6}">
    <text xml:space="preserve">43 offered and 47 joined
</text>
  </threadedComment>
  <threadedComment ref="AH337" dT="2026-03-23T08:07:22.40" personId="{803D42D1-F8A1-4625-BA7D-02834BDCA61B}" id="{C742E7A5-EE50-450A-ACA1-202FE34CA944}">
    <text>Not Validated. Insufficient Data</text>
  </threadedComment>
  <threadedComment ref="AJ337" dT="2026-03-23T08:07:22.40" personId="{803D42D1-F8A1-4625-BA7D-02834BDCA61B}" id="{86D095F2-0C73-499A-8337-F0F0319395E1}">
    <text>Not Validated. Insufficient Data</text>
  </threadedComment>
  <threadedComment ref="I338" dT="2023-03-10T16:15:05.64" personId="{ED1D359B-D851-4826-88EF-B9650B16DF7A}" id="{6396EA77-1AAF-4D39-839F-F812E5C9D4ED}">
    <text>Earlier we were measuring as a KPI and target was 1:10 till Dec'22</text>
  </threadedComment>
  <threadedComment ref="AH338" dT="2026-03-23T08:07:22.40" personId="{803D42D1-F8A1-4625-BA7D-02834BDCA61B}" id="{CE2E525C-1843-47F6-9B4F-3853033EC888}">
    <text>Not Validated. Insufficient Data</text>
  </threadedComment>
  <threadedComment ref="AJ338" dT="2026-03-23T08:07:22.40" personId="{803D42D1-F8A1-4625-BA7D-02834BDCA61B}" id="{E6E3528C-8B58-4419-B1F9-E13542C9DB32}">
    <text>Not Validated. Insufficient Data</text>
  </threadedComment>
  <threadedComment ref="N339" dT="2025-07-21T11:21:27.24" personId="{385AE97E-DB3C-47AF-B0F4-D63AD85D52E9}" id="{647DA4A7-EAF3-4940-9C35-4ABE30BB8472}">
    <text>5 referred cases out of 19 joiners</text>
  </threadedComment>
  <threadedComment ref="P339" dT="2025-07-21T11:21:45.02" personId="{385AE97E-DB3C-47AF-B0F4-D63AD85D52E9}" id="{28575C00-EC5D-4FE6-BFC0-0FAAA700C706}">
    <text xml:space="preserve">11 referred cases out of 43 joiners
</text>
  </threadedComment>
  <threadedComment ref="AH339" dT="2026-03-23T08:07:22.40" personId="{803D42D1-F8A1-4625-BA7D-02834BDCA61B}" id="{4639A587-7249-4DFB-A84D-C0EEDA7E5E7A}">
    <text>Not Validated. Insufficient Data</text>
  </threadedComment>
  <threadedComment ref="AJ339" dT="2026-03-23T08:07:22.40" personId="{803D42D1-F8A1-4625-BA7D-02834BDCA61B}" id="{FACBADBE-0864-4D70-B207-33242BBF12F8}">
    <text>Not Validated. Insufficient Data</text>
  </threadedComment>
  <threadedComment ref="I340" dT="2024-05-11T05:08:18.08" personId="{385AE97E-DB3C-47AF-B0F4-D63AD85D52E9}" id="{97E7DA0A-1A9A-4406-980E-ABA7869B66B8}">
    <text>Target not approved by PH</text>
  </threadedComment>
  <threadedComment ref="J340" dT="2025-05-21T07:15:48.15" personId="{385AE97E-DB3C-47AF-B0F4-D63AD85D52E9}" id="{A393EAA2-D71A-4165-B0C2-5977B322B5D0}">
    <text>Validated</text>
  </threadedComment>
  <threadedComment ref="L340" dT="2025-06-19T08:33:27.11" personId="{385AE97E-DB3C-47AF-B0F4-D63AD85D52E9}" id="{F3F6C42C-3DC1-495D-89B4-8F58F0D0CFDE}">
    <text>11 position beyond TTF and 73 open positions</text>
  </threadedComment>
  <threadedComment ref="N340" dT="2025-07-21T11:22:20.51" personId="{385AE97E-DB3C-47AF-B0F4-D63AD85D52E9}" id="{665A16BD-B1C5-4870-848C-A7C9BFDA4BB8}">
    <text>9 cases beyond TTF and 84 open positions</text>
  </threadedComment>
  <threadedComment ref="P340" dT="2025-07-21T11:22:33.75" personId="{385AE97E-DB3C-47AF-B0F4-D63AD85D52E9}" id="{F3A0DF6B-D553-443B-9DBD-BF673F57ECAA}">
    <text>26 cases beyond TTF and 218 open positions</text>
  </threadedComment>
  <threadedComment ref="I341" dT="2024-05-11T05:08:21.57" personId="{385AE97E-DB3C-47AF-B0F4-D63AD85D52E9}" id="{3B7C162C-A5E7-4071-A66C-B26FDBAFC627}">
    <text>Target not approved by PH</text>
  </threadedComment>
  <threadedComment ref="L341" dT="2025-06-19T08:51:48.58" personId="{385AE97E-DB3C-47AF-B0F4-D63AD85D52E9}" id="{4BAA497E-2212-419D-8B09-B4283D994C02}">
    <text>61 CV shortlisted and 102 CV shared</text>
  </threadedComment>
  <threadedComment ref="N341" dT="2025-07-21T11:22:59.27" personId="{385AE97E-DB3C-47AF-B0F4-D63AD85D52E9}" id="{A161E270-B9CC-4B25-8B71-A89792DEA3B9}">
    <text>74 CV shortlisted and 80 Cvs Shared</text>
  </threadedComment>
  <threadedComment ref="P341" dT="2025-07-21T11:23:15.37" personId="{385AE97E-DB3C-47AF-B0F4-D63AD85D52E9}" id="{17488040-CC18-4A34-80C2-3BA7F44398BB}">
    <text xml:space="preserve">197 CV shortlisted and 273 Cvs Shared
</text>
  </threadedComment>
  <threadedComment ref="R341" dT="2025-08-21T13:17:33.76" personId="{385AE97E-DB3C-47AF-B0F4-D63AD85D52E9}" id="{4A3AAC93-6E3B-4F32-9025-C746B9B076D9}">
    <text>Validated and 96/137</text>
  </threadedComment>
  <threadedComment ref="T341" dT="2025-09-25T11:36:47.52" personId="{385AE97E-DB3C-47AF-B0F4-D63AD85D52E9}" id="{BD089247-638F-4C09-9FE1-AC27958956BD}">
    <text>Validated</text>
  </threadedComment>
  <threadedComment ref="AH341" dT="2026-03-23T08:08:35.57" personId="{803D42D1-F8A1-4625-BA7D-02834BDCA61B}" id="{8AC55EC7-F34B-4F2F-BD38-CCB16FF4A070}">
    <text>Validated</text>
  </threadedComment>
  <threadedComment ref="AJ341" dT="2026-03-23T08:08:35.57" personId="{803D42D1-F8A1-4625-BA7D-02834BDCA61B}" id="{86417402-4CA2-4919-BE88-15D5DAFE83F4}">
    <text>Validated</text>
  </threadedComment>
  <threadedComment ref="I342" dT="2024-05-11T05:08:24.67" personId="{385AE97E-DB3C-47AF-B0F4-D63AD85D52E9}" id="{3C3133D9-2FAE-4D01-B6D8-AC794F660ACF}">
    <text>Target not approved by PH</text>
  </threadedComment>
  <threadedComment ref="L342" dT="2025-06-19T08:53:55.43" personId="{385AE97E-DB3C-47AF-B0F4-D63AD85D52E9}" id="{9F4D6E6B-417C-4D6A-8297-1FAB1FB36A0C}">
    <text>46 selected and 102 CVs shared</text>
  </threadedComment>
  <threadedComment ref="N342" dT="2025-07-21T11:23:43.25" personId="{385AE97E-DB3C-47AF-B0F4-D63AD85D52E9}" id="{DC9A2D79-6878-416C-BA31-D9D8099C006A}">
    <text>27 selected and 80 total Cv shared</text>
  </threadedComment>
  <threadedComment ref="P342" dT="2025-07-21T11:23:57.63" personId="{385AE97E-DB3C-47AF-B0F4-D63AD85D52E9}" id="{8A30CABE-D2D6-48AE-80BC-DB7E52B6DFCA}">
    <text xml:space="preserve">110 selected and 273 total Cv shared
</text>
  </threadedComment>
  <threadedComment ref="T342" dT="2025-09-25T11:36:52.44" personId="{385AE97E-DB3C-47AF-B0F4-D63AD85D52E9}" id="{04A14655-CBB6-4401-8FFF-D0D413AD64CA}">
    <text>Validated</text>
  </threadedComment>
  <threadedComment ref="I343" dT="2024-05-11T05:08:28.38" personId="{385AE97E-DB3C-47AF-B0F4-D63AD85D52E9}" id="{EE9473F1-69CF-47DA-B85B-56799DC1CF3E}">
    <text>Target not approved by PH</text>
  </threadedComment>
  <threadedComment ref="L343" dT="2025-06-19T08:56:57.38" personId="{385AE97E-DB3C-47AF-B0F4-D63AD85D52E9}" id="{4A3B1E9D-62F1-4E8F-9A97-B5B32FB5617F}">
    <text>0 offer decline and 31 offer released</text>
  </threadedComment>
  <threadedComment ref="N343" dT="2025-07-21T11:24:31.40" personId="{385AE97E-DB3C-47AF-B0F4-D63AD85D52E9}" id="{332FEBA5-BC73-4394-BDE3-622ED141ABC7}">
    <text xml:space="preserve">2 offer declined and 32 offered
</text>
  </threadedComment>
  <threadedComment ref="P343" dT="2025-07-21T11:24:41.38" personId="{385AE97E-DB3C-47AF-B0F4-D63AD85D52E9}" id="{A6B95A39-0EDC-412A-B155-4265795593E1}">
    <text xml:space="preserve">2 offer declined and 76 offered
</text>
  </threadedComment>
  <threadedComment ref="I344" dT="2024-05-11T05:08:31.63" personId="{385AE97E-DB3C-47AF-B0F4-D63AD85D52E9}" id="{E038F8A6-E681-43C5-BA0F-0CFF631B0C70}">
    <text>Target not approved by PH</text>
  </threadedComment>
  <threadedComment ref="N344" dT="2025-07-21T11:25:13.85" personId="{385AE97E-DB3C-47AF-B0F4-D63AD85D52E9}" id="{5CAD8B34-8966-49D8-BF4D-EFA7FD9665DF}">
    <text xml:space="preserve">19 joiners and 84 open positions
</text>
  </threadedComment>
  <threadedComment ref="P344" dT="2025-07-21T11:25:26.70" personId="{385AE97E-DB3C-47AF-B0F4-D63AD85D52E9}" id="{9DA28B5D-C73B-474B-8634-EB5546CCAD82}">
    <text xml:space="preserve">43 joiners and 218 open positions
</text>
  </threadedComment>
  <threadedComment ref="I345" dT="2024-05-11T05:08:35.32" personId="{385AE97E-DB3C-47AF-B0F4-D63AD85D52E9}" id="{6BABEAA5-90B7-4C8B-9209-1AFE63C0E838}">
    <text>Target not approved by PH</text>
  </threadedComment>
  <threadedComment ref="N345" dT="2025-07-21T11:25:52.84" personId="{385AE97E-DB3C-47AF-B0F4-D63AD85D52E9}" id="{E7F5FE22-6A37-4852-B930-87A4E1DCECBE}">
    <text xml:space="preserve">4 female out of 19 joiners
</text>
  </threadedComment>
  <threadedComment ref="P345" dT="2025-07-21T11:26:04.52" personId="{385AE97E-DB3C-47AF-B0F4-D63AD85D52E9}" id="{21C75510-9B71-4A2E-A330-796F3D8387F9}">
    <text xml:space="preserve">11 female out of 43 joiners
</text>
  </threadedComment>
  <threadedComment ref="J346" dT="2025-05-21T07:18:55.24" personId="{385AE97E-DB3C-47AF-B0F4-D63AD85D52E9}" id="{A86C718B-85B9-48F2-BED1-A4A668311BA1}">
    <text>Validated</text>
  </threadedComment>
  <threadedComment ref="L346" dT="2025-06-19T09:01:34.75" personId="{385AE97E-DB3C-47AF-B0F4-D63AD85D52E9}" id="{8C543A5D-D2D4-44C5-BB04-E17F9ADBAC84}">
    <text>12 joiners</text>
  </threadedComment>
  <threadedComment ref="N346" dT="2025-07-21T11:00:43.53" personId="{385AE97E-DB3C-47AF-B0F4-D63AD85D52E9}" id="{AC8791ED-3A0C-47AC-A176-7B545E23725D}">
    <text>17 Joiners</text>
  </threadedComment>
  <threadedComment ref="P346" dT="2025-07-21T11:01:19.97" personId="{385AE97E-DB3C-47AF-B0F4-D63AD85D52E9}" id="{CEE481FE-2595-4914-B07D-C94787DD7BB5}">
    <text>51 joiners</text>
  </threadedComment>
  <threadedComment ref="AH346" dT="2026-03-23T08:10:20.88" personId="{803D42D1-F8A1-4625-BA7D-02834BDCA61B}" id="{00DA6F2B-A751-46F1-BFF3-F4B5514D55D2}">
    <text>Not Validated. Data not available</text>
  </threadedComment>
  <threadedComment ref="AJ346" dT="2026-03-23T08:10:20.88" personId="{803D42D1-F8A1-4625-BA7D-02834BDCA61B}" id="{A7532D90-0B59-44DB-8AB9-014920CB6998}">
    <text>Not Validated. Data not available</text>
  </threadedComment>
  <threadedComment ref="I347" dT="2023-02-09T08:41:30.06" personId="{0DA7D522-9CE4-4258-8DAB-BD560F345A98}" id="{6316BFB9-9FE5-4194-ABDB-B85A06DF3627}">
    <text xml:space="preserve">Older target was 30 Days </text>
  </threadedComment>
  <threadedComment ref="J347" dT="2025-05-21T07:19:01.47" personId="{385AE97E-DB3C-47AF-B0F4-D63AD85D52E9}" id="{24C2FB5D-A158-4239-8813-E0B0B7493284}">
    <text>Validated</text>
  </threadedComment>
  <threadedComment ref="L347" dT="2025-06-19T09:05:30.46" personId="{385AE97E-DB3C-47AF-B0F4-D63AD85D52E9}" id="{2D6933FE-F4DD-408C-B2D4-3516EB481324}">
    <text>7 offers released</text>
  </threadedComment>
  <threadedComment ref="N347" dT="2025-07-21T11:01:49.01" personId="{385AE97E-DB3C-47AF-B0F4-D63AD85D52E9}" id="{6656116E-F481-424D-9FF1-32647696C495}">
    <text>11 offers</text>
  </threadedComment>
  <threadedComment ref="P347" dT="2025-07-21T11:02:24.72" personId="{385AE97E-DB3C-47AF-B0F4-D63AD85D52E9}" id="{28167B29-4435-414E-907C-256CD6FA6008}">
    <text>45 offers</text>
  </threadedComment>
  <threadedComment ref="AH347" dT="2026-03-23T08:10:20.88" personId="{803D42D1-F8A1-4625-BA7D-02834BDCA61B}" id="{A6854B33-B365-4051-889B-19100EB34146}">
    <text>Not Validated. Data not available</text>
  </threadedComment>
  <threadedComment ref="AJ347" dT="2026-03-23T08:10:20.88" personId="{803D42D1-F8A1-4625-BA7D-02834BDCA61B}" id="{FE461655-2815-4A99-A696-5B708103D1D2}">
    <text>Not Validated. Data not available</text>
  </threadedComment>
  <threadedComment ref="I348" dT="2023-02-09T08:42:57.16" personId="{0DA7D522-9CE4-4258-8DAB-BD560F345A98}" id="{5B324C1C-3217-433A-9239-B064F76E0F29}">
    <text>Old target was 95%</text>
  </threadedComment>
  <threadedComment ref="L348" dT="2025-06-19T09:07:44.85" personId="{385AE97E-DB3C-47AF-B0F4-D63AD85D52E9}" id="{822489F1-7CCC-46C6-9522-B54B6DAE5EEE}">
    <text>12 offers and 13 offer declined</text>
  </threadedComment>
  <threadedComment ref="N348" dT="2025-07-21T11:03:27.01" personId="{385AE97E-DB3C-47AF-B0F4-D63AD85D52E9}" id="{666DDB52-2866-41D0-B4D7-ACFB6925723E}">
    <text>17 offered and 19 joined</text>
  </threadedComment>
  <threadedComment ref="P348" dT="2025-07-21T11:03:37.90" personId="{385AE97E-DB3C-47AF-B0F4-D63AD85D52E9}" id="{89152931-CCF7-432E-96D2-75540ADBD7BB}">
    <text>51 offered and 56 joined</text>
  </threadedComment>
  <threadedComment ref="AH348" dT="2026-03-23T08:10:20.88" personId="{803D42D1-F8A1-4625-BA7D-02834BDCA61B}" id="{14824E1F-8267-417C-8744-D4B674452ED8}">
    <text>Not Validated. Data not available</text>
  </threadedComment>
  <threadedComment ref="AJ348" dT="2026-03-23T08:10:20.88" personId="{803D42D1-F8A1-4625-BA7D-02834BDCA61B}" id="{4EA16459-99BB-490E-97F3-DFE68D1DE908}">
    <text>Not Validated. Data not available</text>
  </threadedComment>
  <threadedComment ref="I349" dT="2023-02-09T08:43:20.02" personId="{0DA7D522-9CE4-4258-8DAB-BD560F345A98}" id="{4707CE78-1AEB-465D-9B2A-93CB967E6445}">
    <text>Old target was 1:05</text>
  </threadedComment>
  <threadedComment ref="AH349" dT="2026-03-23T08:10:20.88" personId="{803D42D1-F8A1-4625-BA7D-02834BDCA61B}" id="{65CAA1BD-75FA-41DE-9B92-3ADE3157B848}">
    <text>Not Validated. Data not available</text>
  </threadedComment>
  <threadedComment ref="AJ349" dT="2026-03-23T08:10:20.88" personId="{803D42D1-F8A1-4625-BA7D-02834BDCA61B}" id="{57CF906B-AB3B-4C52-BE34-3438F2A4FF5F}">
    <text>Not Validated. Data not available</text>
  </threadedComment>
  <threadedComment ref="N350" dT="2025-07-21T11:04:02.07" personId="{385AE97E-DB3C-47AF-B0F4-D63AD85D52E9}" id="{C44A5188-CE73-4746-A79E-EEC124CCFA6F}">
    <text>5 referred cases out of 17 joiners</text>
  </threadedComment>
  <threadedComment ref="P350" dT="2025-07-21T11:04:15.50" personId="{385AE97E-DB3C-47AF-B0F4-D63AD85D52E9}" id="{A76D871C-08AB-4B47-A9A2-0568EF0890FB}">
    <text>16 referred out of 51 joined</text>
  </threadedComment>
  <threadedComment ref="AH350" dT="2026-03-23T08:10:20.88" personId="{803D42D1-F8A1-4625-BA7D-02834BDCA61B}" id="{F6C21FF8-C29C-41F6-B4A8-94AF3AB16329}">
    <text>Not Validated. Data not available</text>
  </threadedComment>
  <threadedComment ref="AJ350" dT="2026-03-23T08:10:20.88" personId="{803D42D1-F8A1-4625-BA7D-02834BDCA61B}" id="{4276939C-798F-43B6-AFEA-AA6714C6B1CA}">
    <text>Not Validated. Data not available</text>
  </threadedComment>
  <threadedComment ref="I351" dT="2024-05-11T05:08:18.08" personId="{385AE97E-DB3C-47AF-B0F4-D63AD85D52E9}" id="{0714634E-C163-43AC-9550-8ED1033FCB3D}">
    <text>Target not approved by PH</text>
  </threadedComment>
  <threadedComment ref="J351" dT="2025-05-21T07:19:52.63" personId="{385AE97E-DB3C-47AF-B0F4-D63AD85D52E9}" id="{5DBCD34E-2A87-4583-AB79-1D3EA4B1D719}">
    <text>Validated</text>
  </threadedComment>
  <threadedComment ref="L351" dT="2025-06-19T09:09:32.39" personId="{385AE97E-DB3C-47AF-B0F4-D63AD85D52E9}" id="{22499B89-49DA-4E92-B9C8-D63246E59129}">
    <text>5 positions beyond and 32 open positions</text>
  </threadedComment>
  <threadedComment ref="N351" dT="2025-07-21T11:05:19.13" personId="{385AE97E-DB3C-47AF-B0F4-D63AD85D52E9}" id="{72B680D6-A79E-4B94-9CE3-B9E7B2BF5B8B}">
    <text>3 cases beyond TTF and 17 open positions</text>
  </threadedComment>
  <threadedComment ref="P351" dT="2025-07-21T11:05:42.59" personId="{385AE97E-DB3C-47AF-B0F4-D63AD85D52E9}" id="{6A012B69-AA3A-4B0B-A683-F3610D5EA3EB}">
    <text xml:space="preserve">11 cases beyond TTF and 87 open positions
</text>
  </threadedComment>
  <threadedComment ref="I352" dT="2024-05-11T05:08:21.57" personId="{385AE97E-DB3C-47AF-B0F4-D63AD85D52E9}" id="{F88A194E-CE01-4C72-88AF-A6AD41D2BFE1}">
    <text>Target not approved by PH</text>
  </threadedComment>
  <threadedComment ref="L352" dT="2025-06-19T09:11:30.84" personId="{385AE97E-DB3C-47AF-B0F4-D63AD85D52E9}" id="{20EC1F78-13E2-4C5F-BFE7-1BDD5A9F9293}">
    <text>114 CV shortlisted and 131 CVs shared</text>
  </threadedComment>
  <threadedComment ref="N352" dT="2025-07-21T11:06:01.02" personId="{385AE97E-DB3C-47AF-B0F4-D63AD85D52E9}" id="{376ECEC0-99A2-4387-BF89-997EF3422D3D}">
    <text>77 CV shortlisted and 80 Cvs Shared</text>
  </threadedComment>
  <threadedComment ref="P352" dT="2025-07-21T11:06:13.43" personId="{385AE97E-DB3C-47AF-B0F4-D63AD85D52E9}" id="{FE930D3F-7727-4201-A30D-CF8230FE4A27}">
    <text>278 CV shortlisted and 310 Cvs Shared</text>
  </threadedComment>
  <threadedComment ref="R352" dT="2025-08-21T13:26:12.61" personId="{385AE97E-DB3C-47AF-B0F4-D63AD85D52E9}" id="{095BC433-6A97-4210-B976-F8A7F69A6C92}">
    <text>Validated and 61/70</text>
  </threadedComment>
  <threadedComment ref="T352" dT="2025-09-25T09:56:05.60" personId="{385AE97E-DB3C-47AF-B0F4-D63AD85D52E9}" id="{C793AE76-02D3-4375-B217-FF05068425BE}">
    <text>Validated</text>
  </threadedComment>
  <threadedComment ref="AH352" dT="2026-03-23T08:11:15.77" personId="{803D42D1-F8A1-4625-BA7D-02834BDCA61B}" id="{5CC7F1AA-AEBF-49EB-9B41-7D09E61FB147}">
    <text>Not Validated. Insufficient Data</text>
  </threadedComment>
  <threadedComment ref="AJ352" dT="2026-03-23T08:11:15.77" personId="{803D42D1-F8A1-4625-BA7D-02834BDCA61B}" id="{0F54808A-9F9A-40AB-8707-C38E98EF361F}">
    <text>Not Validated. Insufficient Data</text>
  </threadedComment>
  <threadedComment ref="I353" dT="2024-05-11T05:08:24.67" personId="{385AE97E-DB3C-47AF-B0F4-D63AD85D52E9}" id="{4AF31EC5-BB54-46C3-867C-E7513EE9694B}">
    <text>Target not approved by PH</text>
  </threadedComment>
  <threadedComment ref="L353" dT="2025-06-19T09:12:07.86" personId="{385AE97E-DB3C-47AF-B0F4-D63AD85D52E9}" id="{DC47B053-6485-4190-B9B6-AFE59966F3A3}">
    <text>18 selected and 126 CVs shared</text>
  </threadedComment>
  <threadedComment ref="N353" dT="2025-07-21T11:06:32.89" personId="{385AE97E-DB3C-47AF-B0F4-D63AD85D52E9}" id="{61CA5766-C6B7-4980-A6C7-0835107832D0}">
    <text>22 selected and 80 total Cv shared</text>
  </threadedComment>
  <threadedComment ref="P353" dT="2025-07-21T11:06:51.80" personId="{385AE97E-DB3C-47AF-B0F4-D63AD85D52E9}" id="{0D47972F-FA39-4AF0-A981-568560EE073E}">
    <text>99 selected and 305 total Cv shared</text>
  </threadedComment>
  <threadedComment ref="R353" dT="2025-08-21T13:28:03.44" personId="{385AE97E-DB3C-47AF-B0F4-D63AD85D52E9}" id="{AA5CE9F0-D2FA-4027-9B72-634A66E2FAF4}">
    <text>Validated and 19/70</text>
  </threadedComment>
  <threadedComment ref="T353" dT="2025-09-25T09:56:09.41" personId="{385AE97E-DB3C-47AF-B0F4-D63AD85D52E9}" id="{09317211-3D3A-42C0-85C5-95047BF4311F}">
    <text>Validated</text>
  </threadedComment>
  <threadedComment ref="I354" dT="2024-05-11T05:08:28.38" personId="{385AE97E-DB3C-47AF-B0F4-D63AD85D52E9}" id="{24678245-B8DA-4A42-9DDA-A0311CCBFED3}">
    <text>Target not approved by PH</text>
  </threadedComment>
  <threadedComment ref="L354" dT="2025-06-19T09:12:49.71" personId="{385AE97E-DB3C-47AF-B0F4-D63AD85D52E9}" id="{DD9FAA10-D4DB-4B21-B1E5-3761C7F2D3C3}">
    <text>0 offer declined and 7 offer released</text>
  </threadedComment>
  <threadedComment ref="N354" dT="2025-07-21T11:07:18.30" personId="{385AE97E-DB3C-47AF-B0F4-D63AD85D52E9}" id="{07179B71-7D85-47BB-B1D8-249670A40A0F}">
    <text>1 offer declined and 11 offered</text>
  </threadedComment>
  <threadedComment ref="P354" dT="2025-07-21T11:07:31.42" personId="{385AE97E-DB3C-47AF-B0F4-D63AD85D52E9}" id="{B0947335-0A75-4273-BB9A-EF927C3808A9}">
    <text xml:space="preserve">1 offer declined and 45 offered
</text>
  </threadedComment>
  <threadedComment ref="I355" dT="2024-05-11T05:08:31.63" personId="{385AE97E-DB3C-47AF-B0F4-D63AD85D52E9}" id="{9BC787BB-1A94-460C-BA4C-B1D04C8BA8CE}">
    <text>Target not approved by PH</text>
  </threadedComment>
  <threadedComment ref="N355" dT="2025-07-21T11:08:08.74" personId="{385AE97E-DB3C-47AF-B0F4-D63AD85D52E9}" id="{CF951811-1908-485B-9B57-ED3CAC5F43E4}">
    <text>17 joiners and 17 open positions</text>
  </threadedComment>
  <threadedComment ref="P355" dT="2025-07-21T11:08:23.07" personId="{385AE97E-DB3C-47AF-B0F4-D63AD85D52E9}" id="{26590EBF-6BD1-40D2-81EF-1471237BF9FA}">
    <text>51 joiners and 87 open positions</text>
  </threadedComment>
  <threadedComment ref="I356" dT="2024-05-11T05:08:35.32" personId="{385AE97E-DB3C-47AF-B0F4-D63AD85D52E9}" id="{936B6801-DA2D-46CE-9009-C53B85E95712}">
    <text>Target not approved by PH</text>
  </threadedComment>
  <threadedComment ref="N356" dT="2025-07-21T11:08:44.95" personId="{385AE97E-DB3C-47AF-B0F4-D63AD85D52E9}" id="{0BB759F6-79FD-418E-8FAE-39BC372CE92B}">
    <text>4 female out of 17 joiners</text>
  </threadedComment>
  <threadedComment ref="P356" dT="2025-07-21T11:08:54.91" personId="{385AE97E-DB3C-47AF-B0F4-D63AD85D52E9}" id="{54C10007-F002-438D-886E-96B4E207CA34}">
    <text>17 female out of 51 joiners</text>
  </threadedComment>
  <threadedComment ref="Z357" dT="2025-11-21T06:42:46.22" personId="{0DA7D522-9CE4-4258-8DAB-BD560F345A98}" id="{E511B237-05BB-4EF6-BFD3-AE8902CAB816}">
    <text>Account Demerged to Auto &amp; Industrial</text>
  </threadedComment>
  <threadedComment ref="AA357" dT="2025-11-21T06:42:46.22" personId="{0DA7D522-9CE4-4258-8DAB-BD560F345A98}" id="{F14C7500-FBBC-41E2-8638-6050DD641095}">
    <text>Account Demerged to Auto &amp; Industrial</text>
  </threadedComment>
  <threadedComment ref="AB357" dT="2025-11-21T06:42:46.22" personId="{0DA7D522-9CE4-4258-8DAB-BD560F345A98}" id="{1ECE1D89-1527-4B96-8964-8E9CDEEAAB48}">
    <text>Account Demerged to Auto &amp; Industrial</text>
  </threadedComment>
  <threadedComment ref="I358" dT="2024-07-12T17:33:10.57" personId="{0DA7D522-9CE4-4258-8DAB-BD560F345A98}" id="{76E3217E-6F8C-49A0-899C-B61708471F2C}">
    <text>Target Changed as per new MSA</text>
  </threadedComment>
  <threadedComment ref="Z358" dT="2025-11-21T06:42:46.22" personId="{0DA7D522-9CE4-4258-8DAB-BD560F345A98}" id="{C9F7AFA1-5010-4EA1-8A06-000A096F018E}">
    <text>Account Demerged to Auto &amp; Industrial</text>
  </threadedComment>
  <threadedComment ref="AA358" dT="2025-11-21T06:42:46.22" personId="{0DA7D522-9CE4-4258-8DAB-BD560F345A98}" id="{9A390F9E-C15D-4C2E-9DFF-86135ADF9B44}">
    <text>Account Demerged to Auto &amp; Industrial</text>
  </threadedComment>
  <threadedComment ref="AB358" dT="2025-11-21T06:42:46.22" personId="{0DA7D522-9CE4-4258-8DAB-BD560F345A98}" id="{DCC3A749-EE09-4586-96D0-FB5B29F1FFCF}">
    <text>Account Demerged to Auto &amp; Industrial</text>
  </threadedComment>
  <threadedComment ref="Z359" dT="2025-11-21T06:42:46.22" personId="{0DA7D522-9CE4-4258-8DAB-BD560F345A98}" id="{2C8266E0-5818-4BB2-A165-17651F28B2B9}">
    <text>Account Demerged to Auto &amp; Industrial</text>
  </threadedComment>
  <threadedComment ref="AA359" dT="2025-11-21T06:42:46.22" personId="{0DA7D522-9CE4-4258-8DAB-BD560F345A98}" id="{2DDB12AE-DE7A-4103-AB2C-A7EF6DC45C9D}">
    <text>Account Demerged to Auto &amp; Industrial</text>
  </threadedComment>
  <threadedComment ref="AB359" dT="2025-11-21T06:42:46.22" personId="{0DA7D522-9CE4-4258-8DAB-BD560F345A98}" id="{BF9A1E3D-87E8-4062-A2BA-3BAB1B8D06C5}">
    <text>Account Demerged to Auto &amp; Industrial</text>
  </threadedComment>
  <threadedComment ref="Z360" dT="2025-11-21T06:42:46.22" personId="{0DA7D522-9CE4-4258-8DAB-BD560F345A98}" id="{5C7F682C-7961-412C-953D-D1051ADB4867}">
    <text>Account Demerged to Auto &amp; Industrial</text>
  </threadedComment>
  <threadedComment ref="AA360" dT="2025-11-21T06:42:46.22" personId="{0DA7D522-9CE4-4258-8DAB-BD560F345A98}" id="{4701B8A1-E71F-4E22-AD98-F8333C0C8436}">
    <text>Account Demerged to Auto &amp; Industrial</text>
  </threadedComment>
  <threadedComment ref="AB360" dT="2025-11-21T06:42:46.22" personId="{0DA7D522-9CE4-4258-8DAB-BD560F345A98}" id="{967DF69E-60D3-4A59-AC20-9BC32D739C29}">
    <text>Account Demerged to Auto &amp; Industrial</text>
  </threadedComment>
  <threadedComment ref="Z361" dT="2025-11-21T06:42:46.22" personId="{0DA7D522-9CE4-4258-8DAB-BD560F345A98}" id="{B6964143-2E77-4942-9E14-942237F0C558}">
    <text>Account Demerged to Auto &amp; Industrial</text>
  </threadedComment>
  <threadedComment ref="AA361" dT="2025-11-21T06:42:46.22" personId="{0DA7D522-9CE4-4258-8DAB-BD560F345A98}" id="{06D14515-17EF-4274-A86F-1F39B2DB332D}">
    <text>Account Demerged to Auto &amp; Industrial</text>
  </threadedComment>
  <threadedComment ref="AB361" dT="2025-11-21T06:42:46.22" personId="{0DA7D522-9CE4-4258-8DAB-BD560F345A98}" id="{65F86366-27F7-4680-9AE0-56907EF7B49E}">
    <text>Account Demerged to Auto &amp; Industrial</text>
  </threadedComment>
  <threadedComment ref="Z362" dT="2025-11-21T06:42:46.22" personId="{0DA7D522-9CE4-4258-8DAB-BD560F345A98}" id="{D85BF841-BA41-4142-8598-1B260C7B873F}">
    <text>Account Demerged to Auto &amp; Industrial</text>
  </threadedComment>
  <threadedComment ref="AA362" dT="2025-11-21T06:42:46.22" personId="{0DA7D522-9CE4-4258-8DAB-BD560F345A98}" id="{FB1522CC-B93F-4D07-A962-624853CB0BD1}">
    <text>Account Demerged to Auto &amp; Industrial</text>
  </threadedComment>
  <threadedComment ref="AB362" dT="2025-11-21T06:42:46.22" personId="{0DA7D522-9CE4-4258-8DAB-BD560F345A98}" id="{E51F3FA0-0FD1-4B0F-9FEA-D024ED5CC57F}">
    <text>Account Demerged to Auto &amp; Industrial</text>
  </threadedComment>
  <threadedComment ref="Z363" dT="2025-11-21T06:42:46.22" personId="{0DA7D522-9CE4-4258-8DAB-BD560F345A98}" id="{7F4690B4-78B7-4F08-A77E-FB45B80F489D}">
    <text>Account Demerged to Auto &amp; Industrial</text>
  </threadedComment>
  <threadedComment ref="AA363" dT="2025-11-21T06:42:46.22" personId="{0DA7D522-9CE4-4258-8DAB-BD560F345A98}" id="{FECFFA45-6DF1-4C44-8D89-9AC6B806F55C}">
    <text>Account Demerged to Auto &amp; Industrial</text>
  </threadedComment>
  <threadedComment ref="AB363" dT="2025-11-21T06:42:46.22" personId="{0DA7D522-9CE4-4258-8DAB-BD560F345A98}" id="{293D9570-312C-438C-A833-75D3E370BC21}">
    <text>Account Demerged to Auto &amp; Industrial</text>
  </threadedComment>
  <threadedComment ref="Z364" dT="2025-11-21T06:42:46.22" personId="{0DA7D522-9CE4-4258-8DAB-BD560F345A98}" id="{0F1F614D-A24A-4D90-B888-C2A981CD6813}">
    <text>Account Demerged to Auto &amp; Industrial</text>
  </threadedComment>
  <threadedComment ref="AA364" dT="2025-11-21T06:42:46.22" personId="{0DA7D522-9CE4-4258-8DAB-BD560F345A98}" id="{1CC5BEE7-8C3B-48A0-A790-636255E39ACF}">
    <text>Account Demerged to Auto &amp; Industrial</text>
  </threadedComment>
  <threadedComment ref="AB364" dT="2025-11-21T06:42:46.22" personId="{0DA7D522-9CE4-4258-8DAB-BD560F345A98}" id="{FAFBF061-7DAD-49BF-A51A-EE6092BA9F48}">
    <text>Account Demerged to Auto &amp; Industrial</text>
  </threadedComment>
  <threadedComment ref="Z365" dT="2025-11-21T06:42:46.22" personId="{0DA7D522-9CE4-4258-8DAB-BD560F345A98}" id="{BE8FA0CE-230C-4C13-B09B-79591843E1DB}">
    <text>Account Demerged to Auto &amp; Industrial</text>
  </threadedComment>
  <threadedComment ref="AA365" dT="2025-11-21T06:42:46.22" personId="{0DA7D522-9CE4-4258-8DAB-BD560F345A98}" id="{76B33B94-095D-48A6-81EA-7BB0435BA927}">
    <text>Account Demerged to Auto &amp; Industrial</text>
  </threadedComment>
  <threadedComment ref="AB365" dT="2025-11-21T06:42:46.22" personId="{0DA7D522-9CE4-4258-8DAB-BD560F345A98}" id="{D7B139A4-308E-4CF4-92DB-9BEAC87CFA4F}">
    <text>Account Demerged to Auto &amp; Industrial</text>
  </threadedComment>
  <threadedComment ref="Z366" dT="2025-11-21T06:42:46.22" personId="{0DA7D522-9CE4-4258-8DAB-BD560F345A98}" id="{DBCC4252-3DA8-4907-A9C6-640D751E2B6B}">
    <text>Account Demerged to Auto &amp; Industrial</text>
  </threadedComment>
  <threadedComment ref="AA366" dT="2025-11-21T06:42:46.22" personId="{0DA7D522-9CE4-4258-8DAB-BD560F345A98}" id="{00F89B5B-E625-4CF4-859E-90E08EE24B10}">
    <text>Account Demerged to Auto &amp; Industrial</text>
  </threadedComment>
  <threadedComment ref="AB366" dT="2025-11-21T06:42:46.22" personId="{0DA7D522-9CE4-4258-8DAB-BD560F345A98}" id="{540A5045-2FF1-4B7B-BEFF-3E45F43B1A1C}">
    <text>Account Demerged to Auto &amp; Industrial</text>
  </threadedComment>
  <threadedComment ref="Z367" dT="2025-11-21T06:42:46.22" personId="{0DA7D522-9CE4-4258-8DAB-BD560F345A98}" id="{F98631E3-3315-4973-93B6-AA9AE00013E3}">
    <text>Account Demerged to Auto &amp; Industrial</text>
  </threadedComment>
  <threadedComment ref="AA367" dT="2025-11-21T06:42:46.22" personId="{0DA7D522-9CE4-4258-8DAB-BD560F345A98}" id="{E452933A-EE94-40AD-B165-7F0129C2CC36}">
    <text>Account Demerged to Auto &amp; Industrial</text>
  </threadedComment>
  <threadedComment ref="AB367" dT="2025-11-21T06:42:46.22" personId="{0DA7D522-9CE4-4258-8DAB-BD560F345A98}" id="{256FB7F4-9FE2-4516-8690-CE644D4636D6}">
    <text>Account Demerged to Auto &amp; Industrial</text>
  </threadedComment>
  <threadedComment ref="Z368" dT="2025-11-21T06:42:46.22" personId="{0DA7D522-9CE4-4258-8DAB-BD560F345A98}" id="{74A96E5E-239D-4C65-A079-F372D304A409}">
    <text>Account Demerged to Auto &amp; Industrial</text>
  </threadedComment>
  <threadedComment ref="AA368" dT="2025-11-21T06:42:46.22" personId="{0DA7D522-9CE4-4258-8DAB-BD560F345A98}" id="{3087AEFF-008C-4DF6-90D0-7619E5C21EDC}">
    <text>Account Demerged to Auto &amp; Industrial</text>
  </threadedComment>
  <threadedComment ref="AB368" dT="2025-11-21T06:42:46.22" personId="{0DA7D522-9CE4-4258-8DAB-BD560F345A98}" id="{04E2E234-6B15-4383-914C-CB4C1BC80924}">
    <text>Account Demerged to Auto &amp; Industrial</text>
  </threadedComment>
  <threadedComment ref="Z369" dT="2025-11-21T06:42:46.22" personId="{0DA7D522-9CE4-4258-8DAB-BD560F345A98}" id="{30F1DFE7-DBB2-4714-9F86-87D17C4CADAE}">
    <text>Account Demerged to Auto &amp; Industrial</text>
  </threadedComment>
  <threadedComment ref="AA369" dT="2025-11-21T06:42:46.22" personId="{0DA7D522-9CE4-4258-8DAB-BD560F345A98}" id="{F0961160-AD0A-4303-A944-DEFD8C28B094}">
    <text>Account Demerged to Auto &amp; Industrial</text>
  </threadedComment>
  <threadedComment ref="AB369" dT="2025-11-21T06:42:46.22" personId="{0DA7D522-9CE4-4258-8DAB-BD560F345A98}" id="{7991CA43-A8C5-402A-866C-BC766F639149}">
    <text>Account Demerged to Auto &amp; Industrial</text>
  </threadedComment>
  <threadedComment ref="Z370" dT="2025-11-21T06:42:46.22" personId="{0DA7D522-9CE4-4258-8DAB-BD560F345A98}" id="{6C484694-22AD-48BF-85A7-9348C747731F}">
    <text>Account Demerged to Auto &amp; Industrial</text>
  </threadedComment>
  <threadedComment ref="AA370" dT="2025-11-21T06:42:46.22" personId="{0DA7D522-9CE4-4258-8DAB-BD560F345A98}" id="{FB0A2A44-1422-426B-92A7-64A1FD01CF16}">
    <text>Account Demerged to Auto &amp; Industrial</text>
  </threadedComment>
  <threadedComment ref="AB370" dT="2025-11-21T06:42:46.22" personId="{0DA7D522-9CE4-4258-8DAB-BD560F345A98}" id="{DC1B7188-D082-4A5D-B5B4-8217B27E6B40}">
    <text>Account Demerged to Auto &amp; Industrial</text>
  </threadedComment>
  <threadedComment ref="V371" dT="2025-11-24T11:54:36.06" personId="{ED1D359B-D851-4826-88EF-B9650B16DF7A}" id="{415AD57C-2DC7-41E2-BD47-98C7C579A038}">
    <text>Start Capturing from Oct’25</text>
  </threadedComment>
  <threadedComment ref="W371" dT="2025-11-24T11:54:36.06" personId="{ED1D359B-D851-4826-88EF-B9650B16DF7A}" id="{A1D06B94-46C9-4A26-AC8A-CC577586D20D}">
    <text>Start Capturing from Oct’25</text>
  </threadedComment>
  <threadedComment ref="X371" dT="2025-11-24T11:54:36.06" personId="{ED1D359B-D851-4826-88EF-B9650B16DF7A}" id="{BC481B88-28CD-4C14-997B-7CDE6FC862BA}">
    <text>Start Capturing from Oct’25</text>
  </threadedComment>
  <threadedComment ref="Y371" dT="2025-11-24T11:54:36.06" personId="{ED1D359B-D851-4826-88EF-B9650B16DF7A}" id="{7B2DB144-D38A-4E8E-9A16-F0F8AF2EF388}">
    <text>Start Capturing from Oct’25</text>
  </threadedComment>
  <threadedComment ref="I372" dT="2024-07-12T17:33:10.57" personId="{0DA7D522-9CE4-4258-8DAB-BD560F345A98}" id="{A6B8EB1B-92EA-4741-94DA-9F2720F113E4}">
    <text>Target Changed as per new MSA</text>
  </threadedComment>
  <threadedComment ref="V372" dT="2025-11-24T11:54:36.06" personId="{ED1D359B-D851-4826-88EF-B9650B16DF7A}" id="{FEC88969-0447-4A44-B9BD-CC566174C249}">
    <text>Start Capturing from Oct’25</text>
  </threadedComment>
  <threadedComment ref="W372" dT="2025-11-24T11:54:36.06" personId="{ED1D359B-D851-4826-88EF-B9650B16DF7A}" id="{4FA7D32D-9610-4B05-A1C0-BB0A9AAD6904}">
    <text>Start Capturing from Oct’25</text>
  </threadedComment>
  <threadedComment ref="X372" dT="2025-11-24T11:54:36.06" personId="{ED1D359B-D851-4826-88EF-B9650B16DF7A}" id="{DE5AB57C-79BD-46D8-ACE3-FB6A5FB0ACB9}">
    <text>Start Capturing from Oct’25</text>
  </threadedComment>
  <threadedComment ref="Y372" dT="2025-11-24T11:54:36.06" personId="{ED1D359B-D851-4826-88EF-B9650B16DF7A}" id="{351D4538-26F0-47FC-BD47-9B0BCAF695FA}">
    <text>Start Capturing from Oct’25</text>
  </threadedComment>
  <threadedComment ref="V373" dT="2025-11-24T11:54:36.06" personId="{ED1D359B-D851-4826-88EF-B9650B16DF7A}" id="{6BE4A0DF-5366-434A-9C27-67842EA41EF9}">
    <text>Start Capturing from Oct’25</text>
  </threadedComment>
  <threadedComment ref="W373" dT="2025-11-24T11:54:36.06" personId="{ED1D359B-D851-4826-88EF-B9650B16DF7A}" id="{A6D59377-A994-4B98-AEDB-0B4E61BA6359}">
    <text>Start Capturing from Oct’25</text>
  </threadedComment>
  <threadedComment ref="X373" dT="2025-11-24T11:54:36.06" personId="{ED1D359B-D851-4826-88EF-B9650B16DF7A}" id="{483E23F8-59DB-4EFE-9C70-B08711040E24}">
    <text>Start Capturing from Oct’25</text>
  </threadedComment>
  <threadedComment ref="Y373" dT="2025-11-24T11:54:36.06" personId="{ED1D359B-D851-4826-88EF-B9650B16DF7A}" id="{77EA2A77-D28F-4D2F-9FE7-4ED8A5DD4391}">
    <text>Start Capturing from Oct’25</text>
  </threadedComment>
  <threadedComment ref="V374" dT="2025-11-24T11:54:36.06" personId="{ED1D359B-D851-4826-88EF-B9650B16DF7A}" id="{C526B8EB-6AA5-4864-9724-B65A9D6AC098}">
    <text>Start Capturing from Oct’25</text>
  </threadedComment>
  <threadedComment ref="W374" dT="2025-11-24T11:54:36.06" personId="{ED1D359B-D851-4826-88EF-B9650B16DF7A}" id="{585AE0CF-ADD2-4A7C-87F5-C63757F7ADB9}">
    <text>Start Capturing from Oct’25</text>
  </threadedComment>
  <threadedComment ref="X374" dT="2025-11-24T11:54:36.06" personId="{ED1D359B-D851-4826-88EF-B9650B16DF7A}" id="{D6DE7646-8D85-49E2-8101-A26B3113F85F}">
    <text>Start Capturing from Oct’25</text>
  </threadedComment>
  <threadedComment ref="Y374" dT="2025-11-24T11:54:36.06" personId="{ED1D359B-D851-4826-88EF-B9650B16DF7A}" id="{C18D29A7-A60A-43C5-921E-0258F9B13F47}">
    <text>Start Capturing from Oct’25</text>
  </threadedComment>
  <threadedComment ref="V375" dT="2025-11-24T11:54:36.06" personId="{ED1D359B-D851-4826-88EF-B9650B16DF7A}" id="{EF797DDB-D603-4FB3-9A29-A80182248A49}">
    <text>Start Capturing from Oct’25</text>
  </threadedComment>
  <threadedComment ref="W375" dT="2025-11-24T11:54:36.06" personId="{ED1D359B-D851-4826-88EF-B9650B16DF7A}" id="{26CDC9D9-18D9-47F0-8986-CD89E882B32E}">
    <text>Start Capturing from Oct’25</text>
  </threadedComment>
  <threadedComment ref="X375" dT="2025-11-24T11:54:36.06" personId="{ED1D359B-D851-4826-88EF-B9650B16DF7A}" id="{CBA5E4AA-B57C-4343-95A6-F449FEF04A42}">
    <text>Start Capturing from Oct’25</text>
  </threadedComment>
  <threadedComment ref="Y375" dT="2025-11-24T11:54:36.06" personId="{ED1D359B-D851-4826-88EF-B9650B16DF7A}" id="{BF9AF703-8445-4884-BBB4-11C0FAECCE83}">
    <text>Start Capturing from Oct’25</text>
  </threadedComment>
  <threadedComment ref="V376" dT="2025-11-24T11:54:36.06" personId="{ED1D359B-D851-4826-88EF-B9650B16DF7A}" id="{D1C30F73-95EA-4FFC-915B-31F843AF3568}">
    <text>Start Capturing from Oct’25</text>
  </threadedComment>
  <threadedComment ref="W376" dT="2025-11-24T11:54:36.06" personId="{ED1D359B-D851-4826-88EF-B9650B16DF7A}" id="{F63FAF0E-4DE3-46E9-AB2C-288AC80C1D96}">
    <text>Start Capturing from Oct’25</text>
  </threadedComment>
  <threadedComment ref="X376" dT="2025-11-24T11:54:36.06" personId="{ED1D359B-D851-4826-88EF-B9650B16DF7A}" id="{514BF4AF-AAE6-49DC-9AC0-61FF34ACB722}">
    <text>Start Capturing from Oct’25</text>
  </threadedComment>
  <threadedComment ref="Y376" dT="2025-11-24T11:54:36.06" personId="{ED1D359B-D851-4826-88EF-B9650B16DF7A}" id="{C7470F9B-BA35-48D7-AB87-5AC8F46FC941}">
    <text>Start Capturing from Oct’25</text>
  </threadedComment>
  <threadedComment ref="V377" dT="2025-11-24T11:54:36.06" personId="{ED1D359B-D851-4826-88EF-B9650B16DF7A}" id="{EF2AF3F1-45F6-48CE-992B-0437385CA0CC}">
    <text>Start Capturing from Oct’25</text>
  </threadedComment>
  <threadedComment ref="W377" dT="2025-11-24T11:54:36.06" personId="{ED1D359B-D851-4826-88EF-B9650B16DF7A}" id="{000AB789-3F62-44D0-B3C9-E12E9D314C8D}">
    <text>Start Capturing from Oct’25</text>
  </threadedComment>
  <threadedComment ref="X377" dT="2025-11-24T11:54:36.06" personId="{ED1D359B-D851-4826-88EF-B9650B16DF7A}" id="{61AC1B6F-0739-4B50-914D-19B6EE200934}">
    <text>Start Capturing from Oct’25</text>
  </threadedComment>
  <threadedComment ref="Y377" dT="2025-11-24T11:54:36.06" personId="{ED1D359B-D851-4826-88EF-B9650B16DF7A}" id="{B7639D21-1A63-4A12-A00A-6D4402A681B8}">
    <text>Start Capturing from Oct’25</text>
  </threadedComment>
  <threadedComment ref="V378" dT="2025-11-24T11:54:36.06" personId="{ED1D359B-D851-4826-88EF-B9650B16DF7A}" id="{BC825F96-C733-489C-882F-EE2092AC49EB}">
    <text>Start Capturing from Oct’25</text>
  </threadedComment>
  <threadedComment ref="W378" dT="2025-11-24T11:54:36.06" personId="{ED1D359B-D851-4826-88EF-B9650B16DF7A}" id="{2E1EDC3C-F054-49D2-8B0C-5CDD6071B437}">
    <text>Start Capturing from Oct’25</text>
  </threadedComment>
  <threadedComment ref="X378" dT="2025-11-24T11:54:36.06" personId="{ED1D359B-D851-4826-88EF-B9650B16DF7A}" id="{20A758A9-C134-4E96-A9D8-77D5C3C9B2F2}">
    <text>Start Capturing from Oct’25</text>
  </threadedComment>
  <threadedComment ref="Y378" dT="2025-11-24T11:54:36.06" personId="{ED1D359B-D851-4826-88EF-B9650B16DF7A}" id="{C8C175E8-E7CA-4A96-B836-383BACD3D0C3}">
    <text>Start Capturing from Oct’25</text>
  </threadedComment>
  <threadedComment ref="V379" dT="2025-11-24T11:54:36.06" personId="{ED1D359B-D851-4826-88EF-B9650B16DF7A}" id="{18AFD6EA-0C91-4279-9981-1119CC04D0C9}">
    <text>Start Capturing from Oct’25</text>
  </threadedComment>
  <threadedComment ref="W379" dT="2025-11-24T11:54:36.06" personId="{ED1D359B-D851-4826-88EF-B9650B16DF7A}" id="{9E577ABC-6637-4A58-869C-45A2FA3B389C}">
    <text>Start Capturing from Oct’25</text>
  </threadedComment>
  <threadedComment ref="X379" dT="2025-11-24T11:54:36.06" personId="{ED1D359B-D851-4826-88EF-B9650B16DF7A}" id="{E1BB7078-2384-4BB5-BDD8-D74BD976852F}">
    <text>Start Capturing from Oct’25</text>
  </threadedComment>
  <threadedComment ref="Y379" dT="2025-11-24T11:54:36.06" personId="{ED1D359B-D851-4826-88EF-B9650B16DF7A}" id="{E196A353-8503-400E-9DB6-2D221E625465}">
    <text>Start Capturing from Oct’25</text>
  </threadedComment>
  <threadedComment ref="V380" dT="2025-11-24T11:54:36.06" personId="{ED1D359B-D851-4826-88EF-B9650B16DF7A}" id="{6904E13D-A547-4D85-9C21-145D9D131B5D}">
    <text>Start Capturing from Oct’25</text>
  </threadedComment>
  <threadedComment ref="W380" dT="2025-11-24T11:54:36.06" personId="{ED1D359B-D851-4826-88EF-B9650B16DF7A}" id="{7409C10F-E19F-46BD-A7E8-389D54B6E0F7}">
    <text>Start Capturing from Oct’25</text>
  </threadedComment>
  <threadedComment ref="X380" dT="2025-11-24T11:54:36.06" personId="{ED1D359B-D851-4826-88EF-B9650B16DF7A}" id="{FE247A34-33B8-4399-9718-3E85ADB204E8}">
    <text>Start Capturing from Oct’25</text>
  </threadedComment>
  <threadedComment ref="Y380" dT="2025-11-24T11:54:36.06" personId="{ED1D359B-D851-4826-88EF-B9650B16DF7A}" id="{5B75C492-4E0E-47C4-9373-2289CA01C0A9}">
    <text>Start Capturing from Oct’25</text>
  </threadedComment>
  <threadedComment ref="V381" dT="2025-11-24T11:54:36.06" personId="{ED1D359B-D851-4826-88EF-B9650B16DF7A}" id="{9C481121-21E3-4B04-90BE-5C579434C81C}">
    <text>Start Capturing from Oct’25</text>
  </threadedComment>
  <threadedComment ref="W381" dT="2025-11-24T11:54:36.06" personId="{ED1D359B-D851-4826-88EF-B9650B16DF7A}" id="{3DC56116-9155-4205-94CE-2A85C8B2BE0D}">
    <text>Start Capturing from Oct’25</text>
  </threadedComment>
  <threadedComment ref="X381" dT="2025-11-24T11:54:36.06" personId="{ED1D359B-D851-4826-88EF-B9650B16DF7A}" id="{B86CCC63-D52F-4401-843F-19327F3BC02C}">
    <text>Start Capturing from Oct’25</text>
  </threadedComment>
  <threadedComment ref="Y381" dT="2025-11-24T11:54:36.06" personId="{ED1D359B-D851-4826-88EF-B9650B16DF7A}" id="{B10C712C-7A7D-430D-B034-94A614E56668}">
    <text>Start Capturing from Oct’25</text>
  </threadedComment>
  <threadedComment ref="V382" dT="2025-11-24T11:54:36.06" personId="{ED1D359B-D851-4826-88EF-B9650B16DF7A}" id="{A6350383-027C-43A3-9889-BE88C4A1DBF4}">
    <text>Start Capturing from Oct’25</text>
  </threadedComment>
  <threadedComment ref="W382" dT="2025-11-24T11:54:36.06" personId="{ED1D359B-D851-4826-88EF-B9650B16DF7A}" id="{C15A37BF-BC73-465C-B242-DE3AB94E876E}">
    <text>Start Capturing from Oct’25</text>
  </threadedComment>
  <threadedComment ref="X382" dT="2025-11-24T11:54:36.06" personId="{ED1D359B-D851-4826-88EF-B9650B16DF7A}" id="{4B968058-D224-4676-8731-39753FB89CDF}">
    <text>Start Capturing from Oct’25</text>
  </threadedComment>
  <threadedComment ref="Y382" dT="2025-11-24T11:54:36.06" personId="{ED1D359B-D851-4826-88EF-B9650B16DF7A}" id="{BC173F9E-8A47-4F8E-AD1F-5644CCDDB7B6}">
    <text>Start Capturing from Oct’25</text>
  </threadedComment>
  <threadedComment ref="V383" dT="2025-11-24T11:54:36.06" personId="{ED1D359B-D851-4826-88EF-B9650B16DF7A}" id="{80AA4F91-F9F7-4387-8825-1C95F3B6183B}">
    <text>Start Capturing from Oct’25</text>
  </threadedComment>
  <threadedComment ref="W383" dT="2025-11-24T11:54:36.06" personId="{ED1D359B-D851-4826-88EF-B9650B16DF7A}" id="{03EF124D-9FD5-46D7-9E6E-BF4E49A74A67}">
    <text>Start Capturing from Oct’25</text>
  </threadedComment>
  <threadedComment ref="X383" dT="2025-11-24T11:54:36.06" personId="{ED1D359B-D851-4826-88EF-B9650B16DF7A}" id="{282741A0-0A3F-4597-8FA6-DB6D414C7814}">
    <text>Start Capturing from Oct’25</text>
  </threadedComment>
  <threadedComment ref="Y383" dT="2025-11-24T11:54:36.06" personId="{ED1D359B-D851-4826-88EF-B9650B16DF7A}" id="{FF96BCF0-63BF-4543-98AC-F94B6E1A9D33}">
    <text>Start Capturing from Oct’25</text>
  </threadedComment>
  <threadedComment ref="V384" dT="2025-11-24T11:54:36.06" personId="{ED1D359B-D851-4826-88EF-B9650B16DF7A}" id="{BADD39CF-C92F-4D4C-AF36-7B273FF33CAA}">
    <text>Start Capturing from Oct’25</text>
  </threadedComment>
  <threadedComment ref="W384" dT="2025-11-24T11:54:36.06" personId="{ED1D359B-D851-4826-88EF-B9650B16DF7A}" id="{C7E8F366-13E5-4DC2-8890-466F34C77FEC}">
    <text>Start Capturing from Oct’25</text>
  </threadedComment>
  <threadedComment ref="X384" dT="2025-11-24T11:54:36.06" personId="{ED1D359B-D851-4826-88EF-B9650B16DF7A}" id="{F7BCD3D8-6395-4F47-8121-978AFF3CD252}">
    <text>Start Capturing from Oct’25</text>
  </threadedComment>
  <threadedComment ref="Y384" dT="2025-11-24T11:54:36.06" personId="{ED1D359B-D851-4826-88EF-B9650B16DF7A}" id="{CEBA8BC1-0BAA-4352-B4DD-B7DD331BDC41}">
    <text>Start Capturing from Oct’25</text>
  </threadedComment>
  <threadedComment ref="V385" dT="2025-11-24T11:54:36.06" personId="{ED1D359B-D851-4826-88EF-B9650B16DF7A}" id="{66638586-404B-4E98-8D28-1E1801E5EBEB}">
    <text>Start Capturing from Oct’25</text>
  </threadedComment>
  <threadedComment ref="W385" dT="2025-11-24T11:54:36.06" personId="{ED1D359B-D851-4826-88EF-B9650B16DF7A}" id="{6B29EA6B-3F6C-47D1-BCFF-2A5DE20A9D29}">
    <text>Start Capturing from Oct’25</text>
  </threadedComment>
  <threadedComment ref="X385" dT="2025-11-24T11:54:36.06" personId="{ED1D359B-D851-4826-88EF-B9650B16DF7A}" id="{C69B4D07-18CA-4E39-B8A9-64E84ABF6C8B}">
    <text>Start Capturing from Oct’25</text>
  </threadedComment>
  <threadedComment ref="Y385" dT="2025-11-24T11:54:36.06" personId="{ED1D359B-D851-4826-88EF-B9650B16DF7A}" id="{AA5CBCAD-77DC-4EC3-944D-43A52FBDC908}">
    <text>Start Capturing from Oct’25</text>
  </threadedComment>
  <threadedComment ref="I386" dT="2024-07-12T17:33:10.57" personId="{0DA7D522-9CE4-4258-8DAB-BD560F345A98}" id="{199807B0-54D6-47D4-99C9-32E71F6656BB}">
    <text>Target Changed as per new MSA</text>
  </threadedComment>
  <threadedComment ref="V386" dT="2025-11-24T11:54:36.06" personId="{ED1D359B-D851-4826-88EF-B9650B16DF7A}" id="{8FA6666B-3017-41AE-BC0B-8F6EE049D8FC}">
    <text>Start Capturing from Oct’25</text>
  </threadedComment>
  <threadedComment ref="W386" dT="2025-11-24T11:54:36.06" personId="{ED1D359B-D851-4826-88EF-B9650B16DF7A}" id="{3623D00D-B53D-4BD5-8F61-F57684F4F5E2}">
    <text>Start Capturing from Oct’25</text>
  </threadedComment>
  <threadedComment ref="X386" dT="2025-11-24T11:54:36.06" personId="{ED1D359B-D851-4826-88EF-B9650B16DF7A}" id="{02A7A806-C62A-45BB-A55C-97AE91029525}">
    <text>Start Capturing from Oct’25</text>
  </threadedComment>
  <threadedComment ref="Y386" dT="2025-11-24T11:54:36.06" personId="{ED1D359B-D851-4826-88EF-B9650B16DF7A}" id="{8791E551-017C-4D8C-A143-43262E29A448}">
    <text>Start Capturing from Oct’25</text>
  </threadedComment>
  <threadedComment ref="V387" dT="2025-11-24T11:54:36.06" personId="{ED1D359B-D851-4826-88EF-B9650B16DF7A}" id="{4A96ADEA-EC87-4CD8-BDA5-62CFED123F6E}">
    <text>Start Capturing from Oct’25</text>
  </threadedComment>
  <threadedComment ref="W387" dT="2025-11-24T11:54:36.06" personId="{ED1D359B-D851-4826-88EF-B9650B16DF7A}" id="{604A1709-F24D-4D86-BA72-E63D2B5DDCBE}">
    <text>Start Capturing from Oct’25</text>
  </threadedComment>
  <threadedComment ref="X387" dT="2025-11-24T11:54:36.06" personId="{ED1D359B-D851-4826-88EF-B9650B16DF7A}" id="{75E70C5B-19D6-4042-8386-B3DA1AE2A1B6}">
    <text>Start Capturing from Oct’25</text>
  </threadedComment>
  <threadedComment ref="Y387" dT="2025-11-24T11:54:36.06" personId="{ED1D359B-D851-4826-88EF-B9650B16DF7A}" id="{74DBA478-83F9-41C6-BE0F-A5BFDED93313}">
    <text>Start Capturing from Oct’25</text>
  </threadedComment>
  <threadedComment ref="V388" dT="2025-11-24T11:54:36.06" personId="{ED1D359B-D851-4826-88EF-B9650B16DF7A}" id="{B60B7D3A-8448-4950-B569-C6C568F63E98}">
    <text>Start Capturing from Oct’25</text>
  </threadedComment>
  <threadedComment ref="W388" dT="2025-11-24T11:54:36.06" personId="{ED1D359B-D851-4826-88EF-B9650B16DF7A}" id="{A0F8E822-60B5-49F4-A2F6-CCEAA59B3FEF}">
    <text>Start Capturing from Oct’25</text>
  </threadedComment>
  <threadedComment ref="X388" dT="2025-11-24T11:54:36.06" personId="{ED1D359B-D851-4826-88EF-B9650B16DF7A}" id="{1A1C3EF2-F4F6-4A5C-9FE5-AFF2776B97D1}">
    <text>Start Capturing from Oct’25</text>
  </threadedComment>
  <threadedComment ref="Y388" dT="2025-11-24T11:54:36.06" personId="{ED1D359B-D851-4826-88EF-B9650B16DF7A}" id="{E550063B-8433-4030-AEEE-A0DF11AA93F8}">
    <text>Start Capturing from Oct’25</text>
  </threadedComment>
  <threadedComment ref="V389" dT="2025-11-24T11:54:36.06" personId="{ED1D359B-D851-4826-88EF-B9650B16DF7A}" id="{43955FEA-1394-4396-A0FF-069D712A0E5C}">
    <text>Start Capturing from Oct’25</text>
  </threadedComment>
  <threadedComment ref="W389" dT="2025-11-24T11:54:36.06" personId="{ED1D359B-D851-4826-88EF-B9650B16DF7A}" id="{31AEE12B-8CEB-4822-8D36-E0FA3A2480C3}">
    <text>Start Capturing from Oct’25</text>
  </threadedComment>
  <threadedComment ref="X389" dT="2025-11-24T11:54:36.06" personId="{ED1D359B-D851-4826-88EF-B9650B16DF7A}" id="{B8688117-DC8B-4D0C-8906-41FA3BAE1373}">
    <text>Start Capturing from Oct’25</text>
  </threadedComment>
  <threadedComment ref="Y389" dT="2025-11-24T11:54:36.06" personId="{ED1D359B-D851-4826-88EF-B9650B16DF7A}" id="{60045AAC-C943-4DB7-9931-DB775F2F1CAA}">
    <text>Start Capturing from Oct’25</text>
  </threadedComment>
  <threadedComment ref="V390" dT="2025-11-24T11:54:36.06" personId="{ED1D359B-D851-4826-88EF-B9650B16DF7A}" id="{B3E0289F-F9BE-4F28-819D-5316C4569A57}">
    <text>Start Capturing from Oct’25</text>
  </threadedComment>
  <threadedComment ref="W390" dT="2025-11-24T11:54:36.06" personId="{ED1D359B-D851-4826-88EF-B9650B16DF7A}" id="{4D267045-C329-432B-8519-FF38300E3252}">
    <text>Start Capturing from Oct’25</text>
  </threadedComment>
  <threadedComment ref="X390" dT="2025-11-24T11:54:36.06" personId="{ED1D359B-D851-4826-88EF-B9650B16DF7A}" id="{E3203CE0-EAD7-4F87-B485-29B8712038C4}">
    <text>Start Capturing from Oct’25</text>
  </threadedComment>
  <threadedComment ref="Y390" dT="2025-11-24T11:54:36.06" personId="{ED1D359B-D851-4826-88EF-B9650B16DF7A}" id="{CB31D86F-392D-40D5-97CC-553592043F43}">
    <text>Start Capturing from Oct’25</text>
  </threadedComment>
  <threadedComment ref="V391" dT="2025-11-24T11:54:36.06" personId="{ED1D359B-D851-4826-88EF-B9650B16DF7A}" id="{7DA3C7EF-09CE-4F3B-9EC4-36C702F7E81D}">
    <text>Start Capturing from Oct’25</text>
  </threadedComment>
  <threadedComment ref="W391" dT="2025-11-24T11:54:36.06" personId="{ED1D359B-D851-4826-88EF-B9650B16DF7A}" id="{105BBA23-0484-418A-88B4-816965A4F878}">
    <text>Start Capturing from Oct’25</text>
  </threadedComment>
  <threadedComment ref="X391" dT="2025-11-24T11:54:36.06" personId="{ED1D359B-D851-4826-88EF-B9650B16DF7A}" id="{717BE8AE-B87B-4B84-AF6D-3D2F7028F0DD}">
    <text>Start Capturing from Oct’25</text>
  </threadedComment>
  <threadedComment ref="Y391" dT="2025-11-24T11:54:36.06" personId="{ED1D359B-D851-4826-88EF-B9650B16DF7A}" id="{AF2D6C7C-DD1B-49A8-9DC6-ACF45266B8CC}">
    <text>Start Capturing from Oct’25</text>
  </threadedComment>
  <threadedComment ref="V392" dT="2025-11-24T11:54:36.06" personId="{ED1D359B-D851-4826-88EF-B9650B16DF7A}" id="{EC2B85F2-A6F8-422C-8989-F11E6691B246}">
    <text>Start Capturing from Oct’25</text>
  </threadedComment>
  <threadedComment ref="W392" dT="2025-11-24T11:54:36.06" personId="{ED1D359B-D851-4826-88EF-B9650B16DF7A}" id="{FD2FF0BF-78F1-4B9B-B38A-B83B9AF57900}">
    <text>Start Capturing from Oct’25</text>
  </threadedComment>
  <threadedComment ref="X392" dT="2025-11-24T11:54:36.06" personId="{ED1D359B-D851-4826-88EF-B9650B16DF7A}" id="{C6727050-A2DE-47B7-BE22-0240581C3416}">
    <text>Start Capturing from Oct’25</text>
  </threadedComment>
  <threadedComment ref="Y392" dT="2025-11-24T11:54:36.06" personId="{ED1D359B-D851-4826-88EF-B9650B16DF7A}" id="{7B97E477-61C8-4783-A1E7-9C890A268611}">
    <text>Start Capturing from Oct’25</text>
  </threadedComment>
  <threadedComment ref="V393" dT="2025-11-24T11:54:36.06" personId="{ED1D359B-D851-4826-88EF-B9650B16DF7A}" id="{20174C8D-F6B4-47CB-8EE3-FE57EC54CAFB}">
    <text>Start Capturing from Oct’25</text>
  </threadedComment>
  <threadedComment ref="W393" dT="2025-11-24T11:54:36.06" personId="{ED1D359B-D851-4826-88EF-B9650B16DF7A}" id="{1DE3C5D0-FB9F-4D0E-8C3F-C06F81CDB738}">
    <text>Start Capturing from Oct’25</text>
  </threadedComment>
  <threadedComment ref="X393" dT="2025-11-24T11:54:36.06" personId="{ED1D359B-D851-4826-88EF-B9650B16DF7A}" id="{96E1756F-838D-4404-9F24-A5280A95ABFC}">
    <text>Start Capturing from Oct’25</text>
  </threadedComment>
  <threadedComment ref="Y393" dT="2025-11-24T11:54:36.06" personId="{ED1D359B-D851-4826-88EF-B9650B16DF7A}" id="{316F42A9-DCE9-4375-826F-9193A0BC1E64}">
    <text>Start Capturing from Oct’25</text>
  </threadedComment>
  <threadedComment ref="V394" dT="2025-11-24T11:54:36.06" personId="{ED1D359B-D851-4826-88EF-B9650B16DF7A}" id="{5AAEB46E-0424-4D0D-976E-45F19F7DF4C4}">
    <text>Start Capturing from Oct’25</text>
  </threadedComment>
  <threadedComment ref="W394" dT="2025-11-24T11:54:36.06" personId="{ED1D359B-D851-4826-88EF-B9650B16DF7A}" id="{63028C9F-632F-4E00-B3FD-DE72971FDC08}">
    <text>Start Capturing from Oct’25</text>
  </threadedComment>
  <threadedComment ref="X394" dT="2025-11-24T11:54:36.06" personId="{ED1D359B-D851-4826-88EF-B9650B16DF7A}" id="{7B67754C-5401-4745-8F1B-F30B1A2B02B8}">
    <text>Start Capturing from Oct’25</text>
  </threadedComment>
  <threadedComment ref="Y394" dT="2025-11-24T11:54:36.06" personId="{ED1D359B-D851-4826-88EF-B9650B16DF7A}" id="{AC52B5C1-D34B-4335-B60D-0E7C00F18E30}">
    <text>Start Capturing from Oct’25</text>
  </threadedComment>
  <threadedComment ref="V395" dT="2025-11-24T11:54:36.06" personId="{ED1D359B-D851-4826-88EF-B9650B16DF7A}" id="{E9CD5750-A53E-4B22-AE9E-4751D6929118}">
    <text>Start Capturing from Oct’25</text>
  </threadedComment>
  <threadedComment ref="W395" dT="2025-11-24T11:54:36.06" personId="{ED1D359B-D851-4826-88EF-B9650B16DF7A}" id="{29DFFBC3-3AB0-4971-9B1F-2834435C2A68}">
    <text>Start Capturing from Oct’25</text>
  </threadedComment>
  <threadedComment ref="X395" dT="2025-11-24T11:54:36.06" personId="{ED1D359B-D851-4826-88EF-B9650B16DF7A}" id="{9E411BFC-9F9A-44A8-A1C8-6A98036E97F4}">
    <text>Start Capturing from Oct’25</text>
  </threadedComment>
  <threadedComment ref="Y395" dT="2025-11-24T11:54:36.06" personId="{ED1D359B-D851-4826-88EF-B9650B16DF7A}" id="{CEDD4252-118B-4CE4-A405-46E1B4AF2403}">
    <text>Start Capturing from Oct’25</text>
  </threadedComment>
  <threadedComment ref="V396" dT="2025-11-24T11:54:36.06" personId="{ED1D359B-D851-4826-88EF-B9650B16DF7A}" id="{6B433F36-D9B5-48A3-B0C7-8FB9C038FE26}">
    <text>Start Capturing from Oct’25</text>
  </threadedComment>
  <threadedComment ref="W396" dT="2025-11-24T11:54:36.06" personId="{ED1D359B-D851-4826-88EF-B9650B16DF7A}" id="{EBC5A326-DA1F-4902-A02C-DE1A550A2B56}">
    <text>Start Capturing from Oct’25</text>
  </threadedComment>
  <threadedComment ref="X396" dT="2025-11-24T11:54:36.06" personId="{ED1D359B-D851-4826-88EF-B9650B16DF7A}" id="{CAFBF395-1B92-4FCC-9ABD-02E6C0B3FFC9}">
    <text>Start Capturing from Oct’25</text>
  </threadedComment>
  <threadedComment ref="Y396" dT="2025-11-24T11:54:36.06" personId="{ED1D359B-D851-4826-88EF-B9650B16DF7A}" id="{EE2A5D57-C503-4F21-82F1-F0ED935DD68C}">
    <text>Start Capturing from Oct’25</text>
  </threadedComment>
  <threadedComment ref="V397" dT="2025-11-24T11:54:36.06" personId="{ED1D359B-D851-4826-88EF-B9650B16DF7A}" id="{1F69EFBA-F622-4548-85A3-1E135DB41AE5}">
    <text>Start Capturing from Oct’25</text>
  </threadedComment>
  <threadedComment ref="W397" dT="2025-11-24T11:54:36.06" personId="{ED1D359B-D851-4826-88EF-B9650B16DF7A}" id="{6A4EB86B-D573-4E78-9771-89D41EE8DDD0}">
    <text>Start Capturing from Oct’25</text>
  </threadedComment>
  <threadedComment ref="X397" dT="2025-11-24T11:54:36.06" personId="{ED1D359B-D851-4826-88EF-B9650B16DF7A}" id="{256B5783-5DF9-4C18-A47E-3DBF7326DF65}">
    <text>Start Capturing from Oct’25</text>
  </threadedComment>
  <threadedComment ref="Y397" dT="2025-11-24T11:54:36.06" personId="{ED1D359B-D851-4826-88EF-B9650B16DF7A}" id="{B4B5C934-9627-4C7D-8529-0225A5E70CB0}">
    <text>Start Capturing from Oct’25</text>
  </threadedComment>
  <threadedComment ref="V398" dT="2025-11-24T11:54:36.06" personId="{ED1D359B-D851-4826-88EF-B9650B16DF7A}" id="{2F44C44D-A653-4CF1-AB32-830654F5BF36}">
    <text>Start Capturing from Oct’25</text>
  </threadedComment>
  <threadedComment ref="W398" dT="2025-11-24T11:54:36.06" personId="{ED1D359B-D851-4826-88EF-B9650B16DF7A}" id="{646708C8-E3F9-4117-AC88-7D101D9C0E8A}">
    <text>Start Capturing from Oct’25</text>
  </threadedComment>
  <threadedComment ref="X398" dT="2025-11-24T11:54:36.06" personId="{ED1D359B-D851-4826-88EF-B9650B16DF7A}" id="{7F6F0521-4159-4921-B1E7-707F5C66272E}">
    <text>Start Capturing from Oct’25</text>
  </threadedComment>
  <threadedComment ref="Y398" dT="2025-11-24T11:54:36.06" personId="{ED1D359B-D851-4826-88EF-B9650B16DF7A}" id="{0D9A98CA-CF82-49DD-91B1-3918E63EF7DE}">
    <text>Start Capturing from Oct’25</text>
  </threadedComment>
  <threadedComment ref="L406" dT="2025-06-19T08:28:55.20" personId="{0DA7D522-9CE4-4258-8DAB-BD560F345A98}" id="{C9BDA993-AF36-47AF-BD49-F8AC9FB9B573}">
    <text>No Offers in May’25</text>
  </threadedComment>
  <threadedComment ref="M406" dT="2025-06-19T08:28:55.20" personId="{0DA7D522-9CE4-4258-8DAB-BD560F345A98}" id="{8C25480B-1EAE-400B-81C7-5489F3FFA559}">
    <text>No Offers in May’25</text>
  </threadedComment>
  <threadedComment ref="L410" dT="2025-06-19T08:28:55.20" personId="{0DA7D522-9CE4-4258-8DAB-BD560F345A98}" id="{75BAB875-21D4-4173-B90B-D096DD8BB4D4}">
    <text>No Offers in May’25</text>
  </threadedComment>
  <threadedComment ref="M410" dT="2025-06-19T08:28:55.20" personId="{0DA7D522-9CE4-4258-8DAB-BD560F345A98}" id="{2E78C84C-6B97-4E90-BE1D-75DC65393911}">
    <text>No Offers in May’25</text>
  </threadedComment>
  <threadedComment ref="J413" dT="2025-05-21T10:30:22.55" personId="{803D42D1-F8A1-4625-BA7D-02834BDCA61B}" id="{3D96DE08-EC35-4570-BBA3-76F552BE30A0}">
    <text>Validated</text>
  </threadedComment>
  <threadedComment ref="L413" dT="2025-06-24T10:07:58.50" personId="{803D42D1-F8A1-4625-BA7D-02834BDCA61B}" id="{D04CADD9-AB2E-4EDD-8A1A-5A8B9E8AE7E0}">
    <text>Validated</text>
  </threadedComment>
  <threadedComment ref="N413" dT="2025-07-25T10:13:37.30" personId="{ED1D359B-D851-4826-88EF-B9650B16DF7A}" id="{E19046A5-6CAC-46AD-B796-AF276DFAD34B}">
    <text>As per the new contract it is NA</text>
  </threadedComment>
  <threadedComment ref="O413" dT="2025-07-25T10:13:37.30" personId="{ED1D359B-D851-4826-88EF-B9650B16DF7A}" id="{37C2796E-8634-42D3-AC8A-0A12D7699083}">
    <text>As per the new contract it is NA</text>
  </threadedComment>
  <threadedComment ref="P413" dT="2025-07-25T10:13:37.30" personId="{ED1D359B-D851-4826-88EF-B9650B16DF7A}" id="{5E5D4CB4-708F-40B1-9C19-C1DB7C5FA0CC}">
    <text>As per the new contract it is NA</text>
  </threadedComment>
  <threadedComment ref="Q413" dT="2025-07-25T10:13:37.30" personId="{ED1D359B-D851-4826-88EF-B9650B16DF7A}" id="{7D48FCC7-B034-4B42-A823-F276093B3DAD}">
    <text>As per the new contract it is NA</text>
  </threadedComment>
  <threadedComment ref="J414" dT="2025-05-21T10:32:00.15" personId="{803D42D1-F8A1-4625-BA7D-02834BDCA61B}" id="{28D60E5D-35D4-48E8-8A6B-4CE6806CC7BE}">
    <text>Validated</text>
  </threadedComment>
  <threadedComment ref="L414" dT="2025-06-24T10:08:17.88" personId="{803D42D1-F8A1-4625-BA7D-02834BDCA61B}" id="{1BFDE94D-D9DC-414F-9274-1CF2F3FE3618}">
    <text>Validated</text>
  </threadedComment>
  <threadedComment ref="N414" dT="2025-07-23T06:44:39.01" personId="{803D42D1-F8A1-4625-BA7D-02834BDCA61B}" id="{D229FBF7-929F-4863-9932-8CD85521E966}">
    <text>Validated</text>
  </threadedComment>
  <threadedComment ref="N414" dT="2025-07-23T06:48:18.27" personId="{803D42D1-F8A1-4625-BA7D-02834BDCA61B}" id="{819EB84B-B65B-451B-8385-691E9AF45737}" parentId="{D229FBF7-929F-4863-9932-8CD85521E966}">
    <text>Target change to 90 for sales and rest</text>
  </threadedComment>
  <threadedComment ref="P414" dT="2025-07-23T06:46:20.76" personId="{803D42D1-F8A1-4625-BA7D-02834BDCA61B}" id="{7D5ADF22-D2F5-4D7A-84CA-58A1DD064D5F}">
    <text>Validated</text>
  </threadedComment>
  <threadedComment ref="P414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415" dT="2025-05-21T10:32:15.70" personId="{803D42D1-F8A1-4625-BA7D-02834BDCA61B}" id="{85C09BCB-5907-48AE-A33B-DDBB4771D4A3}">
    <text>Validated</text>
  </threadedComment>
  <threadedComment ref="L415" dT="2025-06-24T10:08:41.91" personId="{803D42D1-F8A1-4625-BA7D-02834BDCA61B}" id="{18C2E4C2-8BE6-4344-B585-0D65969FA027}">
    <text>Validated</text>
  </threadedComment>
  <threadedComment ref="N415" dT="2025-07-25T10:13:37.30" personId="{ED1D359B-D851-4826-88EF-B9650B16DF7A}" id="{0BE201C7-243C-45D1-B225-72938CC8D994}">
    <text>As per the new contract it is NA</text>
  </threadedComment>
  <threadedComment ref="O415" dT="2025-07-25T10:13:37.30" personId="{ED1D359B-D851-4826-88EF-B9650B16DF7A}" id="{7A0036A0-5DCD-4415-A6C8-759D6EA5AC14}">
    <text>As per the new contract it is NA</text>
  </threadedComment>
  <threadedComment ref="P415" dT="2025-07-25T10:13:37.30" personId="{ED1D359B-D851-4826-88EF-B9650B16DF7A}" id="{985E89CE-3C52-47B7-B474-3AF31705A9CC}">
    <text>As per the new contract it is NA</text>
  </threadedComment>
  <threadedComment ref="Q415" dT="2025-07-25T10:13:37.30" personId="{ED1D359B-D851-4826-88EF-B9650B16DF7A}" id="{3183937E-E135-472C-A08A-0CFA6B2E6D01}">
    <text>As per the new contract it is NA</text>
  </threadedComment>
  <threadedComment ref="J416" dT="2025-05-21T10:32:28.12" personId="{803D42D1-F8A1-4625-BA7D-02834BDCA61B}" id="{C667E216-5507-4C14-998D-37607654749D}">
    <text>Validated</text>
  </threadedComment>
  <threadedComment ref="L416" dT="2025-06-24T10:08:51.42" personId="{803D42D1-F8A1-4625-BA7D-02834BDCA61B}" id="{C338FC77-5241-4178-8FCD-7D901809888E}">
    <text>Validated</text>
  </threadedComment>
  <threadedComment ref="N416" dT="2025-07-23T06:44:56.62" personId="{803D42D1-F8A1-4625-BA7D-02834BDCA61B}" id="{5813C917-5DFE-4F50-8E24-A1D74D2A889A}">
    <text>Validated target change to 40 days</text>
  </threadedComment>
  <threadedComment ref="P416" dT="2025-07-23T06:46:07.79" personId="{803D42D1-F8A1-4625-BA7D-02834BDCA61B}" id="{063A74D1-753F-46AD-964A-651E3667A890}">
    <text>Validated new target 40 days</text>
  </threadedComment>
  <threadedComment ref="J417" dT="2025-05-21T10:33:46.44" personId="{803D42D1-F8A1-4625-BA7D-02834BDCA61B}" id="{ECAFE5E4-F149-44C5-BC55-32375398FE4D}">
    <text>Validated</text>
  </threadedComment>
  <threadedComment ref="L417" dT="2025-06-24T10:08:59.37" personId="{803D42D1-F8A1-4625-BA7D-02834BDCA61B}" id="{2D85AEE6-7319-4200-852D-0DEE883C6647}">
    <text>Validated</text>
  </threadedComment>
  <threadedComment ref="N417" dT="2025-07-23T06:45:06.60" personId="{803D42D1-F8A1-4625-BA7D-02834BDCA61B}" id="{26B1E092-6F79-4538-ACDA-AA918AFE0E16}">
    <text>Validated</text>
  </threadedComment>
  <threadedComment ref="P417" dT="2025-07-23T06:46:00.93" personId="{803D42D1-F8A1-4625-BA7D-02834BDCA61B}" id="{967DBB4C-3C8F-498D-938D-250409AA2498}">
    <text>Validated</text>
  </threadedComment>
  <threadedComment ref="J418" dT="2025-05-21T10:34:01.75" personId="{803D42D1-F8A1-4625-BA7D-02834BDCA61B}" id="{1BAEDCC3-3503-4946-9975-758DF7A03BCD}">
    <text>Validated</text>
  </threadedComment>
  <threadedComment ref="L418" dT="2025-06-24T10:09:13.64" personId="{803D42D1-F8A1-4625-BA7D-02834BDCA61B}" id="{D8128B76-EC93-4CAB-885A-560588B9C74D}">
    <text>Validated</text>
  </threadedComment>
  <threadedComment ref="R418" dT="2025-08-24T12:25:20.61" personId="{803D42D1-F8A1-4625-BA7D-02834BDCA61B}" id="{85F8B4C7-C362-4580-ADEC-D87D65DF77A4}">
    <text>Not Validated Incomplete Data</text>
  </threadedComment>
  <threadedComment ref="T418" dT="2025-09-29T07:48:30.03" personId="{803D42D1-F8A1-4625-BA7D-02834BDCA61B}" id="{82579348-9445-464C-AE1A-FA697733D860}">
    <text>Validated</text>
  </threadedComment>
  <threadedComment ref="V418" dT="2025-10-21T09:57:01.06" personId="{803D42D1-F8A1-4625-BA7D-02834BDCA61B}" id="{ECDEDFF9-DCD0-49AC-A245-9CBC57FF6794}">
    <text>Validated</text>
  </threadedComment>
  <threadedComment ref="J419" dT="2025-05-21T10:34:11.69" personId="{803D42D1-F8A1-4625-BA7D-02834BDCA61B}" id="{CD4CEA6A-E506-42BF-A06D-7EE56B4A3F3F}">
    <text>Validated</text>
  </threadedComment>
  <threadedComment ref="L419" dT="2025-06-24T10:09:35.59" personId="{803D42D1-F8A1-4625-BA7D-02834BDCA61B}" id="{E767DDFD-F36F-4EEC-A962-72957D21AC08}">
    <text>Validated</text>
  </threadedComment>
  <threadedComment ref="R419" dT="2025-08-24T12:25:20.61" personId="{803D42D1-F8A1-4625-BA7D-02834BDCA61B}" id="{A38FD0E8-3D22-4BAD-8FC6-803C3B7C38F0}">
    <text>Not Validated Incomplete Data</text>
  </threadedComment>
  <threadedComment ref="T419" dT="2025-09-29T07:48:30.03" personId="{803D42D1-F8A1-4625-BA7D-02834BDCA61B}" id="{F6062F7D-F58B-4543-8DFF-A9009640CB07}">
    <text>Validated</text>
  </threadedComment>
  <threadedComment ref="V419" dT="2025-10-21T09:57:01.06" personId="{803D42D1-F8A1-4625-BA7D-02834BDCA61B}" id="{5A0B1FF5-3FA4-4D1E-B966-928816A86975}">
    <text>Validated</text>
  </threadedComment>
  <threadedComment ref="J420" dT="2025-05-21T10:34:22.98" personId="{803D42D1-F8A1-4625-BA7D-02834BDCA61B}" id="{436B1890-72E1-4B62-A81D-EDA4B33B04B4}">
    <text>Validated</text>
  </threadedComment>
  <threadedComment ref="J421" dT="2025-05-21T10:34:32.24" personId="{803D42D1-F8A1-4625-BA7D-02834BDCA61B}" id="{B0336A1F-8DD7-4FED-B09A-C9037D02A988}">
    <text>Validated</text>
  </threadedComment>
  <threadedComment ref="L421" dT="2025-06-24T10:09:44.99" personId="{803D42D1-F8A1-4625-BA7D-02834BDCA61B}" id="{08F4C3FA-60A5-4ABE-A0A2-2C3D70F95F72}">
    <text>Validated</text>
  </threadedComment>
  <threadedComment ref="N421" dT="2025-07-23T06:45:19.43" personId="{803D42D1-F8A1-4625-BA7D-02834BDCA61B}" id="{2BA20D2A-CD10-498B-9229-2F3CD585FE63}">
    <text>Validated</text>
  </threadedComment>
  <threadedComment ref="P421" dT="2025-07-23T06:45:52.72" personId="{803D42D1-F8A1-4625-BA7D-02834BDCA61B}" id="{6DB258FD-40D4-4079-8D3A-3BABFE8EDB1E}">
    <text>Validated</text>
  </threadedComment>
  <threadedComment ref="R421" dT="2025-08-24T12:26:46.38" personId="{803D42D1-F8A1-4625-BA7D-02834BDCA61B}" id="{3E73A263-48F2-4899-BE5C-F97C080E7C76}">
    <text>Validated</text>
  </threadedComment>
  <threadedComment ref="T421" dT="2025-09-29T07:49:15.53" personId="{803D42D1-F8A1-4625-BA7D-02834BDCA61B}" id="{C17B32F1-0EEC-48CD-9756-D38A0C96E1F8}">
    <text>Validated</text>
  </threadedComment>
  <threadedComment ref="V421" dT="2025-10-21T09:57:01.06" personId="{803D42D1-F8A1-4625-BA7D-02834BDCA61B}" id="{80CEEA14-F3AB-437D-9932-5A0BC98C29DE}">
    <text>Validated</text>
  </threadedComment>
  <threadedComment ref="J422" dT="2025-05-21T10:34:52.37" personId="{803D42D1-F8A1-4625-BA7D-02834BDCA61B}" id="{8F8EDC84-AAA7-4396-BF12-B38A1612A5A4}">
    <text>Validated</text>
  </threadedComment>
  <threadedComment ref="J423" dT="2025-05-21T10:35:05.55" personId="{803D42D1-F8A1-4625-BA7D-02834BDCA61B}" id="{EB843B7F-86A0-43A7-BDF7-CF9A18E809A0}">
    <text>Validated</text>
  </threadedComment>
  <threadedComment ref="L423" dT="2025-06-24T10:09:52.56" personId="{803D42D1-F8A1-4625-BA7D-02834BDCA61B}" id="{0D26B39A-CF79-4C0C-B884-6E5AA34A5129}">
    <text>Validated</text>
  </threadedComment>
  <threadedComment ref="N423" dT="2025-07-23T07:00:43.72" personId="{803D42D1-F8A1-4625-BA7D-02834BDCA61B}" id="{4A630160-F072-4064-BB46-0A797CBE7E42}">
    <text>Validated</text>
  </threadedComment>
  <threadedComment ref="P423" dT="2025-07-23T07:00:58.90" personId="{803D42D1-F8A1-4625-BA7D-02834BDCA61B}" id="{C168BE6C-62DA-4B97-A17C-67F5E15F911A}">
    <text>Validated</text>
  </threadedComment>
  <threadedComment ref="R423" dT="2025-08-24T12:26:46.38" personId="{803D42D1-F8A1-4625-BA7D-02834BDCA61B}" id="{7745356C-71CB-45FA-8514-94BB41E9E7F9}">
    <text>Validated</text>
  </threadedComment>
  <threadedComment ref="T423" dT="2025-09-29T07:49:15.53" personId="{803D42D1-F8A1-4625-BA7D-02834BDCA61B}" id="{A8E5AAB6-F030-4D70-927B-1277C431BB9F}">
    <text>Validated</text>
  </threadedComment>
  <threadedComment ref="V423" dT="2025-10-21T09:57:01.06" personId="{803D42D1-F8A1-4625-BA7D-02834BDCA61B}" id="{864F25EC-C649-46E1-94DF-C0F8066D818C}">
    <text>Validated</text>
  </threadedComment>
  <threadedComment ref="N424" dT="2025-07-25T11:06:10.41" personId="{5E6C111D-6CBD-463B-B75C-C6A667AF4364}" id="{579FBA2F-A3C4-44E8-A668-4FB98EC8E164}">
    <text>Req assign date not updated in the tracker, hence not validated</text>
  </threadedComment>
  <threadedComment ref="P424" dT="2025-07-25T11:06:48.08" personId="{5E6C111D-6CBD-463B-B75C-C6A667AF4364}" id="{27106607-FC21-40FD-9898-A9601F78D065}">
    <text>Req assign date not updated in the tracker, hence not validated</text>
  </threadedComment>
  <threadedComment ref="R424" dT="2025-08-28T13:44:38.78" personId="{ED1D359B-D851-4826-88EF-B9650B16DF7A}" id="{A22AD730-A738-4E49-A2EF-548EB2EF2CC6}">
    <text>Manager left PH not having any member to measure the numbers</text>
  </threadedComment>
  <threadedComment ref="S424" dT="2025-08-28T13:44:38.78" personId="{ED1D359B-D851-4826-88EF-B9650B16DF7A}" id="{9316ED95-9012-4434-8EF0-D8A491C08C5A}">
    <text>Manager left PH not having any member to measure the numbers</text>
  </threadedComment>
  <threadedComment ref="T424" dT="2025-08-28T13:44:38.78" personId="{ED1D359B-D851-4826-88EF-B9650B16DF7A}" id="{16EF07F7-2A94-49CF-8354-AB9A87A96549}">
    <text>Manager left PH not having any member to measure the numbers</text>
  </threadedComment>
  <threadedComment ref="U424" dT="2025-08-28T13:44:38.78" personId="{ED1D359B-D851-4826-88EF-B9650B16DF7A}" id="{9D25A349-A385-4F14-826F-0DC7FE40C20E}">
    <text>Manager left PH not having any member to measure the numbers</text>
  </threadedComment>
  <threadedComment ref="N425" dT="2025-07-25T11:06:36.48" personId="{5E6C111D-6CBD-463B-B75C-C6A667AF4364}" id="{18DEB0DE-8FC5-46A2-B8C2-30E0CABB8078}">
    <text>Req assign date not updated in the tracker, hence not validated</text>
  </threadedComment>
  <threadedComment ref="P425" dT="2025-07-25T11:06:54.98" personId="{5E6C111D-6CBD-463B-B75C-C6A667AF4364}" id="{D7C3F9B6-7AA5-49ED-B911-6DE36ECA7237}">
    <text>Req assign date not updated in the tracker, hence not validated</text>
  </threadedComment>
  <threadedComment ref="R425" dT="2025-08-28T13:44:38.78" personId="{ED1D359B-D851-4826-88EF-B9650B16DF7A}" id="{0F306F80-F8FF-4EDE-9F3E-E30906AF0A56}">
    <text>Manager left PH not having any member to measure the numbers</text>
  </threadedComment>
  <threadedComment ref="S425" dT="2025-08-28T13:44:38.78" personId="{ED1D359B-D851-4826-88EF-B9650B16DF7A}" id="{0FF5059A-7A8C-44AA-AA7C-7DCBF9BBE54A}">
    <text>Manager left PH not having any member to measure the numbers</text>
  </threadedComment>
  <threadedComment ref="R426" dT="2025-08-28T13:44:38.78" personId="{ED1D359B-D851-4826-88EF-B9650B16DF7A}" id="{F30E008A-9323-4948-938C-0E53E0B0FFC5}">
    <text>Manager left PH not having any member to measure the numbers</text>
  </threadedComment>
  <threadedComment ref="S426" dT="2025-08-28T13:44:38.78" personId="{ED1D359B-D851-4826-88EF-B9650B16DF7A}" id="{C94590C2-5151-4EA7-B569-ECA4E1F1EDF4}">
    <text>Manager left PH not having any member to measure the numbers</text>
  </threadedComment>
  <threadedComment ref="P427" dT="2025-07-25T11:14:13.53" personId="{5E6C111D-6CBD-463B-B75C-C6A667AF4364}" id="{517AD95E-B960-458F-8D18-54025929C840}">
    <text>Insufficient data, not validated</text>
  </threadedComment>
  <threadedComment ref="R427" dT="2025-08-28T13:44:38.78" personId="{ED1D359B-D851-4826-88EF-B9650B16DF7A}" id="{9CA98B90-5EF2-4AD7-8A3A-9CE05E4C61CE}">
    <text>Manager left PH not having any member to measure the numbers</text>
  </threadedComment>
  <threadedComment ref="S427" dT="2025-08-28T13:44:38.78" personId="{ED1D359B-D851-4826-88EF-B9650B16DF7A}" id="{D52C9709-DFF3-466E-91D7-1ED1FBD320D7}">
    <text>Manager left PH not having any member to measure the numbers</text>
  </threadedComment>
  <threadedComment ref="R428" dT="2025-08-28T13:44:38.78" personId="{ED1D359B-D851-4826-88EF-B9650B16DF7A}" id="{D258E99B-3288-48D2-B21C-DC90AD629AD3}">
    <text>Manager left PH not having any member to measure the numbers</text>
  </threadedComment>
  <threadedComment ref="S428" dT="2025-08-28T13:44:38.78" personId="{ED1D359B-D851-4826-88EF-B9650B16DF7A}" id="{EBC853BD-184F-4F70-BCF3-04357A71ECF4}">
    <text>Manager left PH not having any member to measure the numbers</text>
  </threadedComment>
  <threadedComment ref="R429" dT="2025-08-28T13:44:38.78" personId="{ED1D359B-D851-4826-88EF-B9650B16DF7A}" id="{84B822F2-69B6-4FDE-94E4-65FCA2F5E453}">
    <text>Manager left PH not having any member to measure the numbers</text>
  </threadedComment>
  <threadedComment ref="S429" dT="2025-08-28T13:44:38.78" personId="{ED1D359B-D851-4826-88EF-B9650B16DF7A}" id="{6867166D-002A-4064-A2BA-107C90D18025}">
    <text>Manager left PH not having any member to measure the numbers</text>
  </threadedComment>
  <threadedComment ref="R430" dT="2025-08-28T13:44:38.78" personId="{ED1D359B-D851-4826-88EF-B9650B16DF7A}" id="{8ADB823B-4FCC-46EA-95E6-A76F5575928E}">
    <text>Manager left PH not having any member to measure the numbers</text>
  </threadedComment>
  <threadedComment ref="S430" dT="2025-08-28T13:44:38.78" personId="{ED1D359B-D851-4826-88EF-B9650B16DF7A}" id="{9A145015-4FDA-4817-9EC5-CD22E09FA7E6}">
    <text>Manager left PH not having any member to measure the numbers</text>
  </threadedComment>
  <threadedComment ref="R431" dT="2025-08-28T13:44:38.78" personId="{ED1D359B-D851-4826-88EF-B9650B16DF7A}" id="{963B9A52-3B18-418A-81CF-2DC15D08F1E2}">
    <text>Manager left PH not having any member to measure the numbers</text>
  </threadedComment>
  <threadedComment ref="S431" dT="2025-08-28T13:44:38.78" personId="{ED1D359B-D851-4826-88EF-B9650B16DF7A}" id="{8D9CDA84-5CBE-4DF7-8715-CF6E6EE46BB6}">
    <text>Manager left PH not having any member to measure the numbers</text>
  </threadedComment>
  <threadedComment ref="P432" dT="2025-07-25T11:09:09.61" personId="{5E6C111D-6CBD-463B-B75C-C6A667AF4364}" id="{2613675C-FEE5-4E82-A90F-C387DE424AC1}">
    <text>Insufficient data, not validated</text>
  </threadedComment>
  <threadedComment ref="R432" dT="2025-08-28T13:44:38.78" personId="{ED1D359B-D851-4826-88EF-B9650B16DF7A}" id="{C5A026B4-FDF8-4CB6-BCB6-48D09A6C8ADE}">
    <text>Manager left PH not having any member to measure the numbers</text>
  </threadedComment>
  <threadedComment ref="S432" dT="2025-08-28T13:44:38.78" personId="{ED1D359B-D851-4826-88EF-B9650B16DF7A}" id="{0EADC084-EA93-4C60-A92F-EDE21F115DAD}">
    <text>Manager left PH not having any member to measure the numbers</text>
  </threadedComment>
  <threadedComment ref="J440" dT="2024-10-18T04:54:46.00" personId="{ED1D359B-D851-4826-88EF-B9650B16DF7A}" id="{DFEA0CFB-5BE2-44F2-B3CA-83D29170E6C2}">
    <text>Project On-Hold</text>
  </threadedComment>
  <threadedComment ref="K440" dT="2024-10-18T04:54:46.00" personId="{ED1D359B-D851-4826-88EF-B9650B16DF7A}" id="{84276924-CFE5-4EFB-8C79-A309599A1CF7}">
    <text>Project On-Hold</text>
  </threadedComment>
  <threadedComment ref="L440" dT="2024-10-18T04:54:46.00" personId="{ED1D359B-D851-4826-88EF-B9650B16DF7A}" id="{64D1AE64-E6FC-48FE-ACA1-C0AA2593BBC0}">
    <text>Project On-Hold</text>
  </threadedComment>
  <threadedComment ref="M440" dT="2024-10-18T04:54:46.00" personId="{ED1D359B-D851-4826-88EF-B9650B16DF7A}" id="{AEA71259-5D49-4B44-9D26-C277E7A01FA5}">
    <text>Project On-Hold</text>
  </threadedComment>
  <threadedComment ref="N440" dT="2024-10-18T04:54:46.00" personId="{ED1D359B-D851-4826-88EF-B9650B16DF7A}" id="{84C749E2-5665-4868-B6F2-5873EC236050}">
    <text>Project On-Hold</text>
  </threadedComment>
  <threadedComment ref="O440" dT="2024-10-18T04:54:46.00" personId="{ED1D359B-D851-4826-88EF-B9650B16DF7A}" id="{294A417A-A603-4DE4-9253-6EF2BB75E22C}">
    <text>Project On-Hold</text>
  </threadedComment>
  <threadedComment ref="P440" dT="2024-10-18T04:54:46.00" personId="{ED1D359B-D851-4826-88EF-B9650B16DF7A}" id="{B62D423D-D352-4CE0-ACBD-A11FE36002DF}">
    <text>Project On-Hold</text>
  </threadedComment>
  <threadedComment ref="Q440" dT="2024-10-18T04:54:46.00" personId="{ED1D359B-D851-4826-88EF-B9650B16DF7A}" id="{C8B98F14-230F-42B6-AB54-446D9BBBF401}">
    <text>Project On-Hold</text>
  </threadedComment>
  <threadedComment ref="R440" dT="2024-10-18T04:54:46.00" personId="{ED1D359B-D851-4826-88EF-B9650B16DF7A}" id="{C34A0994-413B-4048-AD29-0F52889ACB0D}">
    <text>Project On-Hold</text>
  </threadedComment>
  <threadedComment ref="S440" dT="2024-10-18T04:54:46.00" personId="{ED1D359B-D851-4826-88EF-B9650B16DF7A}" id="{BE51F661-540C-4F4C-9A6B-02D540C3DB7B}">
    <text>Project On-Hold</text>
  </threadedComment>
  <threadedComment ref="T440" dT="2024-10-18T04:54:46.00" personId="{ED1D359B-D851-4826-88EF-B9650B16DF7A}" id="{04772D81-7555-46C7-83D0-24CDB55F317C}">
    <text>Project On-Hold</text>
  </threadedComment>
  <threadedComment ref="U440" dT="2024-10-18T04:54:46.00" personId="{ED1D359B-D851-4826-88EF-B9650B16DF7A}" id="{E88B02A5-53AE-4A37-A51F-A34BA048BCBC}">
    <text>Project On-Hold</text>
  </threadedComment>
  <threadedComment ref="V440" dT="2024-10-18T04:54:46.00" personId="{ED1D359B-D851-4826-88EF-B9650B16DF7A}" id="{FB3FFDA3-6FDB-40ED-8532-72D5A7607378}">
    <text>Project On-Hold</text>
  </threadedComment>
  <threadedComment ref="W440" dT="2024-10-18T04:54:46.00" personId="{ED1D359B-D851-4826-88EF-B9650B16DF7A}" id="{729CC537-3731-4B0F-AFDC-E6D57AB71A07}">
    <text>Project On-Hold</text>
  </threadedComment>
  <threadedComment ref="X440" dT="2024-10-18T04:54:46.00" personId="{ED1D359B-D851-4826-88EF-B9650B16DF7A}" id="{3ED3F6C7-3729-49B1-85D3-659FD81CD274}">
    <text>Project On-Hold</text>
  </threadedComment>
  <threadedComment ref="Y440" dT="2024-10-18T04:54:46.00" personId="{ED1D359B-D851-4826-88EF-B9650B16DF7A}" id="{D2B78D1E-C2BE-41AA-BD1E-30E4DF079FBA}">
    <text>Project On-Hold</text>
  </threadedComment>
  <threadedComment ref="Z440" dT="2024-10-18T04:54:46.00" personId="{ED1D359B-D851-4826-88EF-B9650B16DF7A}" id="{E84E634D-1316-4865-A635-FDF227754708}">
    <text>Project On-Hold</text>
  </threadedComment>
  <threadedComment ref="AA440" dT="2024-10-18T04:54:46.00" personId="{ED1D359B-D851-4826-88EF-B9650B16DF7A}" id="{33818A93-0050-45C8-8C62-FE3065B2E3D5}">
    <text>Project On-Hold</text>
  </threadedComment>
  <threadedComment ref="AB440" dT="2024-10-18T04:54:46.00" personId="{ED1D359B-D851-4826-88EF-B9650B16DF7A}" id="{061F690F-C6CD-449F-BCB1-D72EE36F776B}">
    <text>Project On-Hold</text>
  </threadedComment>
  <threadedComment ref="AF440" dT="2024-10-18T04:54:46.00" personId="{ED1D359B-D851-4826-88EF-B9650B16DF7A}" id="{DC68CD5E-5CDB-4D53-A9EF-4ED5DA774B10}">
    <text>Project On-Hold</text>
  </threadedComment>
  <threadedComment ref="AH440" dT="2024-10-18T04:54:46.00" personId="{ED1D359B-D851-4826-88EF-B9650B16DF7A}" id="{60A23BAD-8271-477B-8C74-39B749F8575E}">
    <text>Project On-Hold</text>
  </threadedComment>
  <threadedComment ref="AJ440" dT="2024-10-18T04:54:46.00" personId="{ED1D359B-D851-4826-88EF-B9650B16DF7A}" id="{D9D23F6A-B9A8-45D0-BF06-D3BC55455374}">
    <text>Project On-Hold</text>
  </threadedComment>
  <threadedComment ref="J441" dT="2024-10-18T04:54:46.00" personId="{ED1D359B-D851-4826-88EF-B9650B16DF7A}" id="{5EB7CA2C-6B03-4F76-87C4-C660966576C6}">
    <text>Project On-Hold</text>
  </threadedComment>
  <threadedComment ref="K441" dT="2024-10-18T04:54:46.00" personId="{ED1D359B-D851-4826-88EF-B9650B16DF7A}" id="{3E01364B-16C0-479B-A87C-6F1C03955DE8}">
    <text>Project On-Hold</text>
  </threadedComment>
  <threadedComment ref="L441" dT="2024-10-18T04:54:46.00" personId="{ED1D359B-D851-4826-88EF-B9650B16DF7A}" id="{BD776545-B87E-4DCD-AE9F-5011A636FF5B}">
    <text>Project On-Hold</text>
  </threadedComment>
  <threadedComment ref="M441" dT="2024-10-18T04:54:46.00" personId="{ED1D359B-D851-4826-88EF-B9650B16DF7A}" id="{DCB1E53E-CBE8-424E-97D7-28F944FD8918}">
    <text>Project On-Hold</text>
  </threadedComment>
  <threadedComment ref="N441" dT="2024-10-18T04:54:46.00" personId="{ED1D359B-D851-4826-88EF-B9650B16DF7A}" id="{A1A84F16-130B-41B6-967C-5E50024AC24E}">
    <text>Project On-Hold</text>
  </threadedComment>
  <threadedComment ref="O441" dT="2024-10-18T04:54:46.00" personId="{ED1D359B-D851-4826-88EF-B9650B16DF7A}" id="{2D2A7135-B213-4CFC-B97F-29622B992933}">
    <text>Project On-Hold</text>
  </threadedComment>
  <threadedComment ref="P441" dT="2024-10-18T04:54:46.00" personId="{ED1D359B-D851-4826-88EF-B9650B16DF7A}" id="{CB8E66DE-D4F7-410B-80CC-D0C283226FFB}">
    <text>Project On-Hold</text>
  </threadedComment>
  <threadedComment ref="Q441" dT="2024-10-18T04:54:46.00" personId="{ED1D359B-D851-4826-88EF-B9650B16DF7A}" id="{FDA6B179-00E0-43E5-BF69-0E0640EA7E1D}">
    <text>Project On-Hold</text>
  </threadedComment>
  <threadedComment ref="R441" dT="2024-10-18T04:54:46.00" personId="{ED1D359B-D851-4826-88EF-B9650B16DF7A}" id="{58DE2B00-D85F-43DA-9C8D-9D563310EE68}">
    <text>Project On-Hold</text>
  </threadedComment>
  <threadedComment ref="S441" dT="2024-10-18T04:54:46.00" personId="{ED1D359B-D851-4826-88EF-B9650B16DF7A}" id="{27DF75F1-7228-429B-917A-B31FE0E22DB9}">
    <text>Project On-Hold</text>
  </threadedComment>
  <threadedComment ref="T441" dT="2024-10-18T04:54:46.00" personId="{ED1D359B-D851-4826-88EF-B9650B16DF7A}" id="{3E6BB0C7-FC3D-4199-AB9E-53B7D89D08B5}">
    <text>Project On-Hold</text>
  </threadedComment>
  <threadedComment ref="U441" dT="2024-10-18T04:54:46.00" personId="{ED1D359B-D851-4826-88EF-B9650B16DF7A}" id="{59A9FAEC-F731-44B4-AECF-F1EF9CD37C32}">
    <text>Project On-Hold</text>
  </threadedComment>
  <threadedComment ref="V441" dT="2024-10-18T04:54:46.00" personId="{ED1D359B-D851-4826-88EF-B9650B16DF7A}" id="{EFF28880-5A22-4C7B-B255-345CB0D0F69B}">
    <text>Project On-Hold</text>
  </threadedComment>
  <threadedComment ref="W441" dT="2024-10-18T04:54:46.00" personId="{ED1D359B-D851-4826-88EF-B9650B16DF7A}" id="{A3BAA837-7809-48F4-A540-810C2E6474FF}">
    <text>Project On-Hold</text>
  </threadedComment>
  <threadedComment ref="X441" dT="2024-10-18T04:54:46.00" personId="{ED1D359B-D851-4826-88EF-B9650B16DF7A}" id="{A235713F-0A27-49E8-BFB7-616B8357B51D}">
    <text>Project On-Hold</text>
  </threadedComment>
  <threadedComment ref="Y441" dT="2024-10-18T04:54:46.00" personId="{ED1D359B-D851-4826-88EF-B9650B16DF7A}" id="{78B241F0-41DF-4E9C-90D4-11164E8071F3}">
    <text>Project On-Hold</text>
  </threadedComment>
  <threadedComment ref="Z441" dT="2024-10-18T04:54:46.00" personId="{ED1D359B-D851-4826-88EF-B9650B16DF7A}" id="{FD828BDD-0C96-45D8-99D8-C9B74D6AB199}">
    <text>Project On-Hold</text>
  </threadedComment>
  <threadedComment ref="AA441" dT="2024-10-18T04:54:46.00" personId="{ED1D359B-D851-4826-88EF-B9650B16DF7A}" id="{FD4D7A4F-7F08-48D4-AE35-FEA780424D5D}">
    <text>Project On-Hold</text>
  </threadedComment>
  <threadedComment ref="AB441" dT="2024-10-18T04:54:46.00" personId="{ED1D359B-D851-4826-88EF-B9650B16DF7A}" id="{638E9196-272C-4389-B49F-6419E0E5E97E}">
    <text>Project On-Hold</text>
  </threadedComment>
  <threadedComment ref="AF441" dT="2024-10-18T04:54:46.00" personId="{ED1D359B-D851-4826-88EF-B9650B16DF7A}" id="{AE0502EF-50A1-4FDD-BE01-1E219BE2324E}">
    <text>Project On-Hold</text>
  </threadedComment>
  <threadedComment ref="AH441" dT="2024-10-18T04:54:46.00" personId="{ED1D359B-D851-4826-88EF-B9650B16DF7A}" id="{4F913E7B-9D2A-415A-8FEC-BF1E467A4F16}">
    <text>Project On-Hold</text>
  </threadedComment>
  <threadedComment ref="AJ441" dT="2024-10-18T04:54:46.00" personId="{ED1D359B-D851-4826-88EF-B9650B16DF7A}" id="{911D2427-CC56-4DFD-AC40-475B794A88B8}">
    <text>Project On-Hold</text>
  </threadedComment>
  <threadedComment ref="J442" dT="2024-10-18T04:54:46.00" personId="{ED1D359B-D851-4826-88EF-B9650B16DF7A}" id="{6E78F8CF-05E3-4A07-BB4D-4BFF9A1B116C}">
    <text>Project On-Hold</text>
  </threadedComment>
  <threadedComment ref="K442" dT="2024-10-18T04:54:46.00" personId="{ED1D359B-D851-4826-88EF-B9650B16DF7A}" id="{D83F6B81-32CE-40BD-9FCC-1216F68FEDAE}">
    <text>Project On-Hold</text>
  </threadedComment>
  <threadedComment ref="L442" dT="2024-10-18T04:54:46.00" personId="{ED1D359B-D851-4826-88EF-B9650B16DF7A}" id="{B74B7589-55EE-4DD0-95CB-DA58E3274239}">
    <text>Project On-Hold</text>
  </threadedComment>
  <threadedComment ref="M442" dT="2024-10-18T04:54:46.00" personId="{ED1D359B-D851-4826-88EF-B9650B16DF7A}" id="{2929861F-9180-45E2-AC0E-74416F1379D2}">
    <text>Project On-Hold</text>
  </threadedComment>
  <threadedComment ref="N442" dT="2024-10-18T04:54:46.00" personId="{ED1D359B-D851-4826-88EF-B9650B16DF7A}" id="{6227562B-4C03-4B1D-A619-CF32D7B9EE5F}">
    <text>Project On-Hold</text>
  </threadedComment>
  <threadedComment ref="O442" dT="2024-10-18T04:54:46.00" personId="{ED1D359B-D851-4826-88EF-B9650B16DF7A}" id="{E83916ED-9729-463C-BDF8-73701D82D638}">
    <text>Project On-Hold</text>
  </threadedComment>
  <threadedComment ref="P442" dT="2024-10-18T04:54:46.00" personId="{ED1D359B-D851-4826-88EF-B9650B16DF7A}" id="{5F51CB27-0969-4BF1-8982-086DE9238D87}">
    <text>Project On-Hold</text>
  </threadedComment>
  <threadedComment ref="Q442" dT="2024-10-18T04:54:46.00" personId="{ED1D359B-D851-4826-88EF-B9650B16DF7A}" id="{DD941A50-2EFE-4A2A-81BA-779BB7174511}">
    <text>Project On-Hold</text>
  </threadedComment>
  <threadedComment ref="R442" dT="2024-10-18T04:54:46.00" personId="{ED1D359B-D851-4826-88EF-B9650B16DF7A}" id="{24A0CEDB-B9A0-4AFC-B7D0-62113C5E2CEF}">
    <text>Project On-Hold</text>
  </threadedComment>
  <threadedComment ref="S442" dT="2024-10-18T04:54:46.00" personId="{ED1D359B-D851-4826-88EF-B9650B16DF7A}" id="{E8B75F90-1B09-402E-BCFA-C72852B4922C}">
    <text>Project On-Hold</text>
  </threadedComment>
  <threadedComment ref="T442" dT="2024-10-18T04:54:46.00" personId="{ED1D359B-D851-4826-88EF-B9650B16DF7A}" id="{2D4DF3F2-890C-4E93-974F-6579F4212131}">
    <text>Project On-Hold</text>
  </threadedComment>
  <threadedComment ref="U442" dT="2024-10-18T04:54:46.00" personId="{ED1D359B-D851-4826-88EF-B9650B16DF7A}" id="{9CE2B82D-66D6-4859-849B-7E1537299E32}">
    <text>Project On-Hold</text>
  </threadedComment>
  <threadedComment ref="V442" dT="2024-10-18T04:54:46.00" personId="{ED1D359B-D851-4826-88EF-B9650B16DF7A}" id="{76717D57-3A82-4622-8138-8E435E4E91B6}">
    <text>Project On-Hold</text>
  </threadedComment>
  <threadedComment ref="W442" dT="2024-10-18T04:54:46.00" personId="{ED1D359B-D851-4826-88EF-B9650B16DF7A}" id="{706BB974-12C1-4042-B28D-4130E7BEE985}">
    <text>Project On-Hold</text>
  </threadedComment>
  <threadedComment ref="X442" dT="2024-10-18T04:54:46.00" personId="{ED1D359B-D851-4826-88EF-B9650B16DF7A}" id="{D99EFA7A-D34F-41AF-A220-D738A88F2469}">
    <text>Project On-Hold</text>
  </threadedComment>
  <threadedComment ref="Y442" dT="2024-10-18T04:54:46.00" personId="{ED1D359B-D851-4826-88EF-B9650B16DF7A}" id="{9B3C4C4F-44D5-45E9-951D-B87AD7B8C637}">
    <text>Project On-Hold</text>
  </threadedComment>
  <threadedComment ref="Z442" dT="2024-10-18T04:54:46.00" personId="{ED1D359B-D851-4826-88EF-B9650B16DF7A}" id="{64926625-12D1-4730-8AFF-AA80B82800E3}">
    <text>Project On-Hold</text>
  </threadedComment>
  <threadedComment ref="AA442" dT="2024-10-18T04:54:46.00" personId="{ED1D359B-D851-4826-88EF-B9650B16DF7A}" id="{C264947F-3650-4229-BC73-58B80C627096}">
    <text>Project On-Hold</text>
  </threadedComment>
  <threadedComment ref="AB442" dT="2024-10-18T04:54:46.00" personId="{ED1D359B-D851-4826-88EF-B9650B16DF7A}" id="{CEBD5AA7-19E8-44DA-A25D-E2C3F000A291}">
    <text>Project On-Hold</text>
  </threadedComment>
  <threadedComment ref="AF442" dT="2024-10-18T04:54:46.00" personId="{ED1D359B-D851-4826-88EF-B9650B16DF7A}" id="{4F18D24D-9A8D-4A53-99CA-10B9B2D71B3B}">
    <text>Project On-Hold</text>
  </threadedComment>
  <threadedComment ref="AH442" dT="2024-10-18T04:54:46.00" personId="{ED1D359B-D851-4826-88EF-B9650B16DF7A}" id="{8E810622-1327-4BAB-8796-A1D1C00EBAED}">
    <text>Project On-Hold</text>
  </threadedComment>
  <threadedComment ref="AJ442" dT="2024-10-18T04:54:46.00" personId="{ED1D359B-D851-4826-88EF-B9650B16DF7A}" id="{B2BC29BB-31B5-4F0A-874B-9BCF9DE9D70B}">
    <text>Project On-Hold</text>
  </threadedComment>
  <threadedComment ref="J443" dT="2024-10-18T04:54:46.00" personId="{ED1D359B-D851-4826-88EF-B9650B16DF7A}" id="{8AAB89C1-5FA1-4B06-A283-DF4AB657843D}">
    <text>Project On-Hold</text>
  </threadedComment>
  <threadedComment ref="K443" dT="2024-10-18T04:54:46.00" personId="{ED1D359B-D851-4826-88EF-B9650B16DF7A}" id="{6454D757-0D44-4DB3-8359-F8F2802BFD94}">
    <text>Project On-Hold</text>
  </threadedComment>
  <threadedComment ref="L443" dT="2024-10-18T04:54:46.00" personId="{ED1D359B-D851-4826-88EF-B9650B16DF7A}" id="{F7E5D80E-118E-44BE-9D76-09DEF5857D5D}">
    <text>Project On-Hold</text>
  </threadedComment>
  <threadedComment ref="M443" dT="2024-10-18T04:54:46.00" personId="{ED1D359B-D851-4826-88EF-B9650B16DF7A}" id="{7232E19A-4D9A-4F59-A391-0FF439946C5C}">
    <text>Project On-Hold</text>
  </threadedComment>
  <threadedComment ref="N443" dT="2024-10-18T04:54:46.00" personId="{ED1D359B-D851-4826-88EF-B9650B16DF7A}" id="{4956B973-5B73-401B-BBE2-04789C5B998D}">
    <text>Project On-Hold</text>
  </threadedComment>
  <threadedComment ref="O443" dT="2024-10-18T04:54:46.00" personId="{ED1D359B-D851-4826-88EF-B9650B16DF7A}" id="{F1B63D65-806A-4F3F-AEE7-A3CDB1A1E702}">
    <text>Project On-Hold</text>
  </threadedComment>
  <threadedComment ref="P443" dT="2024-10-18T04:54:46.00" personId="{ED1D359B-D851-4826-88EF-B9650B16DF7A}" id="{374FEC6B-ADE9-44B0-9C0E-1F5214641D0E}">
    <text>Project On-Hold</text>
  </threadedComment>
  <threadedComment ref="Q443" dT="2024-10-18T04:54:46.00" personId="{ED1D359B-D851-4826-88EF-B9650B16DF7A}" id="{A53DD8C8-1A95-4AEC-AAFF-35F81843782A}">
    <text>Project On-Hold</text>
  </threadedComment>
  <threadedComment ref="R443" dT="2024-10-18T04:54:46.00" personId="{ED1D359B-D851-4826-88EF-B9650B16DF7A}" id="{0FE52026-9C37-45DC-A482-E51FFC891963}">
    <text>Project On-Hold</text>
  </threadedComment>
  <threadedComment ref="S443" dT="2024-10-18T04:54:46.00" personId="{ED1D359B-D851-4826-88EF-B9650B16DF7A}" id="{78300BEE-A67A-4B43-B7F7-5282801D894A}">
    <text>Project On-Hold</text>
  </threadedComment>
  <threadedComment ref="T443" dT="2024-10-18T04:54:46.00" personId="{ED1D359B-D851-4826-88EF-B9650B16DF7A}" id="{880CF2BB-2A05-4BAB-8E40-E05B82F38D80}">
    <text>Project On-Hold</text>
  </threadedComment>
  <threadedComment ref="U443" dT="2024-10-18T04:54:46.00" personId="{ED1D359B-D851-4826-88EF-B9650B16DF7A}" id="{85B3F65F-B064-4573-B0B8-ED170A96E057}">
    <text>Project On-Hold</text>
  </threadedComment>
  <threadedComment ref="V443" dT="2024-10-18T04:54:46.00" personId="{ED1D359B-D851-4826-88EF-B9650B16DF7A}" id="{1DB8A600-6657-483B-972B-2F3827499EAE}">
    <text>Project On-Hold</text>
  </threadedComment>
  <threadedComment ref="W443" dT="2024-10-18T04:54:46.00" personId="{ED1D359B-D851-4826-88EF-B9650B16DF7A}" id="{38EAC3B7-7698-460F-A151-817DA586172F}">
    <text>Project On-Hold</text>
  </threadedComment>
  <threadedComment ref="X443" dT="2024-10-18T04:54:46.00" personId="{ED1D359B-D851-4826-88EF-B9650B16DF7A}" id="{C7958ECB-8A85-4D4F-90C6-C7BBA84D15C8}">
    <text>Project On-Hold</text>
  </threadedComment>
  <threadedComment ref="Y443" dT="2024-10-18T04:54:46.00" personId="{ED1D359B-D851-4826-88EF-B9650B16DF7A}" id="{F65495BA-0CA3-47F5-87D1-1094963FD934}">
    <text>Project On-Hold</text>
  </threadedComment>
  <threadedComment ref="Z443" dT="2024-10-18T04:54:46.00" personId="{ED1D359B-D851-4826-88EF-B9650B16DF7A}" id="{10334DFB-5D9D-4006-A84D-B77DBCF27E3A}">
    <text>Project On-Hold</text>
  </threadedComment>
  <threadedComment ref="AA443" dT="2024-10-18T04:54:46.00" personId="{ED1D359B-D851-4826-88EF-B9650B16DF7A}" id="{B871F13B-66D7-4431-AE4D-F0A0E565DD63}">
    <text>Project On-Hold</text>
  </threadedComment>
  <threadedComment ref="AB443" dT="2024-10-18T04:54:46.00" personId="{ED1D359B-D851-4826-88EF-B9650B16DF7A}" id="{4FC5AB9F-D5BF-48CE-8729-F0FD5F4A8D32}">
    <text>Project On-Hold</text>
  </threadedComment>
  <threadedComment ref="AF443" dT="2024-10-18T04:54:46.00" personId="{ED1D359B-D851-4826-88EF-B9650B16DF7A}" id="{71B6139A-1051-4D83-B5EC-2C1D036FF1E1}">
    <text>Project On-Hold</text>
  </threadedComment>
  <threadedComment ref="AH443" dT="2024-10-18T04:54:46.00" personId="{ED1D359B-D851-4826-88EF-B9650B16DF7A}" id="{4FC4855B-B489-4F2C-8338-0E8C2038F0C9}">
    <text>Project On-Hold</text>
  </threadedComment>
  <threadedComment ref="AJ443" dT="2024-10-18T04:54:46.00" personId="{ED1D359B-D851-4826-88EF-B9650B16DF7A}" id="{4806193E-E0AA-4A98-A7ED-75939E842384}">
    <text>Project On-Hold</text>
  </threadedComment>
  <threadedComment ref="J444" dT="2024-10-18T04:54:46.00" personId="{ED1D359B-D851-4826-88EF-B9650B16DF7A}" id="{92BE2686-A02D-4404-B1FA-88EAF83C75D4}">
    <text>Project On-Hold</text>
  </threadedComment>
  <threadedComment ref="K444" dT="2024-10-18T04:54:46.00" personId="{ED1D359B-D851-4826-88EF-B9650B16DF7A}" id="{718E316D-68A2-4688-8181-6DFDF936670E}">
    <text>Project On-Hold</text>
  </threadedComment>
  <threadedComment ref="L444" dT="2024-10-18T04:54:46.00" personId="{ED1D359B-D851-4826-88EF-B9650B16DF7A}" id="{89A416C4-6A7B-4016-84BD-72789253A0EC}">
    <text>Project On-Hold</text>
  </threadedComment>
  <threadedComment ref="M444" dT="2024-10-18T04:54:46.00" personId="{ED1D359B-D851-4826-88EF-B9650B16DF7A}" id="{A86B98E4-4036-487C-BBC1-64F80151F37D}">
    <text>Project On-Hold</text>
  </threadedComment>
  <threadedComment ref="N444" dT="2024-10-18T04:54:46.00" personId="{ED1D359B-D851-4826-88EF-B9650B16DF7A}" id="{3542C85F-9037-487E-A297-B8746183BBFA}">
    <text>Project On-Hold</text>
  </threadedComment>
  <threadedComment ref="O444" dT="2024-10-18T04:54:46.00" personId="{ED1D359B-D851-4826-88EF-B9650B16DF7A}" id="{3F983BAC-68EC-4AAD-A274-6A5DA6B15607}">
    <text>Project On-Hold</text>
  </threadedComment>
  <threadedComment ref="P444" dT="2024-10-18T04:54:46.00" personId="{ED1D359B-D851-4826-88EF-B9650B16DF7A}" id="{EDBD9AF2-F76F-4405-B734-6B6D5FB9843D}">
    <text>Project On-Hold</text>
  </threadedComment>
  <threadedComment ref="Q444" dT="2024-10-18T04:54:46.00" personId="{ED1D359B-D851-4826-88EF-B9650B16DF7A}" id="{BC0443FC-B735-4D22-86BA-9E7F91A62657}">
    <text>Project On-Hold</text>
  </threadedComment>
  <threadedComment ref="R444" dT="2024-10-18T04:54:46.00" personId="{ED1D359B-D851-4826-88EF-B9650B16DF7A}" id="{D48982B9-3619-4B5A-8F70-7C1E1237737B}">
    <text>Project On-Hold</text>
  </threadedComment>
  <threadedComment ref="S444" dT="2024-10-18T04:54:46.00" personId="{ED1D359B-D851-4826-88EF-B9650B16DF7A}" id="{9E1FB3C7-8AFC-4DAC-9039-9D01D703F8C7}">
    <text>Project On-Hold</text>
  </threadedComment>
  <threadedComment ref="T444" dT="2024-10-18T04:54:46.00" personId="{ED1D359B-D851-4826-88EF-B9650B16DF7A}" id="{CACFEF1C-49E4-47F5-A0D4-089590C15041}">
    <text>Project On-Hold</text>
  </threadedComment>
  <threadedComment ref="U444" dT="2024-10-18T04:54:46.00" personId="{ED1D359B-D851-4826-88EF-B9650B16DF7A}" id="{2B90BA64-6C54-4510-9AE4-AAB87AED8419}">
    <text>Project On-Hold</text>
  </threadedComment>
  <threadedComment ref="V444" dT="2024-10-18T04:54:46.00" personId="{ED1D359B-D851-4826-88EF-B9650B16DF7A}" id="{C5A8E4D0-047B-4347-BF66-7E24811B5CFF}">
    <text>Project On-Hold</text>
  </threadedComment>
  <threadedComment ref="W444" dT="2024-10-18T04:54:46.00" personId="{ED1D359B-D851-4826-88EF-B9650B16DF7A}" id="{3D1CB52A-A5E8-4C11-B670-5F410015226D}">
    <text>Project On-Hold</text>
  </threadedComment>
  <threadedComment ref="X444" dT="2024-10-18T04:54:46.00" personId="{ED1D359B-D851-4826-88EF-B9650B16DF7A}" id="{D2CF1A05-0BD7-4031-BA94-439D153288DE}">
    <text>Project On-Hold</text>
  </threadedComment>
  <threadedComment ref="Y444" dT="2024-10-18T04:54:46.00" personId="{ED1D359B-D851-4826-88EF-B9650B16DF7A}" id="{75E9DBF9-09C0-4C24-830A-3E0FCFCE1C74}">
    <text>Project On-Hold</text>
  </threadedComment>
  <threadedComment ref="Z444" dT="2024-10-18T04:54:46.00" personId="{ED1D359B-D851-4826-88EF-B9650B16DF7A}" id="{37ABE53F-DDD0-41E0-ADEE-5B9811825421}">
    <text>Project On-Hold</text>
  </threadedComment>
  <threadedComment ref="AA444" dT="2024-10-18T04:54:46.00" personId="{ED1D359B-D851-4826-88EF-B9650B16DF7A}" id="{A6A6AED0-0F1B-4745-8F2C-18C6E121CC02}">
    <text>Project On-Hold</text>
  </threadedComment>
  <threadedComment ref="AB444" dT="2024-10-18T04:54:46.00" personId="{ED1D359B-D851-4826-88EF-B9650B16DF7A}" id="{D937F11B-FC4D-4E4B-AAF7-EB33DE3F7430}">
    <text>Project On-Hold</text>
  </threadedComment>
  <threadedComment ref="AF444" dT="2024-10-18T04:54:46.00" personId="{ED1D359B-D851-4826-88EF-B9650B16DF7A}" id="{4C796C11-9A9D-4A8E-93FC-92BE43E74ACA}">
    <text>Project On-Hold</text>
  </threadedComment>
  <threadedComment ref="AH444" dT="2024-10-18T04:54:46.00" personId="{ED1D359B-D851-4826-88EF-B9650B16DF7A}" id="{7A6A03AB-9FB7-4822-88D2-B69F1656C860}">
    <text>Project On-Hold</text>
  </threadedComment>
  <threadedComment ref="AJ444" dT="2024-10-18T04:54:46.00" personId="{ED1D359B-D851-4826-88EF-B9650B16DF7A}" id="{6C2CBF43-F822-428F-B2BC-8E41255BF2DC}">
    <text>Project On-Hold</text>
  </threadedComment>
  <threadedComment ref="J445" dT="2024-10-18T04:54:46.00" personId="{ED1D359B-D851-4826-88EF-B9650B16DF7A}" id="{DA8E09C9-5814-4F80-9174-768E4C7E844B}">
    <text>Project On-Hold</text>
  </threadedComment>
  <threadedComment ref="K445" dT="2024-10-18T04:54:46.00" personId="{ED1D359B-D851-4826-88EF-B9650B16DF7A}" id="{45D9CBCE-2D13-4CDA-B738-4873E26E72CD}">
    <text>Project On-Hold</text>
  </threadedComment>
  <threadedComment ref="L445" dT="2024-10-18T04:54:46.00" personId="{ED1D359B-D851-4826-88EF-B9650B16DF7A}" id="{441B3DA4-0694-469D-ABCF-21EE7530DBC5}">
    <text>Project On-Hold</text>
  </threadedComment>
  <threadedComment ref="M445" dT="2024-10-18T04:54:46.00" personId="{ED1D359B-D851-4826-88EF-B9650B16DF7A}" id="{75B11E46-F688-47B1-8C89-E06DEBDB9B40}">
    <text>Project On-Hold</text>
  </threadedComment>
  <threadedComment ref="N445" dT="2024-10-18T04:54:46.00" personId="{ED1D359B-D851-4826-88EF-B9650B16DF7A}" id="{262B847F-B25C-4CB6-9A74-4E3986AFCE8F}">
    <text>Project On-Hold</text>
  </threadedComment>
  <threadedComment ref="O445" dT="2024-10-18T04:54:46.00" personId="{ED1D359B-D851-4826-88EF-B9650B16DF7A}" id="{51DB219C-A426-4263-892E-7E728D08F83E}">
    <text>Project On-Hold</text>
  </threadedComment>
  <threadedComment ref="P445" dT="2024-10-18T04:54:46.00" personId="{ED1D359B-D851-4826-88EF-B9650B16DF7A}" id="{9E23AF56-BCA8-475F-9A07-F4F3E27BDAA4}">
    <text>Project On-Hold</text>
  </threadedComment>
  <threadedComment ref="Q445" dT="2024-10-18T04:54:46.00" personId="{ED1D359B-D851-4826-88EF-B9650B16DF7A}" id="{96DF170D-61A8-4960-9436-8539B231D883}">
    <text>Project On-Hold</text>
  </threadedComment>
  <threadedComment ref="R445" dT="2024-10-18T04:54:46.00" personId="{ED1D359B-D851-4826-88EF-B9650B16DF7A}" id="{72D24035-BEE0-454B-9A24-7BE39A39DA39}">
    <text>Project On-Hold</text>
  </threadedComment>
  <threadedComment ref="S445" dT="2024-10-18T04:54:46.00" personId="{ED1D359B-D851-4826-88EF-B9650B16DF7A}" id="{DC72140B-6DCC-4720-B2BB-DB100BFECC40}">
    <text>Project On-Hold</text>
  </threadedComment>
  <threadedComment ref="T445" dT="2024-10-18T04:54:46.00" personId="{ED1D359B-D851-4826-88EF-B9650B16DF7A}" id="{C056AF08-2723-45A2-925B-FD31E1FDEE8D}">
    <text>Project On-Hold</text>
  </threadedComment>
  <threadedComment ref="U445" dT="2024-10-18T04:54:46.00" personId="{ED1D359B-D851-4826-88EF-B9650B16DF7A}" id="{DAF753C4-F740-42F4-A677-4853D170E9D1}">
    <text>Project On-Hold</text>
  </threadedComment>
  <threadedComment ref="V445" dT="2024-10-18T04:54:46.00" personId="{ED1D359B-D851-4826-88EF-B9650B16DF7A}" id="{225453FA-7296-45E6-AB5F-3CEACA625A0F}">
    <text>Project On-Hold</text>
  </threadedComment>
  <threadedComment ref="W445" dT="2024-10-18T04:54:46.00" personId="{ED1D359B-D851-4826-88EF-B9650B16DF7A}" id="{FCCBCE2F-F2B9-4320-AA56-679D0BF0CD84}">
    <text>Project On-Hold</text>
  </threadedComment>
  <threadedComment ref="X445" dT="2024-10-18T04:54:46.00" personId="{ED1D359B-D851-4826-88EF-B9650B16DF7A}" id="{A2EA8186-FA82-4FE9-8F78-33F3C12C4F17}">
    <text>Project On-Hold</text>
  </threadedComment>
  <threadedComment ref="Y445" dT="2024-10-18T04:54:46.00" personId="{ED1D359B-D851-4826-88EF-B9650B16DF7A}" id="{3EDBADD2-B288-4CA0-A54C-BB6434346A08}">
    <text>Project On-Hold</text>
  </threadedComment>
  <threadedComment ref="Z445" dT="2024-10-18T04:54:46.00" personId="{ED1D359B-D851-4826-88EF-B9650B16DF7A}" id="{C87BE857-5401-40BA-88DF-9090EAA99171}">
    <text>Project On-Hold</text>
  </threadedComment>
  <threadedComment ref="AA445" dT="2024-10-18T04:54:46.00" personId="{ED1D359B-D851-4826-88EF-B9650B16DF7A}" id="{648E0B8C-BA13-48FC-813E-A64080D4A327}">
    <text>Project On-Hold</text>
  </threadedComment>
  <threadedComment ref="AB445" dT="2024-10-18T04:54:46.00" personId="{ED1D359B-D851-4826-88EF-B9650B16DF7A}" id="{702EA0E1-743F-4CDE-BCF7-79CFDE339874}">
    <text>Project On-Hold</text>
  </threadedComment>
  <threadedComment ref="AF445" dT="2024-10-18T04:54:46.00" personId="{ED1D359B-D851-4826-88EF-B9650B16DF7A}" id="{679B0A3B-DD08-44B8-AFB8-3814C5658695}">
    <text>Project On-Hold</text>
  </threadedComment>
  <threadedComment ref="AH445" dT="2024-10-18T04:54:46.00" personId="{ED1D359B-D851-4826-88EF-B9650B16DF7A}" id="{27B620E0-9752-488D-85E4-C8E5B6B6CAF3}">
    <text>Project On-Hold</text>
  </threadedComment>
  <threadedComment ref="AJ445" dT="2024-10-18T04:54:46.00" personId="{ED1D359B-D851-4826-88EF-B9650B16DF7A}" id="{93EA380E-5752-456E-ADA8-186FC071C2B5}">
    <text>Project On-Hold</text>
  </threadedComment>
  <threadedComment ref="J446" dT="2024-10-18T04:54:46.00" personId="{ED1D359B-D851-4826-88EF-B9650B16DF7A}" id="{A5374D55-CEAC-4A1B-859B-A5A22391DE09}">
    <text>Project On-Hold</text>
  </threadedComment>
  <threadedComment ref="K446" dT="2024-10-18T04:54:46.00" personId="{ED1D359B-D851-4826-88EF-B9650B16DF7A}" id="{1AEFC0E2-F40E-4811-9580-738D2E8D14C0}">
    <text>Project On-Hold</text>
  </threadedComment>
  <threadedComment ref="L446" dT="2024-10-18T04:54:46.00" personId="{ED1D359B-D851-4826-88EF-B9650B16DF7A}" id="{6185D844-4296-45FB-93B0-31699177C071}">
    <text>Project On-Hold</text>
  </threadedComment>
  <threadedComment ref="M446" dT="2024-10-18T04:54:46.00" personId="{ED1D359B-D851-4826-88EF-B9650B16DF7A}" id="{0CC92820-613B-4027-8EE2-839602DF18D2}">
    <text>Project On-Hold</text>
  </threadedComment>
  <threadedComment ref="N446" dT="2024-10-18T04:54:46.00" personId="{ED1D359B-D851-4826-88EF-B9650B16DF7A}" id="{0EF2BD6E-0E20-4AF2-A360-7F1C1849B3D1}">
    <text>Project On-Hold</text>
  </threadedComment>
  <threadedComment ref="O446" dT="2024-10-18T04:54:46.00" personId="{ED1D359B-D851-4826-88EF-B9650B16DF7A}" id="{2FEB16CF-E601-4DB0-82AF-78B023A0D1F3}">
    <text>Project On-Hold</text>
  </threadedComment>
  <threadedComment ref="P446" dT="2024-10-18T04:54:46.00" personId="{ED1D359B-D851-4826-88EF-B9650B16DF7A}" id="{E46888FC-952E-4D0E-A55A-BEABE5E61EE0}">
    <text>Project On-Hold</text>
  </threadedComment>
  <threadedComment ref="Q446" dT="2024-10-18T04:54:46.00" personId="{ED1D359B-D851-4826-88EF-B9650B16DF7A}" id="{8019BEFB-6974-4E7A-965E-E62555737393}">
    <text>Project On-Hold</text>
  </threadedComment>
  <threadedComment ref="R446" dT="2024-10-18T04:54:46.00" personId="{ED1D359B-D851-4826-88EF-B9650B16DF7A}" id="{169458DC-256A-453D-BCC8-76418EE66F43}">
    <text>Project On-Hold</text>
  </threadedComment>
  <threadedComment ref="S446" dT="2024-10-18T04:54:46.00" personId="{ED1D359B-D851-4826-88EF-B9650B16DF7A}" id="{7E0E98EA-915B-4B2C-ADA9-1B683FEEB95D}">
    <text>Project On-Hold</text>
  </threadedComment>
  <threadedComment ref="T446" dT="2024-10-18T04:54:46.00" personId="{ED1D359B-D851-4826-88EF-B9650B16DF7A}" id="{ABC3B355-7912-4FB7-8838-421DFE09C45B}">
    <text>Project On-Hold</text>
  </threadedComment>
  <threadedComment ref="U446" dT="2024-10-18T04:54:46.00" personId="{ED1D359B-D851-4826-88EF-B9650B16DF7A}" id="{23F210F3-97CE-4483-B27E-9973D880FF04}">
    <text>Project On-Hold</text>
  </threadedComment>
  <threadedComment ref="V446" dT="2024-10-18T04:54:46.00" personId="{ED1D359B-D851-4826-88EF-B9650B16DF7A}" id="{83600AFD-24A1-472F-94D9-3552DCDA5F23}">
    <text>Project On-Hold</text>
  </threadedComment>
  <threadedComment ref="W446" dT="2024-10-18T04:54:46.00" personId="{ED1D359B-D851-4826-88EF-B9650B16DF7A}" id="{3ABBCBF4-E9E4-4230-8BF9-01FDFB000F32}">
    <text>Project On-Hold</text>
  </threadedComment>
  <threadedComment ref="X446" dT="2024-10-18T04:54:46.00" personId="{ED1D359B-D851-4826-88EF-B9650B16DF7A}" id="{09924094-01D8-4152-BFE8-2F98A683D896}">
    <text>Project On-Hold</text>
  </threadedComment>
  <threadedComment ref="Y446" dT="2024-10-18T04:54:46.00" personId="{ED1D359B-D851-4826-88EF-B9650B16DF7A}" id="{87A13805-63FD-491F-B9F6-6053FBDD40D9}">
    <text>Project On-Hold</text>
  </threadedComment>
  <threadedComment ref="Z446" dT="2024-10-18T04:54:46.00" personId="{ED1D359B-D851-4826-88EF-B9650B16DF7A}" id="{192282D5-708C-4EF4-896B-BC240CBB1FEB}">
    <text>Project On-Hold</text>
  </threadedComment>
  <threadedComment ref="AA446" dT="2024-10-18T04:54:46.00" personId="{ED1D359B-D851-4826-88EF-B9650B16DF7A}" id="{D7D4CF7F-1389-4CCE-BC4F-5E087F43D94A}">
    <text>Project On-Hold</text>
  </threadedComment>
  <threadedComment ref="AB446" dT="2024-10-18T04:54:46.00" personId="{ED1D359B-D851-4826-88EF-B9650B16DF7A}" id="{2548E9F2-E909-4CDA-A47C-319A9CEA1B38}">
    <text>Project On-Hold</text>
  </threadedComment>
  <threadedComment ref="AF446" dT="2024-10-18T04:54:46.00" personId="{ED1D359B-D851-4826-88EF-B9650B16DF7A}" id="{4A7DA3B9-16DB-41A1-9F3E-AB114B41E3AA}">
    <text>Project On-Hold</text>
  </threadedComment>
  <threadedComment ref="AH446" dT="2024-10-18T04:54:46.00" personId="{ED1D359B-D851-4826-88EF-B9650B16DF7A}" id="{C2049B54-843B-4255-A789-5BE9E3DDAA55}">
    <text>Project On-Hold</text>
  </threadedComment>
  <threadedComment ref="AJ446" dT="2024-10-18T04:54:46.00" personId="{ED1D359B-D851-4826-88EF-B9650B16DF7A}" id="{6541EFC4-FFCE-42CE-A853-CD24E79954D0}">
    <text>Project On-Hold</text>
  </threadedComment>
  <threadedComment ref="J447" dT="2024-10-18T04:54:46.00" personId="{ED1D359B-D851-4826-88EF-B9650B16DF7A}" id="{1596FCC3-3120-4C38-895B-570166F8895D}">
    <text>Project On-Hold</text>
  </threadedComment>
  <threadedComment ref="K447" dT="2024-10-18T04:54:46.00" personId="{ED1D359B-D851-4826-88EF-B9650B16DF7A}" id="{49F08B16-6DAE-4737-A27B-D70F9082B0F2}">
    <text>Project On-Hold</text>
  </threadedComment>
  <threadedComment ref="L447" dT="2024-10-18T04:54:46.00" personId="{ED1D359B-D851-4826-88EF-B9650B16DF7A}" id="{A7D788A6-6CB2-4EC1-BD82-7986E6B231DD}">
    <text>Project On-Hold</text>
  </threadedComment>
  <threadedComment ref="M447" dT="2024-10-18T04:54:46.00" personId="{ED1D359B-D851-4826-88EF-B9650B16DF7A}" id="{D7745B4B-BF51-4155-8BDC-6BFCBA38E8AD}">
    <text>Project On-Hold</text>
  </threadedComment>
  <threadedComment ref="N447" dT="2024-10-18T04:54:46.00" personId="{ED1D359B-D851-4826-88EF-B9650B16DF7A}" id="{0D8E6853-544E-440F-888D-6730B89E963E}">
    <text>Project On-Hold</text>
  </threadedComment>
  <threadedComment ref="O447" dT="2024-10-18T04:54:46.00" personId="{ED1D359B-D851-4826-88EF-B9650B16DF7A}" id="{CE2C0CD7-B788-49FB-A70A-5D7FC0F802D2}">
    <text>Project On-Hold</text>
  </threadedComment>
  <threadedComment ref="P447" dT="2024-10-18T04:54:46.00" personId="{ED1D359B-D851-4826-88EF-B9650B16DF7A}" id="{AA971B69-5CBD-42B1-AC68-A8163F5B628E}">
    <text>Project On-Hold</text>
  </threadedComment>
  <threadedComment ref="Q447" dT="2024-10-18T04:54:46.00" personId="{ED1D359B-D851-4826-88EF-B9650B16DF7A}" id="{77F50AEA-1A20-4458-AA30-566A9D7A7B91}">
    <text>Project On-Hold</text>
  </threadedComment>
  <threadedComment ref="R447" dT="2024-10-18T04:54:46.00" personId="{ED1D359B-D851-4826-88EF-B9650B16DF7A}" id="{343599C9-5454-4B78-81C7-44011973419F}">
    <text>Project On-Hold</text>
  </threadedComment>
  <threadedComment ref="S447" dT="2024-10-18T04:54:46.00" personId="{ED1D359B-D851-4826-88EF-B9650B16DF7A}" id="{F8DE92A2-DF5E-47C7-A446-CFF7489E4FB3}">
    <text>Project On-Hold</text>
  </threadedComment>
  <threadedComment ref="T447" dT="2024-10-18T04:54:46.00" personId="{ED1D359B-D851-4826-88EF-B9650B16DF7A}" id="{C806FE56-5A62-4DBB-A711-FA57CBD814A0}">
    <text>Project On-Hold</text>
  </threadedComment>
  <threadedComment ref="U447" dT="2024-10-18T04:54:46.00" personId="{ED1D359B-D851-4826-88EF-B9650B16DF7A}" id="{A1760CED-0112-4B18-9C85-913C490AAB6F}">
    <text>Project On-Hold</text>
  </threadedComment>
  <threadedComment ref="V447" dT="2024-10-18T04:54:46.00" personId="{ED1D359B-D851-4826-88EF-B9650B16DF7A}" id="{D906CF94-E400-4DF9-80B8-ECCE26217030}">
    <text>Project On-Hold</text>
  </threadedComment>
  <threadedComment ref="W447" dT="2024-10-18T04:54:46.00" personId="{ED1D359B-D851-4826-88EF-B9650B16DF7A}" id="{59214A92-74AF-453B-AB46-63F7A05C0A22}">
    <text>Project On-Hold</text>
  </threadedComment>
  <threadedComment ref="X447" dT="2024-10-18T04:54:46.00" personId="{ED1D359B-D851-4826-88EF-B9650B16DF7A}" id="{01B641AC-23D3-4126-9293-5054A4BEA95E}">
    <text>Project On-Hold</text>
  </threadedComment>
  <threadedComment ref="Y447" dT="2024-10-18T04:54:46.00" personId="{ED1D359B-D851-4826-88EF-B9650B16DF7A}" id="{7ECD4420-9802-4D65-B37A-B9E263022E88}">
    <text>Project On-Hold</text>
  </threadedComment>
  <threadedComment ref="Z447" dT="2024-10-18T04:54:46.00" personId="{ED1D359B-D851-4826-88EF-B9650B16DF7A}" id="{AD7CDDFD-A15C-44A0-99EB-932027506F63}">
    <text>Project On-Hold</text>
  </threadedComment>
  <threadedComment ref="AA447" dT="2024-10-18T04:54:46.00" personId="{ED1D359B-D851-4826-88EF-B9650B16DF7A}" id="{2B429719-0BD7-40DA-8CC9-1AE4882371DA}">
    <text>Project On-Hold</text>
  </threadedComment>
  <threadedComment ref="AF447" dT="2024-10-18T04:54:46.00" personId="{ED1D359B-D851-4826-88EF-B9650B16DF7A}" id="{336E172A-5129-45C4-8D7A-F4393CB50B58}">
    <text>Project On-Hold</text>
  </threadedComment>
  <threadedComment ref="AH447" dT="2024-10-18T04:54:46.00" personId="{ED1D359B-D851-4826-88EF-B9650B16DF7A}" id="{1BE31173-728D-4F43-9AAB-40D833B1525E}">
    <text>Project On-Hold</text>
  </threadedComment>
  <threadedComment ref="AJ447" dT="2024-10-18T04:54:46.00" personId="{ED1D359B-D851-4826-88EF-B9650B16DF7A}" id="{9DDA4A9D-BE22-4480-A91D-09BDB19C3CC5}">
    <text>Project On-Hold</text>
  </threadedComment>
  <threadedComment ref="J448" dT="2024-10-18T04:54:46.00" personId="{ED1D359B-D851-4826-88EF-B9650B16DF7A}" id="{EDD911BC-FE2B-41BC-85C8-78EFB2F3D427}">
    <text>Project On-Hold</text>
  </threadedComment>
  <threadedComment ref="K448" dT="2024-10-18T04:54:46.00" personId="{ED1D359B-D851-4826-88EF-B9650B16DF7A}" id="{682FF8F2-1917-406C-8184-DA8AE2DD6DDE}">
    <text>Project On-Hold</text>
  </threadedComment>
  <threadedComment ref="L448" dT="2024-10-18T04:54:46.00" personId="{ED1D359B-D851-4826-88EF-B9650B16DF7A}" id="{D188078A-15AF-4234-8CC8-6569F9435C88}">
    <text>Project On-Hold</text>
  </threadedComment>
  <threadedComment ref="M448" dT="2024-10-18T04:54:46.00" personId="{ED1D359B-D851-4826-88EF-B9650B16DF7A}" id="{E6A39760-FBCC-405A-B0E3-1844BE19D94B}">
    <text>Project On-Hold</text>
  </threadedComment>
  <threadedComment ref="N448" dT="2024-10-18T04:54:46.00" personId="{ED1D359B-D851-4826-88EF-B9650B16DF7A}" id="{C2A97626-AE83-4AFA-A11E-E838A1378158}">
    <text>Project On-Hold</text>
  </threadedComment>
  <threadedComment ref="O448" dT="2024-10-18T04:54:46.00" personId="{ED1D359B-D851-4826-88EF-B9650B16DF7A}" id="{79F5117C-1373-47C0-BC33-894A095BD81F}">
    <text>Project On-Hold</text>
  </threadedComment>
  <threadedComment ref="P448" dT="2024-10-18T04:54:46.00" personId="{ED1D359B-D851-4826-88EF-B9650B16DF7A}" id="{7D3F1E73-D924-430D-A1AF-7B7A71B2BFD6}">
    <text>Project On-Hold</text>
  </threadedComment>
  <threadedComment ref="Q448" dT="2024-10-18T04:54:46.00" personId="{ED1D359B-D851-4826-88EF-B9650B16DF7A}" id="{C315D8C2-E20C-4C8E-8E6B-22C8745D3A90}">
    <text>Project On-Hold</text>
  </threadedComment>
  <threadedComment ref="R448" dT="2024-10-18T04:54:46.00" personId="{ED1D359B-D851-4826-88EF-B9650B16DF7A}" id="{2A6064C7-34A3-4901-A504-838073EB5751}">
    <text>Project On-Hold</text>
  </threadedComment>
  <threadedComment ref="S448" dT="2024-10-18T04:54:46.00" personId="{ED1D359B-D851-4826-88EF-B9650B16DF7A}" id="{4DCF3596-FC18-4E2C-B243-4DD46AB054D7}">
    <text>Project On-Hold</text>
  </threadedComment>
  <threadedComment ref="T448" dT="2024-10-18T04:54:46.00" personId="{ED1D359B-D851-4826-88EF-B9650B16DF7A}" id="{94961E48-A95F-4EA8-B729-3EBFF324B222}">
    <text>Project On-Hold</text>
  </threadedComment>
  <threadedComment ref="U448" dT="2024-10-18T04:54:46.00" personId="{ED1D359B-D851-4826-88EF-B9650B16DF7A}" id="{718BCC8F-97A1-4A85-B446-976919D53775}">
    <text>Project On-Hold</text>
  </threadedComment>
  <threadedComment ref="V448" dT="2024-10-18T04:54:46.00" personId="{ED1D359B-D851-4826-88EF-B9650B16DF7A}" id="{D08F0566-F73B-4626-AE9A-4241BC0487DE}">
    <text>Project On-Hold</text>
  </threadedComment>
  <threadedComment ref="W448" dT="2024-10-18T04:54:46.00" personId="{ED1D359B-D851-4826-88EF-B9650B16DF7A}" id="{039B140E-A1D1-46A3-A661-89A32B74AD24}">
    <text>Project On-Hold</text>
  </threadedComment>
  <threadedComment ref="X448" dT="2024-10-18T04:54:46.00" personId="{ED1D359B-D851-4826-88EF-B9650B16DF7A}" id="{C41D0468-6D40-4948-B5E3-72CB9D4B6B91}">
    <text>Project On-Hold</text>
  </threadedComment>
  <threadedComment ref="Y448" dT="2024-10-18T04:54:46.00" personId="{ED1D359B-D851-4826-88EF-B9650B16DF7A}" id="{020824E2-BC13-4914-B988-B24E70EDB8BB}">
    <text>Project On-Hold</text>
  </threadedComment>
  <threadedComment ref="Z448" dT="2024-10-18T04:54:46.00" personId="{ED1D359B-D851-4826-88EF-B9650B16DF7A}" id="{8E02850B-57B4-44A0-85DF-DECD69FC660D}">
    <text>Project On-Hold</text>
  </threadedComment>
  <threadedComment ref="AA448" dT="2024-10-18T04:54:46.00" personId="{ED1D359B-D851-4826-88EF-B9650B16DF7A}" id="{171CB93B-9750-48BB-9EBF-296AB2AD91C9}">
    <text>Project On-Hold</text>
  </threadedComment>
  <threadedComment ref="AF448" dT="2024-10-18T04:54:46.00" personId="{ED1D359B-D851-4826-88EF-B9650B16DF7A}" id="{473ED8BA-9FDB-4247-A737-A57FAAC8A6EC}">
    <text>Project On-Hold</text>
  </threadedComment>
  <threadedComment ref="AH448" dT="2024-10-18T04:54:46.00" personId="{ED1D359B-D851-4826-88EF-B9650B16DF7A}" id="{F75657C6-3558-4B40-8F63-D6600BA10557}">
    <text>Project On-Hold</text>
  </threadedComment>
  <threadedComment ref="AJ448" dT="2024-10-18T04:54:46.00" personId="{ED1D359B-D851-4826-88EF-B9650B16DF7A}" id="{50E98F8E-6194-48D0-9BEE-9B60469357E1}">
    <text>Project On-Hold</text>
  </threadedComment>
  <threadedComment ref="J449" dT="2024-10-18T04:54:46.00" personId="{ED1D359B-D851-4826-88EF-B9650B16DF7A}" id="{BE738EC3-9C52-4A0C-B76F-638412E3A502}">
    <text>Project On-Hold</text>
  </threadedComment>
  <threadedComment ref="K449" dT="2024-10-18T04:54:46.00" personId="{ED1D359B-D851-4826-88EF-B9650B16DF7A}" id="{FAF2FB6E-1E85-4F17-94F1-F3C6B8958F6F}">
    <text>Project On-Hold</text>
  </threadedComment>
  <threadedComment ref="L449" dT="2024-10-18T04:54:46.00" personId="{ED1D359B-D851-4826-88EF-B9650B16DF7A}" id="{44A82678-19CB-4FD1-AB8C-30D97C6646D0}">
    <text>Project On-Hold</text>
  </threadedComment>
  <threadedComment ref="M449" dT="2024-10-18T04:54:46.00" personId="{ED1D359B-D851-4826-88EF-B9650B16DF7A}" id="{D4EDED34-4689-4BFD-850A-ECB34A337F5A}">
    <text>Project On-Hold</text>
  </threadedComment>
  <threadedComment ref="N449" dT="2024-10-18T04:54:46.00" personId="{ED1D359B-D851-4826-88EF-B9650B16DF7A}" id="{057AA02C-2F0F-4FF4-9379-C5A3BF69F62C}">
    <text>Project On-Hold</text>
  </threadedComment>
  <threadedComment ref="O449" dT="2024-10-18T04:54:46.00" personId="{ED1D359B-D851-4826-88EF-B9650B16DF7A}" id="{BE911A2F-3F88-4DB5-A3F1-0AAF0559783A}">
    <text>Project On-Hold</text>
  </threadedComment>
  <threadedComment ref="P449" dT="2024-10-18T04:54:46.00" personId="{ED1D359B-D851-4826-88EF-B9650B16DF7A}" id="{B5C8827E-2539-4D38-B08E-384F73635059}">
    <text>Project On-Hold</text>
  </threadedComment>
  <threadedComment ref="Q449" dT="2024-10-18T04:54:46.00" personId="{ED1D359B-D851-4826-88EF-B9650B16DF7A}" id="{B946627C-FB5D-4768-9B62-7AB69028E755}">
    <text>Project On-Hold</text>
  </threadedComment>
  <threadedComment ref="R449" dT="2024-10-18T04:54:46.00" personId="{ED1D359B-D851-4826-88EF-B9650B16DF7A}" id="{454BCCFE-C65E-48E6-B212-38C39D7BC730}">
    <text>Project On-Hold</text>
  </threadedComment>
  <threadedComment ref="S449" dT="2024-10-18T04:54:46.00" personId="{ED1D359B-D851-4826-88EF-B9650B16DF7A}" id="{A1509CD0-61B1-4BF6-8F2D-1838D4491560}">
    <text>Project On-Hold</text>
  </threadedComment>
  <threadedComment ref="T449" dT="2024-10-18T04:54:46.00" personId="{ED1D359B-D851-4826-88EF-B9650B16DF7A}" id="{A9678BE3-9891-44D3-8A19-E9B01775CA57}">
    <text>Project On-Hold</text>
  </threadedComment>
  <threadedComment ref="U449" dT="2024-10-18T04:54:46.00" personId="{ED1D359B-D851-4826-88EF-B9650B16DF7A}" id="{F26391E2-E937-4565-8BD6-82E1497BEE1D}">
    <text>Project On-Hold</text>
  </threadedComment>
  <threadedComment ref="V449" dT="2024-10-18T04:54:46.00" personId="{ED1D359B-D851-4826-88EF-B9650B16DF7A}" id="{A4114D88-FEDA-43E3-A7A5-3C9F0AEFF2A1}">
    <text>Project On-Hold</text>
  </threadedComment>
  <threadedComment ref="W449" dT="2024-10-18T04:54:46.00" personId="{ED1D359B-D851-4826-88EF-B9650B16DF7A}" id="{AC90ABBF-6765-44E3-8528-37B44BCF6473}">
    <text>Project On-Hold</text>
  </threadedComment>
  <threadedComment ref="X449" dT="2024-10-18T04:54:46.00" personId="{ED1D359B-D851-4826-88EF-B9650B16DF7A}" id="{788F9C74-9FD4-47F9-A8C4-A04BC9364B45}">
    <text>Project On-Hold</text>
  </threadedComment>
  <threadedComment ref="Y449" dT="2024-10-18T04:54:46.00" personId="{ED1D359B-D851-4826-88EF-B9650B16DF7A}" id="{A05542EF-998D-4832-883D-07D8EABE888A}">
    <text>Project On-Hold</text>
  </threadedComment>
  <threadedComment ref="Z449" dT="2024-10-18T04:54:46.00" personId="{ED1D359B-D851-4826-88EF-B9650B16DF7A}" id="{15D04762-759C-41BA-B8AA-2CD0E4C6FC5F}">
    <text>Project On-Hold</text>
  </threadedComment>
  <threadedComment ref="AA449" dT="2024-10-18T04:54:46.00" personId="{ED1D359B-D851-4826-88EF-B9650B16DF7A}" id="{DA8BCC2D-64D4-4EFE-B12F-1BCF4A751953}">
    <text>Project On-Hold</text>
  </threadedComment>
  <threadedComment ref="AF449" dT="2024-10-18T04:54:46.00" personId="{ED1D359B-D851-4826-88EF-B9650B16DF7A}" id="{204CBF72-7FAA-484B-B418-7AE607047463}">
    <text>Project On-Hold</text>
  </threadedComment>
  <threadedComment ref="AH449" dT="2024-10-18T04:54:46.00" personId="{ED1D359B-D851-4826-88EF-B9650B16DF7A}" id="{A9B86CA5-8905-47E1-9FE9-B5096B654503}">
    <text>Project On-Hold</text>
  </threadedComment>
  <threadedComment ref="AJ449" dT="2024-10-18T04:54:46.00" personId="{ED1D359B-D851-4826-88EF-B9650B16DF7A}" id="{94E5AF27-2D68-4612-B886-71172634F4AF}">
    <text>Project On-Hold</text>
  </threadedComment>
  <threadedComment ref="J450" dT="2024-10-18T04:54:46.00" personId="{ED1D359B-D851-4826-88EF-B9650B16DF7A}" id="{7BEF03B9-6722-4AE3-A7A6-821BA16EDCF2}">
    <text>Project On-Hold</text>
  </threadedComment>
  <threadedComment ref="K450" dT="2024-10-18T04:54:46.00" personId="{ED1D359B-D851-4826-88EF-B9650B16DF7A}" id="{1D12E2F7-8CF8-45B6-BF23-4C6830FFA2C7}">
    <text>Project On-Hold</text>
  </threadedComment>
  <threadedComment ref="L450" dT="2024-10-18T04:54:46.00" personId="{ED1D359B-D851-4826-88EF-B9650B16DF7A}" id="{93E3EF42-AB6B-4DD6-A393-5B7FC3D51344}">
    <text>Project On-Hold</text>
  </threadedComment>
  <threadedComment ref="M450" dT="2024-10-18T04:54:46.00" personId="{ED1D359B-D851-4826-88EF-B9650B16DF7A}" id="{D990B3C2-4700-4A75-9948-B71ED171BA25}">
    <text>Project On-Hold</text>
  </threadedComment>
  <threadedComment ref="N450" dT="2024-10-18T04:54:46.00" personId="{ED1D359B-D851-4826-88EF-B9650B16DF7A}" id="{EB323C10-DF42-4F20-B946-938AE9971F07}">
    <text>Project On-Hold</text>
  </threadedComment>
  <threadedComment ref="O450" dT="2024-10-18T04:54:46.00" personId="{ED1D359B-D851-4826-88EF-B9650B16DF7A}" id="{7FA34080-8D17-4BE6-8CFA-DC693B86C93A}">
    <text>Project On-Hold</text>
  </threadedComment>
  <threadedComment ref="P450" dT="2024-10-18T04:54:46.00" personId="{ED1D359B-D851-4826-88EF-B9650B16DF7A}" id="{7686D494-61C0-447B-9BE1-5C705D61B35E}">
    <text>Project On-Hold</text>
  </threadedComment>
  <threadedComment ref="Q450" dT="2024-10-18T04:54:46.00" personId="{ED1D359B-D851-4826-88EF-B9650B16DF7A}" id="{89A05DF3-2DE7-47F6-8617-63BBB5CE4A7C}">
    <text>Project On-Hold</text>
  </threadedComment>
  <threadedComment ref="R450" dT="2024-10-18T04:54:46.00" personId="{ED1D359B-D851-4826-88EF-B9650B16DF7A}" id="{FFC417E6-7657-43D1-9F8D-931DD0311F6B}">
    <text>Project On-Hold</text>
  </threadedComment>
  <threadedComment ref="S450" dT="2024-10-18T04:54:46.00" personId="{ED1D359B-D851-4826-88EF-B9650B16DF7A}" id="{FD75A483-BD71-4F5A-A277-95A6B46D95BB}">
    <text>Project On-Hold</text>
  </threadedComment>
  <threadedComment ref="T450" dT="2024-10-18T04:54:46.00" personId="{ED1D359B-D851-4826-88EF-B9650B16DF7A}" id="{64D4F608-9186-4461-AADA-27B77B7E7E89}">
    <text>Project On-Hold</text>
  </threadedComment>
  <threadedComment ref="U450" dT="2024-10-18T04:54:46.00" personId="{ED1D359B-D851-4826-88EF-B9650B16DF7A}" id="{DD81AB63-2848-44E5-94AB-3CACEA8D64A5}">
    <text>Project On-Hold</text>
  </threadedComment>
  <threadedComment ref="V450" dT="2024-10-18T04:54:46.00" personId="{ED1D359B-D851-4826-88EF-B9650B16DF7A}" id="{8367A2C7-ECA9-44C0-9FE1-1099A7B0D55E}">
    <text>Project On-Hold</text>
  </threadedComment>
  <threadedComment ref="W450" dT="2024-10-18T04:54:46.00" personId="{ED1D359B-D851-4826-88EF-B9650B16DF7A}" id="{95AFFD09-B269-409C-A612-72BB890E9C21}">
    <text>Project On-Hold</text>
  </threadedComment>
  <threadedComment ref="X450" dT="2024-10-18T04:54:46.00" personId="{ED1D359B-D851-4826-88EF-B9650B16DF7A}" id="{CBC4E73B-5DE3-4F0F-948F-D9A9C5FDC246}">
    <text>Project On-Hold</text>
  </threadedComment>
  <threadedComment ref="Y450" dT="2024-10-18T04:54:46.00" personId="{ED1D359B-D851-4826-88EF-B9650B16DF7A}" id="{F0604A28-2F58-40BD-883B-6B5B20ACC19C}">
    <text>Project On-Hold</text>
  </threadedComment>
  <threadedComment ref="Z450" dT="2024-10-18T04:54:46.00" personId="{ED1D359B-D851-4826-88EF-B9650B16DF7A}" id="{B1FAEEC1-71C6-4A97-AD36-78CA2D65C691}">
    <text>Project On-Hold</text>
  </threadedComment>
  <threadedComment ref="AA450" dT="2024-10-18T04:54:46.00" personId="{ED1D359B-D851-4826-88EF-B9650B16DF7A}" id="{54AEAB7D-BDAB-4E20-992F-7B1427F389E6}">
    <text>Project On-Hold</text>
  </threadedComment>
  <threadedComment ref="AF450" dT="2024-10-18T04:54:46.00" personId="{ED1D359B-D851-4826-88EF-B9650B16DF7A}" id="{09F28919-EC43-4142-8FE5-6D1F7A1BAF05}">
    <text>Project On-Hold</text>
  </threadedComment>
  <threadedComment ref="AH450" dT="2024-10-18T04:54:46.00" personId="{ED1D359B-D851-4826-88EF-B9650B16DF7A}" id="{5BA9A309-105E-4FAE-A1FC-D8175B3EC4BE}">
    <text>Project On-Hold</text>
  </threadedComment>
  <threadedComment ref="AJ450" dT="2024-10-18T04:54:46.00" personId="{ED1D359B-D851-4826-88EF-B9650B16DF7A}" id="{446566FC-3EAA-4A95-8A6F-FBAB272757C7}">
    <text>Project On-Hold</text>
  </threadedComment>
  <threadedComment ref="J451" dT="2024-10-18T04:54:46.00" personId="{ED1D359B-D851-4826-88EF-B9650B16DF7A}" id="{F8C54522-D00E-4FA7-906A-C1BBEF6AFE12}">
    <text>Project On-Hold</text>
  </threadedComment>
  <threadedComment ref="K451" dT="2024-10-18T04:54:46.00" personId="{ED1D359B-D851-4826-88EF-B9650B16DF7A}" id="{F568C528-EAC6-4DA0-AF7E-DE415219157E}">
    <text>Project On-Hold</text>
  </threadedComment>
  <threadedComment ref="L451" dT="2024-10-18T04:54:46.00" personId="{ED1D359B-D851-4826-88EF-B9650B16DF7A}" id="{2609E259-8E5C-43A7-8531-24487333702C}">
    <text>Project On-Hold</text>
  </threadedComment>
  <threadedComment ref="M451" dT="2024-10-18T04:54:46.00" personId="{ED1D359B-D851-4826-88EF-B9650B16DF7A}" id="{7F78B236-E6A3-4CEC-84A8-AE0EED8FA65D}">
    <text>Project On-Hold</text>
  </threadedComment>
  <threadedComment ref="N451" dT="2024-10-18T04:54:46.00" personId="{ED1D359B-D851-4826-88EF-B9650B16DF7A}" id="{4ED8AECF-C5E4-4EEA-BD5C-D36B2BA719A4}">
    <text>Project On-Hold</text>
  </threadedComment>
  <threadedComment ref="O451" dT="2024-10-18T04:54:46.00" personId="{ED1D359B-D851-4826-88EF-B9650B16DF7A}" id="{20BFAD20-6E2D-4113-9638-E03C327D6D96}">
    <text>Project On-Hold</text>
  </threadedComment>
  <threadedComment ref="P451" dT="2024-10-18T04:54:46.00" personId="{ED1D359B-D851-4826-88EF-B9650B16DF7A}" id="{2794AC90-A0D5-47E8-BAC7-26A4D81F33DF}">
    <text>Project On-Hold</text>
  </threadedComment>
  <threadedComment ref="Q451" dT="2024-10-18T04:54:46.00" personId="{ED1D359B-D851-4826-88EF-B9650B16DF7A}" id="{A896E987-FD3E-4521-9EFE-A60725A3A7B7}">
    <text>Project On-Hold</text>
  </threadedComment>
  <threadedComment ref="R451" dT="2024-10-18T04:54:46.00" personId="{ED1D359B-D851-4826-88EF-B9650B16DF7A}" id="{A1F2E661-BAE2-4FD3-AB58-EC75F57E8521}">
    <text>Project On-Hold</text>
  </threadedComment>
  <threadedComment ref="S451" dT="2024-10-18T04:54:46.00" personId="{ED1D359B-D851-4826-88EF-B9650B16DF7A}" id="{AEA84444-6833-452F-AA9C-00A8B4379F76}">
    <text>Project On-Hold</text>
  </threadedComment>
  <threadedComment ref="T451" dT="2024-10-18T04:54:46.00" personId="{ED1D359B-D851-4826-88EF-B9650B16DF7A}" id="{6784C641-F68A-4F7D-A641-CFD484E32CC8}">
    <text>Project On-Hold</text>
  </threadedComment>
  <threadedComment ref="U451" dT="2024-10-18T04:54:46.00" personId="{ED1D359B-D851-4826-88EF-B9650B16DF7A}" id="{02127440-5960-4804-B937-FC9074211E4D}">
    <text>Project On-Hold</text>
  </threadedComment>
  <threadedComment ref="V451" dT="2024-10-18T04:54:46.00" personId="{ED1D359B-D851-4826-88EF-B9650B16DF7A}" id="{E33B2BBA-9A17-4DF9-80B1-77214AADCF70}">
    <text>Project On-Hold</text>
  </threadedComment>
  <threadedComment ref="W451" dT="2024-10-18T04:54:46.00" personId="{ED1D359B-D851-4826-88EF-B9650B16DF7A}" id="{1852AB4A-03B7-40ED-A73C-562986AD8585}">
    <text>Project On-Hold</text>
  </threadedComment>
  <threadedComment ref="X451" dT="2024-10-18T04:54:46.00" personId="{ED1D359B-D851-4826-88EF-B9650B16DF7A}" id="{3D002544-5535-4649-9774-03382E12133E}">
    <text>Project On-Hold</text>
  </threadedComment>
  <threadedComment ref="Y451" dT="2024-10-18T04:54:46.00" personId="{ED1D359B-D851-4826-88EF-B9650B16DF7A}" id="{12BCB520-AAED-4109-A904-967F892BB796}">
    <text>Project On-Hold</text>
  </threadedComment>
  <threadedComment ref="Z451" dT="2024-10-18T04:54:46.00" personId="{ED1D359B-D851-4826-88EF-B9650B16DF7A}" id="{748E0D5F-65E3-4893-899A-2E0393D8F4F6}">
    <text>Project On-Hold</text>
  </threadedComment>
  <threadedComment ref="AA451" dT="2024-10-18T04:54:46.00" personId="{ED1D359B-D851-4826-88EF-B9650B16DF7A}" id="{87DDEE05-E5F8-4CDE-A7F0-148FC32C7AB4}">
    <text>Project On-Hold</text>
  </threadedComment>
  <threadedComment ref="AF451" dT="2024-10-18T04:54:46.00" personId="{ED1D359B-D851-4826-88EF-B9650B16DF7A}" id="{F2A6434F-D898-4F88-965D-B7AFED028AF3}">
    <text>Project On-Hold</text>
  </threadedComment>
  <threadedComment ref="AH451" dT="2024-10-18T04:54:46.00" personId="{ED1D359B-D851-4826-88EF-B9650B16DF7A}" id="{B149142F-EA85-47B9-87D2-B0E335E2E5C4}">
    <text>Project On-Hold</text>
  </threadedComment>
  <threadedComment ref="AJ451" dT="2024-10-18T04:54:46.00" personId="{ED1D359B-D851-4826-88EF-B9650B16DF7A}" id="{80152AE0-7A9E-447A-805D-3DF9065B0E38}">
    <text>Project On-Hold</text>
  </threadedComment>
  <threadedComment ref="J452" dT="2024-10-18T04:54:46.00" personId="{ED1D359B-D851-4826-88EF-B9650B16DF7A}" id="{0BB8627E-3FB0-4D07-9D51-7F6D87A72EB1}">
    <text>Project On-Hold</text>
  </threadedComment>
  <threadedComment ref="K452" dT="2024-10-18T04:54:46.00" personId="{ED1D359B-D851-4826-88EF-B9650B16DF7A}" id="{7D2B85C6-1ED4-4336-B92A-8E7BD16A117E}">
    <text>Project On-Hold</text>
  </threadedComment>
  <threadedComment ref="L452" dT="2024-10-18T04:54:46.00" personId="{ED1D359B-D851-4826-88EF-B9650B16DF7A}" id="{8498993A-6FC8-4BFA-86CB-5CA9B1F9153C}">
    <text>Project On-Hold</text>
  </threadedComment>
  <threadedComment ref="M452" dT="2024-10-18T04:54:46.00" personId="{ED1D359B-D851-4826-88EF-B9650B16DF7A}" id="{CAD14850-9779-4581-B274-931AF11D413D}">
    <text>Project On-Hold</text>
  </threadedComment>
  <threadedComment ref="N452" dT="2024-10-18T04:54:46.00" personId="{ED1D359B-D851-4826-88EF-B9650B16DF7A}" id="{43275149-FBD8-4244-A96A-2D42726ED549}">
    <text>Project On-Hold</text>
  </threadedComment>
  <threadedComment ref="O452" dT="2024-10-18T04:54:46.00" personId="{ED1D359B-D851-4826-88EF-B9650B16DF7A}" id="{35961700-5284-4A2B-BC76-4CEB6242F234}">
    <text>Project On-Hold</text>
  </threadedComment>
  <threadedComment ref="P452" dT="2024-10-18T04:54:46.00" personId="{ED1D359B-D851-4826-88EF-B9650B16DF7A}" id="{2B102EBB-223D-4812-8669-51A43508271B}">
    <text>Project On-Hold</text>
  </threadedComment>
  <threadedComment ref="Q452" dT="2024-10-18T04:54:46.00" personId="{ED1D359B-D851-4826-88EF-B9650B16DF7A}" id="{9DF64DCA-C1CC-4E4A-8B44-BA03A4377343}">
    <text>Project On-Hold</text>
  </threadedComment>
  <threadedComment ref="R452" dT="2024-10-18T04:54:46.00" personId="{ED1D359B-D851-4826-88EF-B9650B16DF7A}" id="{416652A6-5C70-472A-912C-0DEFF649139F}">
    <text>Project On-Hold</text>
  </threadedComment>
  <threadedComment ref="S452" dT="2024-10-18T04:54:46.00" personId="{ED1D359B-D851-4826-88EF-B9650B16DF7A}" id="{E4E49D96-CA7F-480C-AB4E-857F83E309F6}">
    <text>Project On-Hold</text>
  </threadedComment>
  <threadedComment ref="T452" dT="2024-10-18T04:54:46.00" personId="{ED1D359B-D851-4826-88EF-B9650B16DF7A}" id="{D2A52635-073E-418F-A3B4-EBDF2434CBC8}">
    <text>Project On-Hold</text>
  </threadedComment>
  <threadedComment ref="U452" dT="2024-10-18T04:54:46.00" personId="{ED1D359B-D851-4826-88EF-B9650B16DF7A}" id="{B85B28D8-476B-4D9D-A652-D1170F6C7C99}">
    <text>Project On-Hold</text>
  </threadedComment>
  <threadedComment ref="V452" dT="2024-10-18T04:54:46.00" personId="{ED1D359B-D851-4826-88EF-B9650B16DF7A}" id="{B58100ED-52C5-401D-A1AF-0DA8A1A66DB3}">
    <text>Project On-Hold</text>
  </threadedComment>
  <threadedComment ref="W452" dT="2024-10-18T04:54:46.00" personId="{ED1D359B-D851-4826-88EF-B9650B16DF7A}" id="{68264ED9-CC6B-43C8-911E-DF1459674B16}">
    <text>Project On-Hold</text>
  </threadedComment>
  <threadedComment ref="X452" dT="2024-10-18T04:54:46.00" personId="{ED1D359B-D851-4826-88EF-B9650B16DF7A}" id="{6349DA4D-6E35-4D03-B081-A6F26DE7F939}">
    <text>Project On-Hold</text>
  </threadedComment>
  <threadedComment ref="Y452" dT="2024-10-18T04:54:46.00" personId="{ED1D359B-D851-4826-88EF-B9650B16DF7A}" id="{517A79F2-6DC8-4465-AF9E-41E90C5A13A6}">
    <text>Project On-Hold</text>
  </threadedComment>
  <threadedComment ref="Z452" dT="2024-10-18T04:54:46.00" personId="{ED1D359B-D851-4826-88EF-B9650B16DF7A}" id="{2886B785-A6D4-40F8-A362-28862BB6F334}">
    <text>Project On-Hold</text>
  </threadedComment>
  <threadedComment ref="AA452" dT="2024-10-18T04:54:46.00" personId="{ED1D359B-D851-4826-88EF-B9650B16DF7A}" id="{0F356869-3CE1-4365-AB57-FB7C5EE5560D}">
    <text>Project On-Hold</text>
  </threadedComment>
  <threadedComment ref="AF452" dT="2024-10-18T04:54:46.00" personId="{ED1D359B-D851-4826-88EF-B9650B16DF7A}" id="{C0D24A89-634D-4BD3-90A8-3CE593B4F262}">
    <text>Project On-Hold</text>
  </threadedComment>
  <threadedComment ref="AH452" dT="2024-10-18T04:54:46.00" personId="{ED1D359B-D851-4826-88EF-B9650B16DF7A}" id="{EDE99BEF-F48B-4D35-9DA4-F0104DE4BDDF}">
    <text>Project On-Hold</text>
  </threadedComment>
  <threadedComment ref="AJ452" dT="2024-10-18T04:54:46.00" personId="{ED1D359B-D851-4826-88EF-B9650B16DF7A}" id="{2E00A9B5-9335-4BAE-AFCA-55F669A6A21F}">
    <text>Project On-Hold</text>
  </threadedComment>
  <threadedComment ref="J453" dT="2024-10-18T04:54:46.00" personId="{ED1D359B-D851-4826-88EF-B9650B16DF7A}" id="{E4199126-CE4D-4AF0-A2C6-1247973ECF1E}">
    <text>Project On-Hold</text>
  </threadedComment>
  <threadedComment ref="K453" dT="2024-10-18T04:54:46.00" personId="{ED1D359B-D851-4826-88EF-B9650B16DF7A}" id="{FA69C0DD-C5C9-4FAC-9E32-88C247365260}">
    <text>Project On-Hold</text>
  </threadedComment>
  <threadedComment ref="L453" dT="2024-10-18T04:54:46.00" personId="{ED1D359B-D851-4826-88EF-B9650B16DF7A}" id="{543E7E23-BEB6-4AB2-9CA1-8D6AB0DA1098}">
    <text>Project On-Hold</text>
  </threadedComment>
  <threadedComment ref="M453" dT="2024-10-18T04:54:46.00" personId="{ED1D359B-D851-4826-88EF-B9650B16DF7A}" id="{751D8BC9-1D2F-41C9-9D55-7734922639B9}">
    <text>Project On-Hold</text>
  </threadedComment>
  <threadedComment ref="N453" dT="2024-10-18T04:54:46.00" personId="{ED1D359B-D851-4826-88EF-B9650B16DF7A}" id="{56CF45B8-B0EA-4FC5-89E7-AE1D336EF864}">
    <text>Project On-Hold</text>
  </threadedComment>
  <threadedComment ref="O453" dT="2024-10-18T04:54:46.00" personId="{ED1D359B-D851-4826-88EF-B9650B16DF7A}" id="{DFA4CBA3-37FE-4A5B-85C8-F28AFDFB8FDD}">
    <text>Project On-Hold</text>
  </threadedComment>
  <threadedComment ref="P453" dT="2024-10-18T04:54:46.00" personId="{ED1D359B-D851-4826-88EF-B9650B16DF7A}" id="{6290FFD5-B6A1-407A-957A-C23CC3B54ED7}">
    <text>Project On-Hold</text>
  </threadedComment>
  <threadedComment ref="Q453" dT="2024-10-18T04:54:46.00" personId="{ED1D359B-D851-4826-88EF-B9650B16DF7A}" id="{22292603-0718-4AE2-A3FA-C56A24030482}">
    <text>Project On-Hold</text>
  </threadedComment>
  <threadedComment ref="R453" dT="2024-10-18T04:54:46.00" personId="{ED1D359B-D851-4826-88EF-B9650B16DF7A}" id="{C7C33928-D7FB-4062-AF89-6B437C26A42D}">
    <text>Project On-Hold</text>
  </threadedComment>
  <threadedComment ref="S453" dT="2024-10-18T04:54:46.00" personId="{ED1D359B-D851-4826-88EF-B9650B16DF7A}" id="{0AF4CF45-D3EB-4228-B425-E396065A2625}">
    <text>Project On-Hold</text>
  </threadedComment>
  <threadedComment ref="T453" dT="2024-10-18T04:54:46.00" personId="{ED1D359B-D851-4826-88EF-B9650B16DF7A}" id="{5301057A-A9C7-4F73-94FA-2EC65AA2E561}">
    <text>Project On-Hold</text>
  </threadedComment>
  <threadedComment ref="U453" dT="2024-10-18T04:54:46.00" personId="{ED1D359B-D851-4826-88EF-B9650B16DF7A}" id="{A62EC824-DE4D-45F9-88B7-45AF0A8A7407}">
    <text>Project On-Hold</text>
  </threadedComment>
  <threadedComment ref="V453" dT="2024-10-18T04:54:46.00" personId="{ED1D359B-D851-4826-88EF-B9650B16DF7A}" id="{B75489CA-B40B-4A6E-A058-62148D4F4F29}">
    <text>Project On-Hold</text>
  </threadedComment>
  <threadedComment ref="W453" dT="2024-10-18T04:54:46.00" personId="{ED1D359B-D851-4826-88EF-B9650B16DF7A}" id="{A29D9B2E-E342-48E7-89BD-D0ED73814FC5}">
    <text>Project On-Hold</text>
  </threadedComment>
  <threadedComment ref="X453" dT="2024-10-18T04:54:46.00" personId="{ED1D359B-D851-4826-88EF-B9650B16DF7A}" id="{E93272B9-5A69-42A1-8DA7-1ABDAF245A0E}">
    <text>Project On-Hold</text>
  </threadedComment>
  <threadedComment ref="Y453" dT="2024-10-18T04:54:46.00" personId="{ED1D359B-D851-4826-88EF-B9650B16DF7A}" id="{BCAB6829-6B5C-4622-9C61-4F9397308663}">
    <text>Project On-Hold</text>
  </threadedComment>
  <threadedComment ref="Z453" dT="2024-10-18T04:54:46.00" personId="{ED1D359B-D851-4826-88EF-B9650B16DF7A}" id="{D78D4FE3-8C23-4CE6-A01C-ABFBF4703BD9}">
    <text>Project On-Hold</text>
  </threadedComment>
  <threadedComment ref="AA453" dT="2024-10-18T04:54:46.00" personId="{ED1D359B-D851-4826-88EF-B9650B16DF7A}" id="{EE60CADA-A399-4F39-A005-FA2D9FE0282E}">
    <text>Project On-Hold</text>
  </threadedComment>
  <threadedComment ref="AF453" dT="2024-10-18T04:54:46.00" personId="{ED1D359B-D851-4826-88EF-B9650B16DF7A}" id="{96016372-F669-45E5-BE0C-1BA8B726C23B}">
    <text>Project On-Hold</text>
  </threadedComment>
  <threadedComment ref="AH453" dT="2024-10-18T04:54:46.00" personId="{ED1D359B-D851-4826-88EF-B9650B16DF7A}" id="{CE653C7C-A806-4013-99F6-D4578BC78FF8}">
    <text>Project On-Hold</text>
  </threadedComment>
  <threadedComment ref="AJ453" dT="2024-10-18T04:54:46.00" personId="{ED1D359B-D851-4826-88EF-B9650B16DF7A}" id="{A84AE108-310C-493B-B8AB-9BDE9E9EE33A}">
    <text>Project On-Hold</text>
  </threadedComment>
  <threadedComment ref="L454" dT="2024-10-18T04:54:46.00" personId="{ED1D359B-D851-4826-88EF-B9650B16DF7A}" id="{7D2E4299-1071-416B-91D2-F648109F6674}">
    <text>Project On-Hold</text>
  </threadedComment>
  <threadedComment ref="M454" dT="2024-10-18T04:54:46.00" personId="{ED1D359B-D851-4826-88EF-B9650B16DF7A}" id="{4D76A491-F37B-4A6D-B17D-138684CD98EA}">
    <text>Project On-Hold</text>
  </threadedComment>
  <threadedComment ref="N454" dT="2024-10-18T04:54:46.00" personId="{ED1D359B-D851-4826-88EF-B9650B16DF7A}" id="{B4D89363-0612-4642-8AFD-28071FF72F61}">
    <text>Project On-Hold</text>
  </threadedComment>
  <threadedComment ref="O454" dT="2024-10-18T04:54:46.00" personId="{ED1D359B-D851-4826-88EF-B9650B16DF7A}" id="{87CF4E9C-F099-44BA-B8DC-B9DB471E18D9}">
    <text>Project On-Hold</text>
  </threadedComment>
  <threadedComment ref="P454" dT="2024-10-18T04:54:46.00" personId="{ED1D359B-D851-4826-88EF-B9650B16DF7A}" id="{29FB9DDE-6CAA-4B2B-A4E7-801B95F5F931}">
    <text>Project On-Hold</text>
  </threadedComment>
  <threadedComment ref="Q454" dT="2024-10-18T04:54:46.00" personId="{ED1D359B-D851-4826-88EF-B9650B16DF7A}" id="{3998145B-121C-43B6-AF05-D59BD178E476}">
    <text>Project On-Hold</text>
  </threadedComment>
  <threadedComment ref="R454" dT="2024-10-18T04:54:46.00" personId="{ED1D359B-D851-4826-88EF-B9650B16DF7A}" id="{A4B4C72B-E85F-4D4A-A673-C0877B241AF2}">
    <text>Project On-Hold</text>
  </threadedComment>
  <threadedComment ref="S454" dT="2024-10-18T04:54:46.00" personId="{ED1D359B-D851-4826-88EF-B9650B16DF7A}" id="{9C52167D-D92C-44AB-9B02-5E5767C5EF37}">
    <text>Project On-Hold</text>
  </threadedComment>
  <threadedComment ref="T454" dT="2024-10-18T04:54:46.00" personId="{ED1D359B-D851-4826-88EF-B9650B16DF7A}" id="{50EFAFBE-2361-43EB-A6B4-A208C9388B6C}">
    <text>Project On-Hold</text>
  </threadedComment>
  <threadedComment ref="U454" dT="2024-10-18T04:54:46.00" personId="{ED1D359B-D851-4826-88EF-B9650B16DF7A}" id="{96266201-EC22-473E-8BB7-7790E7757923}">
    <text>Project On-Hold</text>
  </threadedComment>
  <threadedComment ref="V454" dT="2024-10-18T04:54:46.00" personId="{ED1D359B-D851-4826-88EF-B9650B16DF7A}" id="{0EF2105B-72FC-473D-878F-9BFA5DEDA545}">
    <text>Project On-Hold</text>
  </threadedComment>
  <threadedComment ref="W454" dT="2024-10-18T04:54:46.00" personId="{ED1D359B-D851-4826-88EF-B9650B16DF7A}" id="{A67AE39A-863C-4103-8BFF-11276BE3B8ED}">
    <text>Project On-Hold</text>
  </threadedComment>
  <threadedComment ref="X454" dT="2024-10-18T04:54:46.00" personId="{ED1D359B-D851-4826-88EF-B9650B16DF7A}" id="{160C1D5E-C7E7-4489-9096-115882E7AE1C}">
    <text>Project On-Hold</text>
  </threadedComment>
  <threadedComment ref="Y454" dT="2024-10-18T04:54:46.00" personId="{ED1D359B-D851-4826-88EF-B9650B16DF7A}" id="{69AB9531-A518-48D2-A788-8E6422AFDF9E}">
    <text>Project On-Hold</text>
  </threadedComment>
  <threadedComment ref="Z454" dT="2024-10-18T04:54:46.00" personId="{ED1D359B-D851-4826-88EF-B9650B16DF7A}" id="{C2860D04-439B-4221-92B9-1C02320A7EA3}">
    <text>Project On-Hold</text>
  </threadedComment>
  <threadedComment ref="AA454" dT="2024-10-18T04:54:46.00" personId="{ED1D359B-D851-4826-88EF-B9650B16DF7A}" id="{596B7312-2449-460C-ACE0-421C6645248E}">
    <text>Project On-Hold</text>
  </threadedComment>
  <threadedComment ref="AB454" dT="2024-12-18T08:18:28.30" personId="{ED1D359B-D851-4826-88EF-B9650B16DF7A}" id="{11A6F6A3-461A-444D-A63D-0E9D51283514}">
    <text>Positions are on-hold</text>
  </threadedComment>
  <threadedComment ref="AF454" dT="2024-10-18T04:54:46.00" personId="{ED1D359B-D851-4826-88EF-B9650B16DF7A}" id="{6E0CC5CB-28D9-4CFF-A417-9F8696403CB4}">
    <text>Project On-Hold</text>
  </threadedComment>
  <threadedComment ref="AH454" dT="2024-10-18T04:54:46.00" personId="{ED1D359B-D851-4826-88EF-B9650B16DF7A}" id="{2A141B49-F976-4ECC-9846-10F69199413D}">
    <text>Project On-Hold</text>
  </threadedComment>
  <threadedComment ref="J455" dT="2024-12-18T08:18:28.30" personId="{ED1D359B-D851-4826-88EF-B9650B16DF7A}" id="{FDAF7A77-590C-40E9-B417-F57177008878}">
    <text>Positions are on-hold</text>
  </threadedComment>
  <threadedComment ref="K455" dT="2024-12-18T08:18:28.30" personId="{ED1D359B-D851-4826-88EF-B9650B16DF7A}" id="{49A90E6E-65F8-478E-977D-BD85BD191225}">
    <text>Positions are on-hold</text>
  </threadedComment>
  <threadedComment ref="L455" dT="2024-10-18T04:54:46.00" personId="{ED1D359B-D851-4826-88EF-B9650B16DF7A}" id="{D68CD3AE-2A25-40B8-9704-FDEE50E93145}">
    <text>Project On-Hold</text>
  </threadedComment>
  <threadedComment ref="M455" dT="2024-10-18T04:54:46.00" personId="{ED1D359B-D851-4826-88EF-B9650B16DF7A}" id="{EE7B4B9C-B5FF-42B0-8F22-24405ADA9730}">
    <text>Project On-Hold</text>
  </threadedComment>
  <threadedComment ref="N455" dT="2024-10-18T04:54:46.00" personId="{ED1D359B-D851-4826-88EF-B9650B16DF7A}" id="{98BA4081-E7B5-4F77-A664-E5DC78B36795}">
    <text>Project On-Hold</text>
  </threadedComment>
  <threadedComment ref="O455" dT="2024-10-18T04:54:46.00" personId="{ED1D359B-D851-4826-88EF-B9650B16DF7A}" id="{46E94AD9-90FD-4D3E-94E1-CCBB7BD1F004}">
    <text>Project On-Hold</text>
  </threadedComment>
  <threadedComment ref="P455" dT="2024-10-18T04:54:46.00" personId="{ED1D359B-D851-4826-88EF-B9650B16DF7A}" id="{57FD715A-2FCA-499C-AC7A-8F1D3B540BD6}">
    <text>Project On-Hold</text>
  </threadedComment>
  <threadedComment ref="Q455" dT="2024-10-18T04:54:46.00" personId="{ED1D359B-D851-4826-88EF-B9650B16DF7A}" id="{CA56B390-B569-41BC-84B6-D8C669413E58}">
    <text>Project On-Hold</text>
  </threadedComment>
  <threadedComment ref="R455" dT="2024-10-18T04:54:46.00" personId="{ED1D359B-D851-4826-88EF-B9650B16DF7A}" id="{C812F6F7-4037-478A-9FA1-A61566518A0F}">
    <text>Project On-Hold</text>
  </threadedComment>
  <threadedComment ref="S455" dT="2024-10-18T04:54:46.00" personId="{ED1D359B-D851-4826-88EF-B9650B16DF7A}" id="{3DDAF72E-23B0-4737-A9D4-CEA54D6A05B3}">
    <text>Project On-Hold</text>
  </threadedComment>
  <threadedComment ref="T455" dT="2024-10-18T04:54:46.00" personId="{ED1D359B-D851-4826-88EF-B9650B16DF7A}" id="{405E42C3-6ED0-446C-9477-A0EBF7461D65}">
    <text>Project On-Hold</text>
  </threadedComment>
  <threadedComment ref="U455" dT="2024-10-18T04:54:46.00" personId="{ED1D359B-D851-4826-88EF-B9650B16DF7A}" id="{F3A2BF6B-D091-4B89-AB9D-30CFAFD4FD2D}">
    <text>Project On-Hold</text>
  </threadedComment>
  <threadedComment ref="V455" dT="2024-10-18T04:54:46.00" personId="{ED1D359B-D851-4826-88EF-B9650B16DF7A}" id="{5B145AA1-4291-4669-9FE1-B0377CD4613F}">
    <text>Project On-Hold</text>
  </threadedComment>
  <threadedComment ref="W455" dT="2024-10-18T04:54:46.00" personId="{ED1D359B-D851-4826-88EF-B9650B16DF7A}" id="{166D7E03-EB6C-4587-8F6C-982E8594CFF2}">
    <text>Project On-Hold</text>
  </threadedComment>
  <threadedComment ref="X455" dT="2024-10-18T04:54:46.00" personId="{ED1D359B-D851-4826-88EF-B9650B16DF7A}" id="{E0BD69C0-092F-41A3-9653-72C19CE57200}">
    <text>Project On-Hold</text>
  </threadedComment>
  <threadedComment ref="Y455" dT="2024-10-18T04:54:46.00" personId="{ED1D359B-D851-4826-88EF-B9650B16DF7A}" id="{E1068B0A-BAE6-46CB-B0E4-4B33BCF954DA}">
    <text>Project On-Hold</text>
  </threadedComment>
  <threadedComment ref="Z455" dT="2024-10-18T04:54:46.00" personId="{ED1D359B-D851-4826-88EF-B9650B16DF7A}" id="{2D695FF3-1073-439E-B0E2-2D4287AAA029}">
    <text>Project On-Hold</text>
  </threadedComment>
  <threadedComment ref="AA455" dT="2024-10-18T04:54:46.00" personId="{ED1D359B-D851-4826-88EF-B9650B16DF7A}" id="{614976FF-2FDB-48A6-B934-9D64289329B6}">
    <text>Project On-Hold</text>
  </threadedComment>
  <threadedComment ref="AF455" dT="2024-10-18T04:54:46.00" personId="{ED1D359B-D851-4826-88EF-B9650B16DF7A}" id="{1E2CBFDF-845F-4F34-9615-3BC441B9EB1F}">
    <text>Project On-Hold</text>
  </threadedComment>
  <threadedComment ref="AH455" dT="2024-10-18T04:54:46.00" personId="{ED1D359B-D851-4826-88EF-B9650B16DF7A}" id="{749A0105-470D-46A7-B357-B72E1F0749CF}">
    <text>Project On-Hold</text>
  </threadedComment>
  <threadedComment ref="AJ455" dT="2024-12-18T08:18:28.30" personId="{ED1D359B-D851-4826-88EF-B9650B16DF7A}" id="{76DBDC2E-31D2-46B5-BE36-149134668A42}">
    <text>Positions are on-hold</text>
  </threadedComment>
  <threadedComment ref="J456" dT="2024-12-18T08:18:28.30" personId="{ED1D359B-D851-4826-88EF-B9650B16DF7A}" id="{5615FB82-D988-478F-8027-C4EEDF463525}">
    <text>Positions are on-hold</text>
  </threadedComment>
  <threadedComment ref="K456" dT="2024-12-18T08:18:28.30" personId="{ED1D359B-D851-4826-88EF-B9650B16DF7A}" id="{DFF04D0E-7365-4515-AA72-693897043D97}">
    <text>Positions are on-hold</text>
  </threadedComment>
  <threadedComment ref="L456" dT="2024-10-18T04:54:46.00" personId="{ED1D359B-D851-4826-88EF-B9650B16DF7A}" id="{D2B20199-FFFF-4397-B4BF-454263B496CB}">
    <text>Project On-Hold</text>
  </threadedComment>
  <threadedComment ref="M456" dT="2024-10-18T04:54:46.00" personId="{ED1D359B-D851-4826-88EF-B9650B16DF7A}" id="{7079F2A8-E471-4BBB-B29C-8BFB0B53C1CA}">
    <text>Project On-Hold</text>
  </threadedComment>
  <threadedComment ref="N456" dT="2024-10-18T04:54:46.00" personId="{ED1D359B-D851-4826-88EF-B9650B16DF7A}" id="{D4B9BC13-B735-4E90-B373-6EEC13FD4A39}">
    <text>Project On-Hold</text>
  </threadedComment>
  <threadedComment ref="O456" dT="2024-10-18T04:54:46.00" personId="{ED1D359B-D851-4826-88EF-B9650B16DF7A}" id="{0E415993-32FF-4938-8CDA-AE424B1C5D41}">
    <text>Project On-Hold</text>
  </threadedComment>
  <threadedComment ref="P456" dT="2024-10-18T04:54:46.00" personId="{ED1D359B-D851-4826-88EF-B9650B16DF7A}" id="{81270264-DE1E-4D70-A0A4-2343F5EC394D}">
    <text>Project On-Hold</text>
  </threadedComment>
  <threadedComment ref="Q456" dT="2024-10-18T04:54:46.00" personId="{ED1D359B-D851-4826-88EF-B9650B16DF7A}" id="{6D2A5AAD-858A-476A-B31A-FD2DB506E953}">
    <text>Project On-Hold</text>
  </threadedComment>
  <threadedComment ref="R456" dT="2024-10-18T04:54:46.00" personId="{ED1D359B-D851-4826-88EF-B9650B16DF7A}" id="{6997C692-8D1C-420C-8166-7A1E26F834B0}">
    <text>Project On-Hold</text>
  </threadedComment>
  <threadedComment ref="S456" dT="2024-10-18T04:54:46.00" personId="{ED1D359B-D851-4826-88EF-B9650B16DF7A}" id="{301C54EC-0768-4799-BF61-5318050AF4BB}">
    <text>Project On-Hold</text>
  </threadedComment>
  <threadedComment ref="T456" dT="2024-10-18T04:54:46.00" personId="{ED1D359B-D851-4826-88EF-B9650B16DF7A}" id="{0C21DE03-0AF8-4FBF-9CC0-4AAE7EF1E6BC}">
    <text>Project On-Hold</text>
  </threadedComment>
  <threadedComment ref="U456" dT="2024-10-18T04:54:46.00" personId="{ED1D359B-D851-4826-88EF-B9650B16DF7A}" id="{237BCDEB-20D4-407C-AC0A-F9BD0A334921}">
    <text>Project On-Hold</text>
  </threadedComment>
  <threadedComment ref="V456" dT="2024-10-18T04:54:46.00" personId="{ED1D359B-D851-4826-88EF-B9650B16DF7A}" id="{68D95A08-8DB3-471F-9115-C8E6C0B5A5D2}">
    <text>Project On-Hold</text>
  </threadedComment>
  <threadedComment ref="W456" dT="2024-10-18T04:54:46.00" personId="{ED1D359B-D851-4826-88EF-B9650B16DF7A}" id="{8246F30D-C017-4D46-9A82-06F5665455E2}">
    <text>Project On-Hold</text>
  </threadedComment>
  <threadedComment ref="X456" dT="2024-10-18T04:54:46.00" personId="{ED1D359B-D851-4826-88EF-B9650B16DF7A}" id="{4F200CFE-8645-47A5-85C3-A6A07B439C6F}">
    <text>Project On-Hold</text>
  </threadedComment>
  <threadedComment ref="Y456" dT="2024-10-18T04:54:46.00" personId="{ED1D359B-D851-4826-88EF-B9650B16DF7A}" id="{4762586C-F574-4466-B6CA-6CD0F41D7450}">
    <text>Project On-Hold</text>
  </threadedComment>
  <threadedComment ref="Z456" dT="2024-10-18T04:54:46.00" personId="{ED1D359B-D851-4826-88EF-B9650B16DF7A}" id="{0288FC15-63E0-4B4E-9509-F036C18AA332}">
    <text>Project On-Hold</text>
  </threadedComment>
  <threadedComment ref="AA456" dT="2024-10-18T04:54:46.00" personId="{ED1D359B-D851-4826-88EF-B9650B16DF7A}" id="{A1088EB3-9197-4A19-BE35-F1E6E08CA6E1}">
    <text>Project On-Hold</text>
  </threadedComment>
  <threadedComment ref="AF456" dT="2024-10-18T04:54:46.00" personId="{ED1D359B-D851-4826-88EF-B9650B16DF7A}" id="{534B9A39-619E-458A-B8D3-E4F55B90AE5E}">
    <text>Project On-Hold</text>
  </threadedComment>
  <threadedComment ref="AH456" dT="2024-10-18T04:54:46.00" personId="{ED1D359B-D851-4826-88EF-B9650B16DF7A}" id="{818F6D35-C7CD-4194-AF88-76740B4981E1}">
    <text>Project On-Hold</text>
  </threadedComment>
  <threadedComment ref="AJ456" dT="2024-12-18T08:18:28.30" personId="{ED1D359B-D851-4826-88EF-B9650B16DF7A}" id="{351037D9-A076-4B34-AE9C-308EE0874224}">
    <text>Positions are on-hold</text>
  </threadedComment>
  <threadedComment ref="J457" dT="2024-12-18T08:18:28.30" personId="{ED1D359B-D851-4826-88EF-B9650B16DF7A}" id="{BB39A5AA-4737-42CA-AF12-51FE4BC04F62}">
    <text>Positions are on-hold</text>
  </threadedComment>
  <threadedComment ref="K457" dT="2024-12-18T08:18:28.30" personId="{ED1D359B-D851-4826-88EF-B9650B16DF7A}" id="{A02877C4-472B-4AAF-926F-25E6F5917E9F}">
    <text>Positions are on-hold</text>
  </threadedComment>
  <threadedComment ref="L457" dT="2024-10-18T04:54:46.00" personId="{ED1D359B-D851-4826-88EF-B9650B16DF7A}" id="{E9421D2C-68FE-4820-AECC-AA2C8F58B153}">
    <text>Project On-Hold</text>
  </threadedComment>
  <threadedComment ref="M457" dT="2024-10-18T04:54:46.00" personId="{ED1D359B-D851-4826-88EF-B9650B16DF7A}" id="{956FA8D4-EAD3-4250-A243-F9072AAA1FE7}">
    <text>Project On-Hold</text>
  </threadedComment>
  <threadedComment ref="N457" dT="2024-10-18T04:54:46.00" personId="{ED1D359B-D851-4826-88EF-B9650B16DF7A}" id="{9F2C00DC-7E19-44F9-BB1E-3B58FA96BD9D}">
    <text>Project On-Hold</text>
  </threadedComment>
  <threadedComment ref="O457" dT="2024-10-18T04:54:46.00" personId="{ED1D359B-D851-4826-88EF-B9650B16DF7A}" id="{151926A0-F3DE-4446-AFC2-E590454A8665}">
    <text>Project On-Hold</text>
  </threadedComment>
  <threadedComment ref="P457" dT="2024-10-18T04:54:46.00" personId="{ED1D359B-D851-4826-88EF-B9650B16DF7A}" id="{46D26531-D0F3-4FB1-B400-92796A478838}">
    <text>Project On-Hold</text>
  </threadedComment>
  <threadedComment ref="Q457" dT="2024-10-18T04:54:46.00" personId="{ED1D359B-D851-4826-88EF-B9650B16DF7A}" id="{53F62FFB-DD5B-4B2F-A9D9-13199E74B043}">
    <text>Project On-Hold</text>
  </threadedComment>
  <threadedComment ref="R457" dT="2024-10-18T04:54:46.00" personId="{ED1D359B-D851-4826-88EF-B9650B16DF7A}" id="{480A0893-2BE0-416C-AC51-E2108D668913}">
    <text>Project On-Hold</text>
  </threadedComment>
  <threadedComment ref="S457" dT="2024-10-18T04:54:46.00" personId="{ED1D359B-D851-4826-88EF-B9650B16DF7A}" id="{2FFF1E8D-1050-4B1F-AEC2-FA9BE0BDDA92}">
    <text>Project On-Hold</text>
  </threadedComment>
  <threadedComment ref="T457" dT="2024-10-18T04:54:46.00" personId="{ED1D359B-D851-4826-88EF-B9650B16DF7A}" id="{A42A45C6-A2DF-4FB8-B809-5A76C87DD82F}">
    <text>Project On-Hold</text>
  </threadedComment>
  <threadedComment ref="U457" dT="2024-10-18T04:54:46.00" personId="{ED1D359B-D851-4826-88EF-B9650B16DF7A}" id="{07FDF2E5-DC11-44E1-B288-35A9AADC898B}">
    <text>Project On-Hold</text>
  </threadedComment>
  <threadedComment ref="V457" dT="2024-10-18T04:54:46.00" personId="{ED1D359B-D851-4826-88EF-B9650B16DF7A}" id="{19A2B691-E06C-42B9-98DB-AD2B35D00180}">
    <text>Project On-Hold</text>
  </threadedComment>
  <threadedComment ref="W457" dT="2024-10-18T04:54:46.00" personId="{ED1D359B-D851-4826-88EF-B9650B16DF7A}" id="{9E67C97B-A199-4BB7-A269-5EAE3759E41C}">
    <text>Project On-Hold</text>
  </threadedComment>
  <threadedComment ref="X457" dT="2024-10-18T04:54:46.00" personId="{ED1D359B-D851-4826-88EF-B9650B16DF7A}" id="{91C6E52E-C0B1-4EC8-8CA0-C8EB9C3D341D}">
    <text>Project On-Hold</text>
  </threadedComment>
  <threadedComment ref="Y457" dT="2024-10-18T04:54:46.00" personId="{ED1D359B-D851-4826-88EF-B9650B16DF7A}" id="{CE61E022-4BAA-439C-AE13-0D61B836E6EC}">
    <text>Project On-Hold</text>
  </threadedComment>
  <threadedComment ref="Z457" dT="2024-10-18T04:54:46.00" personId="{ED1D359B-D851-4826-88EF-B9650B16DF7A}" id="{0C2FB85C-7304-4C9C-AE88-DCF00731E797}">
    <text>Project On-Hold</text>
  </threadedComment>
  <threadedComment ref="AA457" dT="2024-10-18T04:54:46.00" personId="{ED1D359B-D851-4826-88EF-B9650B16DF7A}" id="{3993DF27-D3A6-4236-8CFA-C0522FE0997E}">
    <text>Project On-Hold</text>
  </threadedComment>
  <threadedComment ref="AF457" dT="2024-10-18T04:54:46.00" personId="{ED1D359B-D851-4826-88EF-B9650B16DF7A}" id="{5D650AAE-5913-47A3-BD85-4458A98118CD}">
    <text>Project On-Hold</text>
  </threadedComment>
  <threadedComment ref="AH457" dT="2024-10-18T04:54:46.00" personId="{ED1D359B-D851-4826-88EF-B9650B16DF7A}" id="{C07BB1EC-1CF1-432B-80A5-BC15016D68B6}">
    <text>Project On-Hold</text>
  </threadedComment>
  <threadedComment ref="AJ457" dT="2024-12-18T08:18:28.30" personId="{ED1D359B-D851-4826-88EF-B9650B16DF7A}" id="{54AE95BD-37AA-4AC9-84E4-F6E2EFA8B0D3}">
    <text>Positions are on-hold</text>
  </threadedComment>
  <threadedComment ref="J458" dT="2024-12-18T08:18:28.30" personId="{ED1D359B-D851-4826-88EF-B9650B16DF7A}" id="{58F611C4-94EF-4701-8BC3-78882562986D}">
    <text>Positions are on-hold</text>
  </threadedComment>
  <threadedComment ref="K458" dT="2024-12-18T08:18:28.30" personId="{ED1D359B-D851-4826-88EF-B9650B16DF7A}" id="{E40A5888-0F5B-453B-9F41-14BEE8A22F38}">
    <text>Positions are on-hold</text>
  </threadedComment>
  <threadedComment ref="L458" dT="2024-10-18T04:54:46.00" personId="{ED1D359B-D851-4826-88EF-B9650B16DF7A}" id="{7E721BBA-A57A-42F8-B544-9DED1DAA6796}">
    <text>Project On-Hold</text>
  </threadedComment>
  <threadedComment ref="M458" dT="2024-10-18T04:54:46.00" personId="{ED1D359B-D851-4826-88EF-B9650B16DF7A}" id="{248620A1-34ED-4031-8910-8699D736AA66}">
    <text>Project On-Hold</text>
  </threadedComment>
  <threadedComment ref="N458" dT="2024-10-18T04:54:46.00" personId="{ED1D359B-D851-4826-88EF-B9650B16DF7A}" id="{23415C4E-BDA6-4675-A846-5D2B84628608}">
    <text>Project On-Hold</text>
  </threadedComment>
  <threadedComment ref="O458" dT="2024-10-18T04:54:46.00" personId="{ED1D359B-D851-4826-88EF-B9650B16DF7A}" id="{A46B6FD1-D2D4-4770-95F6-F4B864F9BD66}">
    <text>Project On-Hold</text>
  </threadedComment>
  <threadedComment ref="P458" dT="2024-10-18T04:54:46.00" personId="{ED1D359B-D851-4826-88EF-B9650B16DF7A}" id="{E1759677-F9CD-4218-B3EC-A7299050E491}">
    <text>Project On-Hold</text>
  </threadedComment>
  <threadedComment ref="Q458" dT="2024-10-18T04:54:46.00" personId="{ED1D359B-D851-4826-88EF-B9650B16DF7A}" id="{7DB93ED8-B714-4891-9F04-EE3063EBC07A}">
    <text>Project On-Hold</text>
  </threadedComment>
  <threadedComment ref="R458" dT="2024-10-18T04:54:46.00" personId="{ED1D359B-D851-4826-88EF-B9650B16DF7A}" id="{4AC4530B-E2DF-41CB-B599-0EA933FF83BD}">
    <text>Project On-Hold</text>
  </threadedComment>
  <threadedComment ref="S458" dT="2024-10-18T04:54:46.00" personId="{ED1D359B-D851-4826-88EF-B9650B16DF7A}" id="{8E3DB24F-6C32-49C6-8E8B-7D2466EC10AE}">
    <text>Project On-Hold</text>
  </threadedComment>
  <threadedComment ref="T458" dT="2024-10-18T04:54:46.00" personId="{ED1D359B-D851-4826-88EF-B9650B16DF7A}" id="{55C9A13A-52E7-4B20-963C-4BB45CD8FCE0}">
    <text>Project On-Hold</text>
  </threadedComment>
  <threadedComment ref="U458" dT="2024-10-18T04:54:46.00" personId="{ED1D359B-D851-4826-88EF-B9650B16DF7A}" id="{2788723C-9885-4F90-AC70-40C040074B63}">
    <text>Project On-Hold</text>
  </threadedComment>
  <threadedComment ref="V458" dT="2024-10-18T04:54:46.00" personId="{ED1D359B-D851-4826-88EF-B9650B16DF7A}" id="{8D0B6225-BCCE-4CDE-B657-E2656276F9CB}">
    <text>Project On-Hold</text>
  </threadedComment>
  <threadedComment ref="W458" dT="2024-10-18T04:54:46.00" personId="{ED1D359B-D851-4826-88EF-B9650B16DF7A}" id="{A96A7E51-B28E-4364-B2B0-CA4D21D298C3}">
    <text>Project On-Hold</text>
  </threadedComment>
  <threadedComment ref="X458" dT="2024-10-18T04:54:46.00" personId="{ED1D359B-D851-4826-88EF-B9650B16DF7A}" id="{A7B9A51B-3703-4A9F-B6F0-9D345DAD072A}">
    <text>Project On-Hold</text>
  </threadedComment>
  <threadedComment ref="Y458" dT="2024-10-18T04:54:46.00" personId="{ED1D359B-D851-4826-88EF-B9650B16DF7A}" id="{B434FD3F-BC13-451B-AA9D-A7FF865CDBB8}">
    <text>Project On-Hold</text>
  </threadedComment>
  <threadedComment ref="Z458" dT="2024-10-18T04:54:46.00" personId="{ED1D359B-D851-4826-88EF-B9650B16DF7A}" id="{4C6C9304-E302-4B85-84E4-09724426BF60}">
    <text>Project On-Hold</text>
  </threadedComment>
  <threadedComment ref="AA458" dT="2024-10-18T04:54:46.00" personId="{ED1D359B-D851-4826-88EF-B9650B16DF7A}" id="{5175307E-CEF5-416E-9247-05EB4093BE90}">
    <text>Project On-Hold</text>
  </threadedComment>
  <threadedComment ref="AF458" dT="2024-10-18T04:54:46.00" personId="{ED1D359B-D851-4826-88EF-B9650B16DF7A}" id="{54D66BD0-E484-40BB-80B2-B727F2778D96}">
    <text>Project On-Hold</text>
  </threadedComment>
  <threadedComment ref="AH458" dT="2024-10-18T04:54:46.00" personId="{ED1D359B-D851-4826-88EF-B9650B16DF7A}" id="{A893B35B-9A6A-4060-AE82-E5700B0757D9}">
    <text>Project On-Hold</text>
  </threadedComment>
  <threadedComment ref="AJ458" dT="2024-12-18T08:18:28.30" personId="{ED1D359B-D851-4826-88EF-B9650B16DF7A}" id="{94EC975F-CA0D-4179-97E6-223F2DBE3A1C}">
    <text>Positions are on-hold</text>
  </threadedComment>
  <threadedComment ref="J459" dT="2024-12-18T08:18:28.30" personId="{ED1D359B-D851-4826-88EF-B9650B16DF7A}" id="{E90BA803-9709-43B5-9576-7861642D52FD}">
    <text>Positions are on-hold</text>
  </threadedComment>
  <threadedComment ref="K459" dT="2024-12-18T08:18:28.30" personId="{ED1D359B-D851-4826-88EF-B9650B16DF7A}" id="{BC1E4F04-177F-45CA-9140-42F958B6FB32}">
    <text>Positions are on-hold</text>
  </threadedComment>
  <threadedComment ref="L459" dT="2024-10-18T04:54:46.00" personId="{ED1D359B-D851-4826-88EF-B9650B16DF7A}" id="{D852101B-A20A-4C72-B211-8D19893F0DDE}">
    <text>Project On-Hold</text>
  </threadedComment>
  <threadedComment ref="M459" dT="2024-10-18T04:54:46.00" personId="{ED1D359B-D851-4826-88EF-B9650B16DF7A}" id="{8F39A4AF-CEB0-4C7C-94BB-B4E436A98D99}">
    <text>Project On-Hold</text>
  </threadedComment>
  <threadedComment ref="N459" dT="2024-10-18T04:54:46.00" personId="{ED1D359B-D851-4826-88EF-B9650B16DF7A}" id="{211A4D90-6B76-4A04-933A-8A7D70D08B6F}">
    <text>Project On-Hold</text>
  </threadedComment>
  <threadedComment ref="O459" dT="2024-10-18T04:54:46.00" personId="{ED1D359B-D851-4826-88EF-B9650B16DF7A}" id="{9300650A-9CAC-4CC5-8C0F-1CFD1AC07AA2}">
    <text>Project On-Hold</text>
  </threadedComment>
  <threadedComment ref="P459" dT="2024-10-18T04:54:46.00" personId="{ED1D359B-D851-4826-88EF-B9650B16DF7A}" id="{A85355D2-B8A7-4A25-8C92-4465E42EBFBB}">
    <text>Project On-Hold</text>
  </threadedComment>
  <threadedComment ref="Q459" dT="2024-10-18T04:54:46.00" personId="{ED1D359B-D851-4826-88EF-B9650B16DF7A}" id="{7D34C5B6-42DD-4323-9C96-6AD16335BFD2}">
    <text>Project On-Hold</text>
  </threadedComment>
  <threadedComment ref="R459" dT="2024-10-18T04:54:46.00" personId="{ED1D359B-D851-4826-88EF-B9650B16DF7A}" id="{62E69EFA-9E4C-48D8-876F-F2DC604E1A48}">
    <text>Project On-Hold</text>
  </threadedComment>
  <threadedComment ref="S459" dT="2024-10-18T04:54:46.00" personId="{ED1D359B-D851-4826-88EF-B9650B16DF7A}" id="{4E4BDA8B-3FC0-42B2-A963-9855C8D8DBD0}">
    <text>Project On-Hold</text>
  </threadedComment>
  <threadedComment ref="T459" dT="2024-10-18T04:54:46.00" personId="{ED1D359B-D851-4826-88EF-B9650B16DF7A}" id="{D2A98C91-40C8-4811-B642-C7B66DBEF3B3}">
    <text>Project On-Hold</text>
  </threadedComment>
  <threadedComment ref="U459" dT="2024-10-18T04:54:46.00" personId="{ED1D359B-D851-4826-88EF-B9650B16DF7A}" id="{9C99F78F-480F-4855-8B81-BCDE08D51350}">
    <text>Project On-Hold</text>
  </threadedComment>
  <threadedComment ref="V459" dT="2024-10-18T04:54:46.00" personId="{ED1D359B-D851-4826-88EF-B9650B16DF7A}" id="{F3D355D0-191E-433E-A977-FE922BA476EF}">
    <text>Project On-Hold</text>
  </threadedComment>
  <threadedComment ref="W459" dT="2024-10-18T04:54:46.00" personId="{ED1D359B-D851-4826-88EF-B9650B16DF7A}" id="{AA9B47D3-BDE3-4CD8-9265-D8821AC0D588}">
    <text>Project On-Hold</text>
  </threadedComment>
  <threadedComment ref="X459" dT="2024-10-18T04:54:46.00" personId="{ED1D359B-D851-4826-88EF-B9650B16DF7A}" id="{ED1D9BCF-2F37-4F1F-A175-EC52B4826E37}">
    <text>Project On-Hold</text>
  </threadedComment>
  <threadedComment ref="Y459" dT="2024-10-18T04:54:46.00" personId="{ED1D359B-D851-4826-88EF-B9650B16DF7A}" id="{A0C52250-1859-443F-9412-A720D723B647}">
    <text>Project On-Hold</text>
  </threadedComment>
  <threadedComment ref="Z459" dT="2024-10-18T04:54:46.00" personId="{ED1D359B-D851-4826-88EF-B9650B16DF7A}" id="{EB4582AE-795F-4068-A62D-238A1E609CD8}">
    <text>Project On-Hold</text>
  </threadedComment>
  <threadedComment ref="AA459" dT="2024-10-18T04:54:46.00" personId="{ED1D359B-D851-4826-88EF-B9650B16DF7A}" id="{6D7439A8-3DBC-44D4-9E53-4CE10C776A7C}">
    <text>Project On-Hold</text>
  </threadedComment>
  <threadedComment ref="AF459" dT="2024-10-18T04:54:46.00" personId="{ED1D359B-D851-4826-88EF-B9650B16DF7A}" id="{0BB1C060-F470-42BD-9258-749E75FE9F88}">
    <text>Project On-Hold</text>
  </threadedComment>
  <threadedComment ref="AH459" dT="2024-10-18T04:54:46.00" personId="{ED1D359B-D851-4826-88EF-B9650B16DF7A}" id="{1471DB18-F19F-4E55-BEB3-62E1109094BF}">
    <text>Project On-Hold</text>
  </threadedComment>
  <threadedComment ref="AJ459" dT="2024-12-18T08:18:28.30" personId="{ED1D359B-D851-4826-88EF-B9650B16DF7A}" id="{37841089-F94B-48FD-8C35-A869A79B4135}">
    <text>Positions are on-hold</text>
  </threadedComment>
  <threadedComment ref="J460" dT="2024-12-18T08:18:28.30" personId="{ED1D359B-D851-4826-88EF-B9650B16DF7A}" id="{45B7CD06-0B9D-44FE-93D0-64222B32ED7D}">
    <text>Positions are on-hold</text>
  </threadedComment>
  <threadedComment ref="K460" dT="2024-12-18T08:18:28.30" personId="{ED1D359B-D851-4826-88EF-B9650B16DF7A}" id="{3551B4EE-E48B-4F15-852E-4B2900DD8ADE}">
    <text>Positions are on-hold</text>
  </threadedComment>
  <threadedComment ref="L460" dT="2024-10-18T04:54:46.00" personId="{ED1D359B-D851-4826-88EF-B9650B16DF7A}" id="{97B470AC-D5D2-4749-B501-37101A8E851E}">
    <text>Project On-Hold</text>
  </threadedComment>
  <threadedComment ref="M460" dT="2024-10-18T04:54:46.00" personId="{ED1D359B-D851-4826-88EF-B9650B16DF7A}" id="{D927B130-083E-49FB-A816-C7C68ED1B8FC}">
    <text>Project On-Hold</text>
  </threadedComment>
  <threadedComment ref="N460" dT="2024-10-18T04:54:46.00" personId="{ED1D359B-D851-4826-88EF-B9650B16DF7A}" id="{3A41CC15-CB58-426F-86CB-C9A0EE17DCBF}">
    <text>Project On-Hold</text>
  </threadedComment>
  <threadedComment ref="O460" dT="2024-10-18T04:54:46.00" personId="{ED1D359B-D851-4826-88EF-B9650B16DF7A}" id="{C06DBA3E-CC24-42B1-940F-4A7C2AC0C6B8}">
    <text>Project On-Hold</text>
  </threadedComment>
  <threadedComment ref="P460" dT="2024-10-18T04:54:46.00" personId="{ED1D359B-D851-4826-88EF-B9650B16DF7A}" id="{B424D591-1B1A-4692-A3B2-2BD52281B1E6}">
    <text>Project On-Hold</text>
  </threadedComment>
  <threadedComment ref="Q460" dT="2024-10-18T04:54:46.00" personId="{ED1D359B-D851-4826-88EF-B9650B16DF7A}" id="{FF97F56B-C0B0-4AB2-A650-A74C049BA3E0}">
    <text>Project On-Hold</text>
  </threadedComment>
  <threadedComment ref="R460" dT="2024-10-18T04:54:46.00" personId="{ED1D359B-D851-4826-88EF-B9650B16DF7A}" id="{AA588478-2590-4C50-803C-9E5C5E681771}">
    <text>Project On-Hold</text>
  </threadedComment>
  <threadedComment ref="S460" dT="2024-10-18T04:54:46.00" personId="{ED1D359B-D851-4826-88EF-B9650B16DF7A}" id="{A1F4EA0E-77FC-4383-B124-6152B68DD3A2}">
    <text>Project On-Hold</text>
  </threadedComment>
  <threadedComment ref="T460" dT="2024-10-18T04:54:46.00" personId="{ED1D359B-D851-4826-88EF-B9650B16DF7A}" id="{2494226E-6790-42E6-8924-AD9EF63C4B8A}">
    <text>Project On-Hold</text>
  </threadedComment>
  <threadedComment ref="U460" dT="2024-10-18T04:54:46.00" personId="{ED1D359B-D851-4826-88EF-B9650B16DF7A}" id="{BBBD474E-F369-4C55-B78A-13A9A40E728F}">
    <text>Project On-Hold</text>
  </threadedComment>
  <threadedComment ref="V460" dT="2024-10-18T04:54:46.00" personId="{ED1D359B-D851-4826-88EF-B9650B16DF7A}" id="{391E9984-BF28-4DA0-AFAF-9AC6563197E2}">
    <text>Project On-Hold</text>
  </threadedComment>
  <threadedComment ref="W460" dT="2024-10-18T04:54:46.00" personId="{ED1D359B-D851-4826-88EF-B9650B16DF7A}" id="{71FE46AD-2F03-4969-8134-6376BFADE792}">
    <text>Project On-Hold</text>
  </threadedComment>
  <threadedComment ref="X460" dT="2024-10-18T04:54:46.00" personId="{ED1D359B-D851-4826-88EF-B9650B16DF7A}" id="{3F7E31CE-2A1D-45D6-97E2-529A3D9EBCB0}">
    <text>Project On-Hold</text>
  </threadedComment>
  <threadedComment ref="Y460" dT="2024-10-18T04:54:46.00" personId="{ED1D359B-D851-4826-88EF-B9650B16DF7A}" id="{BA8DCD97-97BF-4483-AB87-F73E1EFC5C9D}">
    <text>Project On-Hold</text>
  </threadedComment>
  <threadedComment ref="Z460" dT="2024-10-18T04:54:46.00" personId="{ED1D359B-D851-4826-88EF-B9650B16DF7A}" id="{BB163028-F880-4714-B735-E57E220E0EB9}">
    <text>Project On-Hold</text>
  </threadedComment>
  <threadedComment ref="AA460" dT="2024-10-18T04:54:46.00" personId="{ED1D359B-D851-4826-88EF-B9650B16DF7A}" id="{5FB4535A-3D6F-4A17-B657-E58A28F8F0F6}">
    <text>Project On-Hold</text>
  </threadedComment>
  <threadedComment ref="AF460" dT="2024-10-18T04:54:46.00" personId="{ED1D359B-D851-4826-88EF-B9650B16DF7A}" id="{E1EC547B-E91E-4F26-B3A4-1CE33AA792B8}">
    <text>Project On-Hold</text>
  </threadedComment>
  <threadedComment ref="AH460" dT="2024-10-18T04:54:46.00" personId="{ED1D359B-D851-4826-88EF-B9650B16DF7A}" id="{E1AEDE5A-409C-48E3-AF30-629ECDBB9AAD}">
    <text>Project On-Hold</text>
  </threadedComment>
  <threadedComment ref="AJ460" dT="2024-12-18T08:18:28.30" personId="{ED1D359B-D851-4826-88EF-B9650B16DF7A}" id="{33D190F8-2824-4473-A356-805439E9C39E}">
    <text>Positions are on-hold</text>
  </threadedComment>
  <threadedComment ref="J461" dT="2024-10-17T09:51:49.13" personId="{ED1D359B-D851-4826-88EF-B9650B16DF7A}" id="{67C501C6-BAE2-4D18-A70D-A903238C6486}">
    <text>Client is Inactive</text>
  </threadedComment>
  <threadedComment ref="K461" dT="2024-10-17T09:51:49.13" personId="{ED1D359B-D851-4826-88EF-B9650B16DF7A}" id="{68172B21-CB2C-42C9-BC97-56776BCF6D91}">
    <text>Client is Inactive</text>
  </threadedComment>
  <threadedComment ref="L461" dT="2024-10-17T09:51:49.13" personId="{ED1D359B-D851-4826-88EF-B9650B16DF7A}" id="{D32A0D34-0B53-497D-83FC-181FA6274D22}">
    <text>Client is Inactive</text>
  </threadedComment>
  <threadedComment ref="M461" dT="2024-10-17T09:51:49.13" personId="{ED1D359B-D851-4826-88EF-B9650B16DF7A}" id="{C4024FA3-87B9-47B3-A426-FF22B8B78101}">
    <text>Client is Inactive</text>
  </threadedComment>
  <threadedComment ref="N461" dT="2024-10-17T09:51:49.13" personId="{ED1D359B-D851-4826-88EF-B9650B16DF7A}" id="{2F608B5D-EE09-45A1-BA6D-C1DFAFCCD180}">
    <text>Client is Inactive</text>
  </threadedComment>
  <threadedComment ref="O461" dT="2024-10-17T09:51:49.13" personId="{ED1D359B-D851-4826-88EF-B9650B16DF7A}" id="{3D738B9E-80AE-4D96-9359-A21317658E96}">
    <text>Client is Inactive</text>
  </threadedComment>
  <threadedComment ref="P461" dT="2024-10-17T09:51:49.13" personId="{ED1D359B-D851-4826-88EF-B9650B16DF7A}" id="{5204DF99-9B54-4A54-A78E-6C61B0A431BA}">
    <text>Client is Inactive</text>
  </threadedComment>
  <threadedComment ref="Q461" dT="2024-10-17T09:51:49.13" personId="{ED1D359B-D851-4826-88EF-B9650B16DF7A}" id="{589AC03B-0EA5-4F8C-8ED7-6B16E273F0C8}">
    <text>Client is Inactive</text>
  </threadedComment>
  <threadedComment ref="R461" dT="2024-10-17T09:51:49.13" personId="{ED1D359B-D851-4826-88EF-B9650B16DF7A}" id="{684274DD-9C2F-4E12-8755-4349582C0F43}">
    <text>Client is Inactive</text>
  </threadedComment>
  <threadedComment ref="S461" dT="2024-10-17T09:51:49.13" personId="{ED1D359B-D851-4826-88EF-B9650B16DF7A}" id="{CB093D9E-F285-4191-A02A-06B60FF116FA}">
    <text>Client is Inactive</text>
  </threadedComment>
  <threadedComment ref="T461" dT="2024-10-18T04:54:46.00" personId="{ED1D359B-D851-4826-88EF-B9650B16DF7A}" id="{593E34F4-4BC2-4CD9-9CAA-4403575159A3}">
    <text>Project On-Hold</text>
  </threadedComment>
  <threadedComment ref="U461" dT="2024-10-18T04:54:46.00" personId="{ED1D359B-D851-4826-88EF-B9650B16DF7A}" id="{0497226B-A44F-44FF-9160-10915493F932}">
    <text>Project On-Hold</text>
  </threadedComment>
  <threadedComment ref="V461" dT="2024-10-18T04:54:46.00" personId="{ED1D359B-D851-4826-88EF-B9650B16DF7A}" id="{259911A6-CA02-49BA-A673-D66FCD17C293}">
    <text>Project On-Hold</text>
  </threadedComment>
  <threadedComment ref="W461" dT="2024-10-18T04:54:46.00" personId="{ED1D359B-D851-4826-88EF-B9650B16DF7A}" id="{BC6831D6-82D6-4F72-8EDF-0C8EB57B0368}">
    <text>Project On-Hold</text>
  </threadedComment>
  <threadedComment ref="X461" dT="2024-10-18T04:54:46.00" personId="{ED1D359B-D851-4826-88EF-B9650B16DF7A}" id="{B369AEE4-4C43-4F65-B60F-2516859B81F7}">
    <text>Project On-Hold</text>
  </threadedComment>
  <threadedComment ref="Y461" dT="2024-10-18T04:54:46.00" personId="{ED1D359B-D851-4826-88EF-B9650B16DF7A}" id="{3E9A5771-387A-45AB-BCD8-2DB9022184B9}">
    <text>Project On-Hold</text>
  </threadedComment>
  <threadedComment ref="Z461" dT="2024-10-18T04:54:46.00" personId="{ED1D359B-D851-4826-88EF-B9650B16DF7A}" id="{97BB1A6B-65C5-4D85-9493-37B115A26CE4}">
    <text>Project On-Hold</text>
  </threadedComment>
  <threadedComment ref="AA461" dT="2024-10-18T04:54:46.00" personId="{ED1D359B-D851-4826-88EF-B9650B16DF7A}" id="{DC374441-8D44-4B60-B742-F121162D362A}">
    <text>Project On-Hold</text>
  </threadedComment>
  <threadedComment ref="AB461" dT="2024-10-18T04:54:46.00" personId="{ED1D359B-D851-4826-88EF-B9650B16DF7A}" id="{7F203FFD-59DD-4902-9588-9667EDE826CD}">
    <text>Project On-Hold</text>
  </threadedComment>
  <threadedComment ref="AF461" dT="2024-10-18T04:54:46.00" personId="{ED1D359B-D851-4826-88EF-B9650B16DF7A}" id="{BFA7D320-CAC9-459A-ACF8-7729272E8C21}">
    <text>Project On-Hold</text>
  </threadedComment>
  <threadedComment ref="AH461" dT="2024-10-18T04:54:46.00" personId="{ED1D359B-D851-4826-88EF-B9650B16DF7A}" id="{7C7DEE89-0338-469E-A666-5AEE4B5667F5}">
    <text>Project On-Hold</text>
  </threadedComment>
  <threadedComment ref="AJ461" dT="2024-10-17T09:51:49.13" personId="{ED1D359B-D851-4826-88EF-B9650B16DF7A}" id="{16DB35FF-7203-4D13-AC50-22E226FF11BF}">
    <text>Client is Inactive</text>
  </threadedComment>
  <threadedComment ref="J462" dT="2024-10-17T09:51:49.13" personId="{ED1D359B-D851-4826-88EF-B9650B16DF7A}" id="{F518B6C4-529D-460D-84A0-4BB63C13B27D}">
    <text>Client is Inactive</text>
  </threadedComment>
  <threadedComment ref="K462" dT="2024-10-17T09:51:49.13" personId="{ED1D359B-D851-4826-88EF-B9650B16DF7A}" id="{91F33392-31B8-4BA3-A9C4-2823B3E101F1}">
    <text>Client is Inactive</text>
  </threadedComment>
  <threadedComment ref="L462" dT="2024-10-17T09:51:49.13" personId="{ED1D359B-D851-4826-88EF-B9650B16DF7A}" id="{D9318CDB-2532-4DA2-A803-27A2EE68AA32}">
    <text>Client is Inactive</text>
  </threadedComment>
  <threadedComment ref="M462" dT="2024-10-17T09:51:49.13" personId="{ED1D359B-D851-4826-88EF-B9650B16DF7A}" id="{BCC7303B-698F-4F66-BED3-CCE580E9CA8F}">
    <text>Client is Inactive</text>
  </threadedComment>
  <threadedComment ref="N462" dT="2024-10-17T09:51:49.13" personId="{ED1D359B-D851-4826-88EF-B9650B16DF7A}" id="{A41A0447-75C1-45F8-9650-CF2F23C9B34C}">
    <text>Client is Inactive</text>
  </threadedComment>
  <threadedComment ref="O462" dT="2024-10-17T09:51:49.13" personId="{ED1D359B-D851-4826-88EF-B9650B16DF7A}" id="{1FA3C62D-A2C6-4A80-B2AD-FA6419BD1B60}">
    <text>Client is Inactive</text>
  </threadedComment>
  <threadedComment ref="P462" dT="2024-10-17T09:51:49.13" personId="{ED1D359B-D851-4826-88EF-B9650B16DF7A}" id="{7FF576A1-E004-4C04-ABD1-446FF08ADC40}">
    <text>Client is Inactive</text>
  </threadedComment>
  <threadedComment ref="Q462" dT="2024-10-17T09:51:49.13" personId="{ED1D359B-D851-4826-88EF-B9650B16DF7A}" id="{4F2DC3BD-43BD-4347-8FDF-69D527A8CE31}">
    <text>Client is Inactive</text>
  </threadedComment>
  <threadedComment ref="R462" dT="2024-10-17T09:51:49.13" personId="{ED1D359B-D851-4826-88EF-B9650B16DF7A}" id="{1EC834E3-2C5B-493B-84FC-4618EC7C9A62}">
    <text>Client is Inactive</text>
  </threadedComment>
  <threadedComment ref="S462" dT="2024-10-17T09:51:49.13" personId="{ED1D359B-D851-4826-88EF-B9650B16DF7A}" id="{9C03CD1C-AD6E-41C3-A4B6-FC1313F5E9B1}">
    <text>Client is Inactive</text>
  </threadedComment>
  <threadedComment ref="T462" dT="2024-10-18T04:54:46.00" personId="{ED1D359B-D851-4826-88EF-B9650B16DF7A}" id="{5686491A-C06D-45D5-8DF2-D6B94599EF5F}">
    <text>Project On-Hold</text>
  </threadedComment>
  <threadedComment ref="U462" dT="2024-10-18T04:54:46.00" personId="{ED1D359B-D851-4826-88EF-B9650B16DF7A}" id="{49D59662-99DF-4371-AC1A-C7EA108D2DDB}">
    <text>Project On-Hold</text>
  </threadedComment>
  <threadedComment ref="V462" dT="2024-10-18T04:54:46.00" personId="{ED1D359B-D851-4826-88EF-B9650B16DF7A}" id="{19BA9A33-E6B9-4337-8B5F-26047F4C6C92}">
    <text>Project On-Hold</text>
  </threadedComment>
  <threadedComment ref="W462" dT="2024-10-18T04:54:46.00" personId="{ED1D359B-D851-4826-88EF-B9650B16DF7A}" id="{2B9DB0EA-05CB-4C74-B14E-72E014DC9BEB}">
    <text>Project On-Hold</text>
  </threadedComment>
  <threadedComment ref="X462" dT="2024-10-18T04:54:46.00" personId="{ED1D359B-D851-4826-88EF-B9650B16DF7A}" id="{934DB5ED-11A5-472D-AD01-4A2E72DFDBF5}">
    <text>Project On-Hold</text>
  </threadedComment>
  <threadedComment ref="Y462" dT="2024-10-18T04:54:46.00" personId="{ED1D359B-D851-4826-88EF-B9650B16DF7A}" id="{156FB502-B000-49DA-85BB-0C9B189023A7}">
    <text>Project On-Hold</text>
  </threadedComment>
  <threadedComment ref="Z462" dT="2024-10-18T04:54:46.00" personId="{ED1D359B-D851-4826-88EF-B9650B16DF7A}" id="{94FF57B6-BB75-488C-9B0D-AE742605D6D6}">
    <text>Project On-Hold</text>
  </threadedComment>
  <threadedComment ref="AA462" dT="2024-10-18T04:54:46.00" personId="{ED1D359B-D851-4826-88EF-B9650B16DF7A}" id="{EAE0FB49-0513-42CA-B5F4-05033BB91469}">
    <text>Project On-Hold</text>
  </threadedComment>
  <threadedComment ref="AB462" dT="2024-10-18T04:54:46.00" personId="{ED1D359B-D851-4826-88EF-B9650B16DF7A}" id="{05FA1DF8-4FBF-4838-A2AC-B16C918751D3}">
    <text>Project On-Hold</text>
  </threadedComment>
  <threadedComment ref="AF462" dT="2024-10-18T04:54:46.00" personId="{ED1D359B-D851-4826-88EF-B9650B16DF7A}" id="{4BC9CC0F-1DB3-48DB-8E9E-7D59E6BAAF41}">
    <text>Project On-Hold</text>
  </threadedComment>
  <threadedComment ref="AH462" dT="2024-10-18T04:54:46.00" personId="{ED1D359B-D851-4826-88EF-B9650B16DF7A}" id="{72D2D471-4C77-44A3-8F16-A4CDB11ED589}">
    <text>Project On-Hold</text>
  </threadedComment>
  <threadedComment ref="AJ462" dT="2024-10-17T09:51:49.13" personId="{ED1D359B-D851-4826-88EF-B9650B16DF7A}" id="{5AE2C6C2-D6A7-4752-BF59-4ABC7D8AE00A}">
    <text>Client is Inactive</text>
  </threadedComment>
  <threadedComment ref="J463" dT="2024-10-17T09:51:49.13" personId="{ED1D359B-D851-4826-88EF-B9650B16DF7A}" id="{B9236F63-DAD5-487E-BFB3-7C9FAC89571F}">
    <text>Client is Inactive</text>
  </threadedComment>
  <threadedComment ref="K463" dT="2024-10-17T09:51:49.13" personId="{ED1D359B-D851-4826-88EF-B9650B16DF7A}" id="{8B238547-2AD8-4958-9DD1-AA4FD309E6F8}">
    <text>Client is Inactive</text>
  </threadedComment>
  <threadedComment ref="L463" dT="2024-10-17T09:51:49.13" personId="{ED1D359B-D851-4826-88EF-B9650B16DF7A}" id="{2ADCCD4D-175C-4407-A589-330D1B3F04C5}">
    <text>Client is Inactive</text>
  </threadedComment>
  <threadedComment ref="M463" dT="2024-10-17T09:51:49.13" personId="{ED1D359B-D851-4826-88EF-B9650B16DF7A}" id="{0930CF7F-15C6-46F2-8378-CC8E122863E4}">
    <text>Client is Inactive</text>
  </threadedComment>
  <threadedComment ref="N463" dT="2024-10-17T09:51:49.13" personId="{ED1D359B-D851-4826-88EF-B9650B16DF7A}" id="{68202752-CDE1-449C-9E64-C43518DAFB6B}">
    <text>Client is Inactive</text>
  </threadedComment>
  <threadedComment ref="O463" dT="2024-10-17T09:51:49.13" personId="{ED1D359B-D851-4826-88EF-B9650B16DF7A}" id="{96CC0666-058C-41FD-8493-6FCD9EC4598B}">
    <text>Client is Inactive</text>
  </threadedComment>
  <threadedComment ref="P463" dT="2024-10-17T09:51:49.13" personId="{ED1D359B-D851-4826-88EF-B9650B16DF7A}" id="{4407951E-3A17-4FF4-AB21-F75664E870BE}">
    <text>Client is Inactive</text>
  </threadedComment>
  <threadedComment ref="Q463" dT="2024-10-17T09:51:49.13" personId="{ED1D359B-D851-4826-88EF-B9650B16DF7A}" id="{87B0A38B-1099-4CA7-886B-6E30D347BE19}">
    <text>Client is Inactive</text>
  </threadedComment>
  <threadedComment ref="R463" dT="2024-10-17T09:51:49.13" personId="{ED1D359B-D851-4826-88EF-B9650B16DF7A}" id="{814CE4B9-B1C7-4491-BC1F-F3ECE40B15E2}">
    <text>Client is Inactive</text>
  </threadedComment>
  <threadedComment ref="S463" dT="2024-10-17T09:51:49.13" personId="{ED1D359B-D851-4826-88EF-B9650B16DF7A}" id="{1C969D7E-B757-4565-BD91-B572AD61D4EA}">
    <text>Client is Inactive</text>
  </threadedComment>
  <threadedComment ref="T463" dT="2024-10-18T04:54:46.00" personId="{ED1D359B-D851-4826-88EF-B9650B16DF7A}" id="{D76A7E83-FFC0-4056-AF64-3E6D598D6B6C}">
    <text>Project On-Hold</text>
  </threadedComment>
  <threadedComment ref="U463" dT="2024-10-18T04:54:46.00" personId="{ED1D359B-D851-4826-88EF-B9650B16DF7A}" id="{E89BD91A-D48E-4C20-9A7D-2DC9E7CD16FB}">
    <text>Project On-Hold</text>
  </threadedComment>
  <threadedComment ref="V463" dT="2024-10-18T04:54:46.00" personId="{ED1D359B-D851-4826-88EF-B9650B16DF7A}" id="{F9DE3EC8-B061-499D-B746-7FF70528E5E9}">
    <text>Project On-Hold</text>
  </threadedComment>
  <threadedComment ref="W463" dT="2024-10-18T04:54:46.00" personId="{ED1D359B-D851-4826-88EF-B9650B16DF7A}" id="{8CF922C2-C156-4C9A-9D37-0902E473AD4F}">
    <text>Project On-Hold</text>
  </threadedComment>
  <threadedComment ref="X463" dT="2024-10-18T04:54:46.00" personId="{ED1D359B-D851-4826-88EF-B9650B16DF7A}" id="{EDFDC6C5-76E0-4F4C-8001-C6401111DA46}">
    <text>Project On-Hold</text>
  </threadedComment>
  <threadedComment ref="Y463" dT="2024-10-18T04:54:46.00" personId="{ED1D359B-D851-4826-88EF-B9650B16DF7A}" id="{9A6B75A4-2F18-4A93-9EE1-731B49660F21}">
    <text>Project On-Hold</text>
  </threadedComment>
  <threadedComment ref="Z463" dT="2024-10-18T04:54:46.00" personId="{ED1D359B-D851-4826-88EF-B9650B16DF7A}" id="{599306DC-72F9-4E4F-B099-42AED12D29AF}">
    <text>Project On-Hold</text>
  </threadedComment>
  <threadedComment ref="AA463" dT="2024-10-18T04:54:46.00" personId="{ED1D359B-D851-4826-88EF-B9650B16DF7A}" id="{A3C02166-CEA6-4797-9550-71940D0794E0}">
    <text>Project On-Hold</text>
  </threadedComment>
  <threadedComment ref="AB463" dT="2024-10-18T04:54:46.00" personId="{ED1D359B-D851-4826-88EF-B9650B16DF7A}" id="{B4F6A81F-BEB1-4288-88AB-5173B3EE419C}">
    <text>Project On-Hold</text>
  </threadedComment>
  <threadedComment ref="AF463" dT="2024-10-18T04:54:46.00" personId="{ED1D359B-D851-4826-88EF-B9650B16DF7A}" id="{85D1ECF4-1128-4D64-8ECF-3E61753FF916}">
    <text>Project On-Hold</text>
  </threadedComment>
  <threadedComment ref="AH463" dT="2024-10-18T04:54:46.00" personId="{ED1D359B-D851-4826-88EF-B9650B16DF7A}" id="{16C7DABA-922A-4ECF-BD4E-00B0DB208F4D}">
    <text>Project On-Hold</text>
  </threadedComment>
  <threadedComment ref="AJ463" dT="2024-10-17T09:51:49.13" personId="{ED1D359B-D851-4826-88EF-B9650B16DF7A}" id="{54533ADD-C133-498F-81F7-2CA11CC820E7}">
    <text>Client is Inactive</text>
  </threadedComment>
  <threadedComment ref="J464" dT="2024-10-17T09:51:49.13" personId="{ED1D359B-D851-4826-88EF-B9650B16DF7A}" id="{8CECA546-3B12-4C8C-9806-BB86E3715A45}">
    <text>Client is Inactive</text>
  </threadedComment>
  <threadedComment ref="K464" dT="2024-10-17T09:51:49.13" personId="{ED1D359B-D851-4826-88EF-B9650B16DF7A}" id="{AF39E180-8605-44DD-870C-7615599887FF}">
    <text>Client is Inactive</text>
  </threadedComment>
  <threadedComment ref="L464" dT="2024-10-17T09:51:49.13" personId="{ED1D359B-D851-4826-88EF-B9650B16DF7A}" id="{BFCF4AB8-BDA7-4BAD-B477-C4FDCEF055B1}">
    <text>Client is Inactive</text>
  </threadedComment>
  <threadedComment ref="M464" dT="2024-10-17T09:51:49.13" personId="{ED1D359B-D851-4826-88EF-B9650B16DF7A}" id="{22D53504-A897-4C87-9D70-8A20667D147E}">
    <text>Client is Inactive</text>
  </threadedComment>
  <threadedComment ref="N464" dT="2024-10-17T09:51:49.13" personId="{ED1D359B-D851-4826-88EF-B9650B16DF7A}" id="{28365C9C-FAFF-409B-9B44-0DC68030CCC7}">
    <text>Client is Inactive</text>
  </threadedComment>
  <threadedComment ref="O464" dT="2024-10-17T09:51:49.13" personId="{ED1D359B-D851-4826-88EF-B9650B16DF7A}" id="{03D325C9-161A-4603-A7A8-82AC4EB06FCA}">
    <text>Client is Inactive</text>
  </threadedComment>
  <threadedComment ref="P464" dT="2024-10-17T09:51:49.13" personId="{ED1D359B-D851-4826-88EF-B9650B16DF7A}" id="{D304C37E-A01F-45D2-91E8-F96487E12D0F}">
    <text>Client is Inactive</text>
  </threadedComment>
  <threadedComment ref="Q464" dT="2024-10-17T09:51:49.13" personId="{ED1D359B-D851-4826-88EF-B9650B16DF7A}" id="{593D10D5-C2C3-4A56-A6D0-0545D2096899}">
    <text>Client is Inactive</text>
  </threadedComment>
  <threadedComment ref="R464" dT="2024-10-17T09:51:49.13" personId="{ED1D359B-D851-4826-88EF-B9650B16DF7A}" id="{DBF0E3F4-9CB3-4E4F-B472-70E5E3E4A15B}">
    <text>Client is Inactive</text>
  </threadedComment>
  <threadedComment ref="S464" dT="2024-10-17T09:51:49.13" personId="{ED1D359B-D851-4826-88EF-B9650B16DF7A}" id="{D478B9CB-7F79-44C6-A128-D2F43B3571AA}">
    <text>Client is Inactive</text>
  </threadedComment>
  <threadedComment ref="T464" dT="2024-10-18T04:54:46.00" personId="{ED1D359B-D851-4826-88EF-B9650B16DF7A}" id="{CDCB1A3D-649C-4E39-A7B1-8D6FD288D94E}">
    <text>Project On-Hold</text>
  </threadedComment>
  <threadedComment ref="U464" dT="2024-10-18T04:54:46.00" personId="{ED1D359B-D851-4826-88EF-B9650B16DF7A}" id="{96D0FA33-C368-4615-AF73-7F776B47061A}">
    <text>Project On-Hold</text>
  </threadedComment>
  <threadedComment ref="V464" dT="2024-10-18T04:54:46.00" personId="{ED1D359B-D851-4826-88EF-B9650B16DF7A}" id="{86FAFF1C-B4FF-4210-B37D-B49CCC489B6D}">
    <text>Project On-Hold</text>
  </threadedComment>
  <threadedComment ref="W464" dT="2024-10-18T04:54:46.00" personId="{ED1D359B-D851-4826-88EF-B9650B16DF7A}" id="{B9EDA143-535C-4EF2-A7C5-2B4B4C8CED16}">
    <text>Project On-Hold</text>
  </threadedComment>
  <threadedComment ref="X464" dT="2024-10-18T04:54:46.00" personId="{ED1D359B-D851-4826-88EF-B9650B16DF7A}" id="{8A3AA35A-819D-491B-B372-E1AD955EB035}">
    <text>Project On-Hold</text>
  </threadedComment>
  <threadedComment ref="Y464" dT="2024-10-18T04:54:46.00" personId="{ED1D359B-D851-4826-88EF-B9650B16DF7A}" id="{CA5568F3-ED4F-499A-BEA6-4B0451E0EDAF}">
    <text>Project On-Hold</text>
  </threadedComment>
  <threadedComment ref="Z464" dT="2024-10-18T04:54:46.00" personId="{ED1D359B-D851-4826-88EF-B9650B16DF7A}" id="{1DAB2F31-7915-4DDB-AD18-54F26BEF51D2}">
    <text>Project On-Hold</text>
  </threadedComment>
  <threadedComment ref="AA464" dT="2024-10-18T04:54:46.00" personId="{ED1D359B-D851-4826-88EF-B9650B16DF7A}" id="{A40CA67C-7AA7-445C-830A-610B849E8DF1}">
    <text>Project On-Hold</text>
  </threadedComment>
  <threadedComment ref="AB464" dT="2024-10-18T04:54:46.00" personId="{ED1D359B-D851-4826-88EF-B9650B16DF7A}" id="{C1BC2486-07D5-44E1-BE23-BF0F4852AE3E}">
    <text>Project On-Hold</text>
  </threadedComment>
  <threadedComment ref="AF464" dT="2024-10-18T04:54:46.00" personId="{ED1D359B-D851-4826-88EF-B9650B16DF7A}" id="{04C22816-4EBF-4062-B1F0-219DF990186B}">
    <text>Project On-Hold</text>
  </threadedComment>
  <threadedComment ref="AH464" dT="2024-10-18T04:54:46.00" personId="{ED1D359B-D851-4826-88EF-B9650B16DF7A}" id="{1476B8FB-94F1-43F9-81CF-C2C5CC5038F5}">
    <text>Project On-Hold</text>
  </threadedComment>
  <threadedComment ref="AJ464" dT="2024-10-17T09:51:49.13" personId="{ED1D359B-D851-4826-88EF-B9650B16DF7A}" id="{8EF12030-30A7-4651-8EE2-126CBA099F08}">
    <text>Client is Inactive</text>
  </threadedComment>
  <threadedComment ref="J465" dT="2024-10-17T09:51:49.13" personId="{ED1D359B-D851-4826-88EF-B9650B16DF7A}" id="{67458396-A5EA-476D-B2DD-8B259FEEEDB2}">
    <text>Client is Inactive</text>
  </threadedComment>
  <threadedComment ref="K465" dT="2024-10-17T09:51:49.13" personId="{ED1D359B-D851-4826-88EF-B9650B16DF7A}" id="{E39B7258-7830-4141-B7C3-DE8D51A66D2B}">
    <text>Client is Inactive</text>
  </threadedComment>
  <threadedComment ref="L465" dT="2024-10-17T09:51:49.13" personId="{ED1D359B-D851-4826-88EF-B9650B16DF7A}" id="{D22E6731-5624-438D-B901-23350CA5FA82}">
    <text>Client is Inactive</text>
  </threadedComment>
  <threadedComment ref="M465" dT="2024-10-17T09:51:49.13" personId="{ED1D359B-D851-4826-88EF-B9650B16DF7A}" id="{312F7F16-D48D-48B9-922A-AE6D5E1A2CEC}">
    <text>Client is Inactive</text>
  </threadedComment>
  <threadedComment ref="N465" dT="2024-10-17T09:51:49.13" personId="{ED1D359B-D851-4826-88EF-B9650B16DF7A}" id="{95B438FE-7C20-48C7-8BA1-A99E52E9813F}">
    <text>Client is Inactive</text>
  </threadedComment>
  <threadedComment ref="O465" dT="2024-10-17T09:51:49.13" personId="{ED1D359B-D851-4826-88EF-B9650B16DF7A}" id="{B22A0F68-886F-4C1C-BFCC-D83ACFA10A60}">
    <text>Client is Inactive</text>
  </threadedComment>
  <threadedComment ref="P465" dT="2024-10-17T09:51:49.13" personId="{ED1D359B-D851-4826-88EF-B9650B16DF7A}" id="{88503C41-CD99-4753-9B75-3275E8D6C351}">
    <text>Client is Inactive</text>
  </threadedComment>
  <threadedComment ref="Q465" dT="2024-10-17T09:51:49.13" personId="{ED1D359B-D851-4826-88EF-B9650B16DF7A}" id="{5204776F-F1AA-4CED-BBA4-910A44DCF461}">
    <text>Client is Inactive</text>
  </threadedComment>
  <threadedComment ref="R465" dT="2024-10-17T09:51:49.13" personId="{ED1D359B-D851-4826-88EF-B9650B16DF7A}" id="{2A0B00DB-17CC-40B0-B436-4C47482B2664}">
    <text>Client is Inactive</text>
  </threadedComment>
  <threadedComment ref="S465" dT="2024-10-17T09:51:49.13" personId="{ED1D359B-D851-4826-88EF-B9650B16DF7A}" id="{3B876CC7-F638-49AB-AF4D-8C783070C270}">
    <text>Client is Inactive</text>
  </threadedComment>
  <threadedComment ref="T465" dT="2024-10-18T04:54:46.00" personId="{ED1D359B-D851-4826-88EF-B9650B16DF7A}" id="{CD77F4B9-B40A-4E7F-BFFF-17A593C4EEA3}">
    <text>Project On-Hold</text>
  </threadedComment>
  <threadedComment ref="U465" dT="2024-10-18T04:54:46.00" personId="{ED1D359B-D851-4826-88EF-B9650B16DF7A}" id="{6BFF9EC8-15EC-439A-B74B-004DFE875D44}">
    <text>Project On-Hold</text>
  </threadedComment>
  <threadedComment ref="V465" dT="2024-10-18T04:54:46.00" personId="{ED1D359B-D851-4826-88EF-B9650B16DF7A}" id="{B2C3523B-5330-46E3-910F-B1EFFBFA928C}">
    <text>Project On-Hold</text>
  </threadedComment>
  <threadedComment ref="W465" dT="2024-10-18T04:54:46.00" personId="{ED1D359B-D851-4826-88EF-B9650B16DF7A}" id="{35834E74-BEE1-4366-A870-46C6D1932167}">
    <text>Project On-Hold</text>
  </threadedComment>
  <threadedComment ref="X465" dT="2024-10-18T04:54:46.00" personId="{ED1D359B-D851-4826-88EF-B9650B16DF7A}" id="{3D260000-7E38-4F04-944C-40C691917C68}">
    <text>Project On-Hold</text>
  </threadedComment>
  <threadedComment ref="Y465" dT="2024-10-18T04:54:46.00" personId="{ED1D359B-D851-4826-88EF-B9650B16DF7A}" id="{D2F4D8CB-8143-48F3-880D-0D7D042C7790}">
    <text>Project On-Hold</text>
  </threadedComment>
  <threadedComment ref="Z465" dT="2024-10-18T04:54:46.00" personId="{ED1D359B-D851-4826-88EF-B9650B16DF7A}" id="{DC01D396-E874-4EE3-A9AF-307B36623A99}">
    <text>Project On-Hold</text>
  </threadedComment>
  <threadedComment ref="AA465" dT="2024-10-18T04:54:46.00" personId="{ED1D359B-D851-4826-88EF-B9650B16DF7A}" id="{2D048B60-2D69-4D1E-8268-40663CAC4556}">
    <text>Project On-Hold</text>
  </threadedComment>
  <threadedComment ref="AB465" dT="2024-10-18T04:54:46.00" personId="{ED1D359B-D851-4826-88EF-B9650B16DF7A}" id="{1A641FAB-F8FE-4CC5-8CEC-73DFF33D9506}">
    <text>Project On-Hold</text>
  </threadedComment>
  <threadedComment ref="AF465" dT="2024-10-18T04:54:46.00" personId="{ED1D359B-D851-4826-88EF-B9650B16DF7A}" id="{705FF05B-8C24-43CA-86FF-12CECA1B6629}">
    <text>Project On-Hold</text>
  </threadedComment>
  <threadedComment ref="AH465" dT="2024-10-18T04:54:46.00" personId="{ED1D359B-D851-4826-88EF-B9650B16DF7A}" id="{AB962FE3-839B-451E-A4A0-87EDD822823B}">
    <text>Project On-Hold</text>
  </threadedComment>
  <threadedComment ref="AJ465" dT="2024-10-17T09:51:49.13" personId="{ED1D359B-D851-4826-88EF-B9650B16DF7A}" id="{C17F4CA0-7CB5-49D3-9B6F-E7F3814C2D40}">
    <text>Client is Inactive</text>
  </threadedComment>
  <threadedComment ref="J466" dT="2024-10-17T09:51:49.13" personId="{ED1D359B-D851-4826-88EF-B9650B16DF7A}" id="{433A6BED-B8E2-4787-8AC4-7528E751EC9A}">
    <text>Client is Inactive</text>
  </threadedComment>
  <threadedComment ref="K466" dT="2024-10-17T09:51:49.13" personId="{ED1D359B-D851-4826-88EF-B9650B16DF7A}" id="{AD713F74-6407-450D-AA2C-F52294DEBC07}">
    <text>Client is Inactive</text>
  </threadedComment>
  <threadedComment ref="L466" dT="2024-10-17T09:51:49.13" personId="{ED1D359B-D851-4826-88EF-B9650B16DF7A}" id="{D0622BD7-877E-413F-BD9A-C0D06CF41747}">
    <text>Client is Inactive</text>
  </threadedComment>
  <threadedComment ref="M466" dT="2024-10-17T09:51:49.13" personId="{ED1D359B-D851-4826-88EF-B9650B16DF7A}" id="{C43C9C2A-DD15-41D8-9166-6FE319DB56E9}">
    <text>Client is Inactive</text>
  </threadedComment>
  <threadedComment ref="N466" dT="2024-10-17T09:51:49.13" personId="{ED1D359B-D851-4826-88EF-B9650B16DF7A}" id="{0BBDB0EA-61BD-480B-B371-26AD565ADDFA}">
    <text>Client is Inactive</text>
  </threadedComment>
  <threadedComment ref="O466" dT="2024-10-17T09:51:49.13" personId="{ED1D359B-D851-4826-88EF-B9650B16DF7A}" id="{1C1D382F-48CB-4F7E-992C-8BB6C1723E4E}">
    <text>Client is Inactive</text>
  </threadedComment>
  <threadedComment ref="P466" dT="2024-10-17T09:51:49.13" personId="{ED1D359B-D851-4826-88EF-B9650B16DF7A}" id="{7D1ADC38-8B71-4469-BC2F-05E5A9F2AFA6}">
    <text>Client is Inactive</text>
  </threadedComment>
  <threadedComment ref="Q466" dT="2024-10-17T09:51:49.13" personId="{ED1D359B-D851-4826-88EF-B9650B16DF7A}" id="{0D84F156-16CE-4EDC-8AB6-F61581554203}">
    <text>Client is Inactive</text>
  </threadedComment>
  <threadedComment ref="R466" dT="2024-10-17T09:51:49.13" personId="{ED1D359B-D851-4826-88EF-B9650B16DF7A}" id="{806A522D-F14E-4E62-8947-772B340723D1}">
    <text>Client is Inactive</text>
  </threadedComment>
  <threadedComment ref="S466" dT="2024-10-17T09:51:49.13" personId="{ED1D359B-D851-4826-88EF-B9650B16DF7A}" id="{AA41C3A7-23E3-4967-8D54-764FCD27CE7A}">
    <text>Client is Inactive</text>
  </threadedComment>
  <threadedComment ref="T466" dT="2024-10-18T04:54:46.00" personId="{ED1D359B-D851-4826-88EF-B9650B16DF7A}" id="{BFDBBFBC-B7BA-4B0F-8812-26E92F0E3493}">
    <text>Project On-Hold</text>
  </threadedComment>
  <threadedComment ref="U466" dT="2024-10-18T04:54:46.00" personId="{ED1D359B-D851-4826-88EF-B9650B16DF7A}" id="{781726B7-24F8-49F2-A89D-0D5A6EEBE6DE}">
    <text>Project On-Hold</text>
  </threadedComment>
  <threadedComment ref="V466" dT="2024-10-18T04:54:46.00" personId="{ED1D359B-D851-4826-88EF-B9650B16DF7A}" id="{8E1F2464-8FCD-4DE2-82EA-AB0F423EA626}">
    <text>Project On-Hold</text>
  </threadedComment>
  <threadedComment ref="W466" dT="2024-10-18T04:54:46.00" personId="{ED1D359B-D851-4826-88EF-B9650B16DF7A}" id="{26BEB84C-E329-49D2-8627-5C65CF9A93BB}">
    <text>Project On-Hold</text>
  </threadedComment>
  <threadedComment ref="X466" dT="2024-10-18T04:54:46.00" personId="{ED1D359B-D851-4826-88EF-B9650B16DF7A}" id="{7980C937-AC4E-4EA8-BE6E-556BBD8C1DAD}">
    <text>Project On-Hold</text>
  </threadedComment>
  <threadedComment ref="Y466" dT="2024-10-18T04:54:46.00" personId="{ED1D359B-D851-4826-88EF-B9650B16DF7A}" id="{62D353F3-1F60-41C9-BDF5-199AB15C9488}">
    <text>Project On-Hold</text>
  </threadedComment>
  <threadedComment ref="Z466" dT="2024-10-18T04:54:46.00" personId="{ED1D359B-D851-4826-88EF-B9650B16DF7A}" id="{D5E589C1-C463-4DE3-81FE-112F57686919}">
    <text>Project On-Hold</text>
  </threadedComment>
  <threadedComment ref="AA466" dT="2024-10-18T04:54:46.00" personId="{ED1D359B-D851-4826-88EF-B9650B16DF7A}" id="{39E85DE3-57B1-444B-B66D-E767BDB64B01}">
    <text>Project On-Hold</text>
  </threadedComment>
  <threadedComment ref="AB466" dT="2024-10-18T04:54:46.00" personId="{ED1D359B-D851-4826-88EF-B9650B16DF7A}" id="{5CAED676-B0C2-4D20-8299-1F1131194939}">
    <text>Project On-Hold</text>
  </threadedComment>
  <threadedComment ref="AF466" dT="2024-10-18T04:54:46.00" personId="{ED1D359B-D851-4826-88EF-B9650B16DF7A}" id="{F6CD15AB-97FA-4FAC-9918-B2D0B5F8C521}">
    <text>Project On-Hold</text>
  </threadedComment>
  <threadedComment ref="AH466" dT="2024-10-18T04:54:46.00" personId="{ED1D359B-D851-4826-88EF-B9650B16DF7A}" id="{13FEBA0F-9BFC-4555-8C69-B6230AB70978}">
    <text>Project On-Hold</text>
  </threadedComment>
  <threadedComment ref="AJ466" dT="2024-10-17T09:51:49.13" personId="{ED1D359B-D851-4826-88EF-B9650B16DF7A}" id="{5F96545A-D070-48EE-AF38-758C5C5EA29E}">
    <text>Client is Inactive</text>
  </threadedComment>
  <threadedComment ref="J467" dT="2024-10-17T09:51:49.13" personId="{ED1D359B-D851-4826-88EF-B9650B16DF7A}" id="{311136B3-7D2E-461C-99D6-702D904C5356}">
    <text>Client is Inactive</text>
  </threadedComment>
  <threadedComment ref="K467" dT="2024-10-17T09:51:49.13" personId="{ED1D359B-D851-4826-88EF-B9650B16DF7A}" id="{4BC8F49B-9055-4BB9-BC32-3D338FF045DA}">
    <text>Client is Inactive</text>
  </threadedComment>
  <threadedComment ref="L467" dT="2024-10-17T09:51:49.13" personId="{ED1D359B-D851-4826-88EF-B9650B16DF7A}" id="{3EF0576F-913A-44B1-9303-A55B99C8FF6F}">
    <text>Client is Inactive</text>
  </threadedComment>
  <threadedComment ref="M467" dT="2024-10-17T09:51:49.13" personId="{ED1D359B-D851-4826-88EF-B9650B16DF7A}" id="{41044C76-EEF7-4086-9589-D197D65F65C6}">
    <text>Client is Inactive</text>
  </threadedComment>
  <threadedComment ref="N467" dT="2024-10-17T09:51:49.13" personId="{ED1D359B-D851-4826-88EF-B9650B16DF7A}" id="{DAB1F93D-6ECC-46AB-8163-BF92454EB364}">
    <text>Client is Inactive</text>
  </threadedComment>
  <threadedComment ref="O467" dT="2024-10-17T09:51:49.13" personId="{ED1D359B-D851-4826-88EF-B9650B16DF7A}" id="{87F92D6D-57EE-46E1-AB46-720EB82A7D4B}">
    <text>Client is Inactive</text>
  </threadedComment>
  <threadedComment ref="P467" dT="2024-10-17T09:51:49.13" personId="{ED1D359B-D851-4826-88EF-B9650B16DF7A}" id="{5F9C15AF-DC21-44EB-94F5-76014300FCC9}">
    <text>Client is Inactive</text>
  </threadedComment>
  <threadedComment ref="Q467" dT="2024-10-17T09:51:49.13" personId="{ED1D359B-D851-4826-88EF-B9650B16DF7A}" id="{D6B658E7-979B-4B4E-805D-3C299611C860}">
    <text>Client is Inactive</text>
  </threadedComment>
  <threadedComment ref="R467" dT="2024-10-17T09:51:49.13" personId="{ED1D359B-D851-4826-88EF-B9650B16DF7A}" id="{795AD99E-DCF9-4010-9306-D4AD48E897BB}">
    <text>Client is Inactive</text>
  </threadedComment>
  <threadedComment ref="S467" dT="2024-10-17T09:51:49.13" personId="{ED1D359B-D851-4826-88EF-B9650B16DF7A}" id="{66252B52-84FE-40B0-920D-273F3B582160}">
    <text>Client is Inactive</text>
  </threadedComment>
  <threadedComment ref="T467" dT="2024-10-18T04:54:46.00" personId="{ED1D359B-D851-4826-88EF-B9650B16DF7A}" id="{0C56978D-AFE6-4F34-B929-CEDB379993E7}">
    <text>Project On-Hold</text>
  </threadedComment>
  <threadedComment ref="U467" dT="2024-10-18T04:54:46.00" personId="{ED1D359B-D851-4826-88EF-B9650B16DF7A}" id="{DAD7A500-AEF5-4F63-86C6-D0CD43C17156}">
    <text>Project On-Hold</text>
  </threadedComment>
  <threadedComment ref="V467" dT="2024-10-18T04:54:46.00" personId="{ED1D359B-D851-4826-88EF-B9650B16DF7A}" id="{1A195972-061F-4025-AB35-2E2F382761A7}">
    <text>Project On-Hold</text>
  </threadedComment>
  <threadedComment ref="W467" dT="2024-10-18T04:54:46.00" personId="{ED1D359B-D851-4826-88EF-B9650B16DF7A}" id="{481E91B8-55E5-4782-86B7-E42C6725E794}">
    <text>Project On-Hold</text>
  </threadedComment>
  <threadedComment ref="X467" dT="2024-10-18T04:54:46.00" personId="{ED1D359B-D851-4826-88EF-B9650B16DF7A}" id="{59AB51C6-4455-4AC6-8D8B-E8F605F4CEB3}">
    <text>Project On-Hold</text>
  </threadedComment>
  <threadedComment ref="Y467" dT="2024-10-18T04:54:46.00" personId="{ED1D359B-D851-4826-88EF-B9650B16DF7A}" id="{35C32B60-CD72-478E-AA9D-A90D3CB480DB}">
    <text>Project On-Hold</text>
  </threadedComment>
  <threadedComment ref="Z467" dT="2024-10-18T04:54:46.00" personId="{ED1D359B-D851-4826-88EF-B9650B16DF7A}" id="{EB6CDF23-77C3-48CE-A53D-53C6AE60C892}">
    <text>Project On-Hold</text>
  </threadedComment>
  <threadedComment ref="AA467" dT="2024-10-18T04:54:46.00" personId="{ED1D359B-D851-4826-88EF-B9650B16DF7A}" id="{DA8F5662-2300-4F5D-B8F4-252B49FA1DBC}">
    <text>Project On-Hold</text>
  </threadedComment>
  <threadedComment ref="AB467" dT="2024-10-18T04:54:46.00" personId="{ED1D359B-D851-4826-88EF-B9650B16DF7A}" id="{DEBB97B2-86DF-4161-89B2-E485BF8D2C26}">
    <text>Project On-Hold</text>
  </threadedComment>
  <threadedComment ref="AF467" dT="2024-10-18T04:54:46.00" personId="{ED1D359B-D851-4826-88EF-B9650B16DF7A}" id="{459A349E-51F9-44C9-AA01-EE702A64425F}">
    <text>Project On-Hold</text>
  </threadedComment>
  <threadedComment ref="AH467" dT="2024-10-18T04:54:46.00" personId="{ED1D359B-D851-4826-88EF-B9650B16DF7A}" id="{A9620C34-85BF-4E56-A97C-FD182CFD6727}">
    <text>Project On-Hold</text>
  </threadedComment>
  <threadedComment ref="AJ467" dT="2024-10-17T09:51:49.13" personId="{ED1D359B-D851-4826-88EF-B9650B16DF7A}" id="{3DB6EB74-7981-433C-A33C-D4C4C67D3ADE}">
    <text>Client is Inactive</text>
  </threadedComment>
  <threadedComment ref="J468" dT="2024-10-17T09:51:49.13" personId="{ED1D359B-D851-4826-88EF-B9650B16DF7A}" id="{43018E95-578B-442A-AD5A-05C6B088AD26}">
    <text>Client is Inactive</text>
  </threadedComment>
  <threadedComment ref="K468" dT="2024-10-17T09:51:49.13" personId="{ED1D359B-D851-4826-88EF-B9650B16DF7A}" id="{A7A448B6-0805-4C5C-8945-6EC5F24810AF}">
    <text>Client is Inactive</text>
  </threadedComment>
  <threadedComment ref="L468" dT="2024-10-17T09:51:49.13" personId="{ED1D359B-D851-4826-88EF-B9650B16DF7A}" id="{B58D1E95-D832-440D-8544-26E1F278295B}">
    <text>Client is Inactive</text>
  </threadedComment>
  <threadedComment ref="M468" dT="2024-10-17T09:51:49.13" personId="{ED1D359B-D851-4826-88EF-B9650B16DF7A}" id="{4EF094DF-276A-4785-BF8E-6CD77CA6E628}">
    <text>Client is Inactive</text>
  </threadedComment>
  <threadedComment ref="N468" dT="2024-10-17T09:51:49.13" personId="{ED1D359B-D851-4826-88EF-B9650B16DF7A}" id="{5DA7A901-3E10-45F3-AE39-C30F7E4A23DE}">
    <text>Client is Inactive</text>
  </threadedComment>
  <threadedComment ref="O468" dT="2024-10-17T09:51:49.13" personId="{ED1D359B-D851-4826-88EF-B9650B16DF7A}" id="{15E9661F-7B4C-4FE5-B83D-DCEB3542E599}">
    <text>Client is Inactive</text>
  </threadedComment>
  <threadedComment ref="P468" dT="2024-10-17T09:51:49.13" personId="{ED1D359B-D851-4826-88EF-B9650B16DF7A}" id="{FCF3D3B6-12F3-41CC-B7BE-68E1023B86D5}">
    <text>Client is Inactive</text>
  </threadedComment>
  <threadedComment ref="Q468" dT="2024-10-17T09:51:49.13" personId="{ED1D359B-D851-4826-88EF-B9650B16DF7A}" id="{29480428-7065-48C8-A216-1A722F04D9AA}">
    <text>Client is Inactive</text>
  </threadedComment>
  <threadedComment ref="R468" dT="2024-10-17T09:51:49.13" personId="{ED1D359B-D851-4826-88EF-B9650B16DF7A}" id="{00F199F4-37AE-4590-A527-6F2EA26319E1}">
    <text>Client is Inactive</text>
  </threadedComment>
  <threadedComment ref="S468" dT="2024-10-17T09:51:49.13" personId="{ED1D359B-D851-4826-88EF-B9650B16DF7A}" id="{0359285F-48A6-4416-BB95-B9B2F3D82B91}">
    <text>Client is Inactive</text>
  </threadedComment>
  <threadedComment ref="T468" dT="2024-10-18T04:54:46.00" personId="{ED1D359B-D851-4826-88EF-B9650B16DF7A}" id="{A625D479-C224-4D25-9050-A58A8255CC92}">
    <text>Project On-Hold</text>
  </threadedComment>
  <threadedComment ref="U468" dT="2024-10-18T04:54:46.00" personId="{ED1D359B-D851-4826-88EF-B9650B16DF7A}" id="{99D0E7EA-352C-4BED-855B-FCB8BAEB8525}">
    <text>Project On-Hold</text>
  </threadedComment>
  <threadedComment ref="V468" dT="2024-10-18T04:54:46.00" personId="{ED1D359B-D851-4826-88EF-B9650B16DF7A}" id="{5E843436-4EA3-433C-B2DC-F91D77F737F6}">
    <text>Project On-Hold</text>
  </threadedComment>
  <threadedComment ref="W468" dT="2024-10-18T04:54:46.00" personId="{ED1D359B-D851-4826-88EF-B9650B16DF7A}" id="{FFA0DD25-6B98-4C12-AE82-8E7DAA4EA2D1}">
    <text>Project On-Hold</text>
  </threadedComment>
  <threadedComment ref="X468" dT="2024-10-18T04:54:46.00" personId="{ED1D359B-D851-4826-88EF-B9650B16DF7A}" id="{2D61DA5E-7DE8-493D-AEE2-B5558FFE1610}">
    <text>Project On-Hold</text>
  </threadedComment>
  <threadedComment ref="Y468" dT="2024-10-18T04:54:46.00" personId="{ED1D359B-D851-4826-88EF-B9650B16DF7A}" id="{EC633DA1-FBE1-4779-A1BF-1E02E6DA583E}">
    <text>Project On-Hold</text>
  </threadedComment>
  <threadedComment ref="Z468" dT="2024-10-18T04:54:46.00" personId="{ED1D359B-D851-4826-88EF-B9650B16DF7A}" id="{8082C336-3555-4869-8F1B-73491D38FC63}">
    <text>Project On-Hold</text>
  </threadedComment>
  <threadedComment ref="AA468" dT="2024-10-18T04:54:46.00" personId="{ED1D359B-D851-4826-88EF-B9650B16DF7A}" id="{6253B9DC-9BDF-4336-90C3-7A089C174957}">
    <text>Project On-Hold</text>
  </threadedComment>
  <threadedComment ref="AB468" dT="2024-10-18T04:54:46.00" personId="{ED1D359B-D851-4826-88EF-B9650B16DF7A}" id="{71DE82B4-9E9F-40CA-9A27-0EF4ECAEE311}">
    <text>Project On-Hold</text>
  </threadedComment>
  <threadedComment ref="AF468" dT="2024-10-18T04:54:46.00" personId="{ED1D359B-D851-4826-88EF-B9650B16DF7A}" id="{8B12D2A7-BE00-4E5B-BDBD-AFB6B17A3775}">
    <text>Project On-Hold</text>
  </threadedComment>
  <threadedComment ref="AH468" dT="2024-10-18T04:54:46.00" personId="{ED1D359B-D851-4826-88EF-B9650B16DF7A}" id="{543B4C81-3099-4762-AF0E-96436BB6DD6F}">
    <text>Project On-Hold</text>
  </threadedComment>
  <threadedComment ref="AJ468" dT="2024-10-17T09:51:49.13" personId="{ED1D359B-D851-4826-88EF-B9650B16DF7A}" id="{4851EA70-5E18-469E-A5F7-454302D9E917}">
    <text>Client is Inactive</text>
  </threadedComment>
  <threadedComment ref="J469" dT="2024-10-17T09:51:49.13" personId="{ED1D359B-D851-4826-88EF-B9650B16DF7A}" id="{119E09DC-6E46-4974-9494-D7EDB404EE8A}">
    <text>Client is Inactive</text>
  </threadedComment>
  <threadedComment ref="K469" dT="2024-10-17T09:51:49.13" personId="{ED1D359B-D851-4826-88EF-B9650B16DF7A}" id="{D3D4769D-68F1-492A-BCA6-5E6189E05050}">
    <text>Client is Inactive</text>
  </threadedComment>
  <threadedComment ref="L469" dT="2024-10-17T09:51:49.13" personId="{ED1D359B-D851-4826-88EF-B9650B16DF7A}" id="{DD4B7A0B-C2D8-4862-BAAD-9D21394E2C61}">
    <text>Client is Inactive</text>
  </threadedComment>
  <threadedComment ref="M469" dT="2024-10-17T09:51:49.13" personId="{ED1D359B-D851-4826-88EF-B9650B16DF7A}" id="{2565CCD2-F649-4878-9187-F82E0C67A824}">
    <text>Client is Inactive</text>
  </threadedComment>
  <threadedComment ref="N469" dT="2024-10-17T09:51:49.13" personId="{ED1D359B-D851-4826-88EF-B9650B16DF7A}" id="{752B9861-69D7-4087-A300-F2BBD91B4002}">
    <text>Client is Inactive</text>
  </threadedComment>
  <threadedComment ref="O469" dT="2024-10-17T09:51:49.13" personId="{ED1D359B-D851-4826-88EF-B9650B16DF7A}" id="{FA0A9E88-C16B-4245-9D75-B6B570BC9272}">
    <text>Client is Inactive</text>
  </threadedComment>
  <threadedComment ref="P469" dT="2024-10-17T09:51:49.13" personId="{ED1D359B-D851-4826-88EF-B9650B16DF7A}" id="{2D2175AA-490B-4A7F-A7D1-A6FCB65E4644}">
    <text>Client is Inactive</text>
  </threadedComment>
  <threadedComment ref="Q469" dT="2024-10-17T09:51:49.13" personId="{ED1D359B-D851-4826-88EF-B9650B16DF7A}" id="{7AC4C3C4-43D9-4913-804D-A16EC104B606}">
    <text>Client is Inactive</text>
  </threadedComment>
  <threadedComment ref="R469" dT="2024-10-17T09:51:49.13" personId="{ED1D359B-D851-4826-88EF-B9650B16DF7A}" id="{3525BAF8-0233-4863-A03D-8754D37589EC}">
    <text>Client is Inactive</text>
  </threadedComment>
  <threadedComment ref="S469" dT="2024-10-17T09:51:49.13" personId="{ED1D359B-D851-4826-88EF-B9650B16DF7A}" id="{DCF70B19-4D6D-4DC6-A4E0-801DEAE8E035}">
    <text>Client is Inactive</text>
  </threadedComment>
  <threadedComment ref="T469" dT="2024-10-18T04:54:46.00" personId="{ED1D359B-D851-4826-88EF-B9650B16DF7A}" id="{AE3EA096-7F38-4B1F-A577-F3A8C24D83DB}">
    <text>Project On-Hold</text>
  </threadedComment>
  <threadedComment ref="U469" dT="2024-10-18T04:54:46.00" personId="{ED1D359B-D851-4826-88EF-B9650B16DF7A}" id="{A1631716-7107-403C-865C-CD0248A17B11}">
    <text>Project On-Hold</text>
  </threadedComment>
  <threadedComment ref="V469" dT="2024-10-18T04:54:46.00" personId="{ED1D359B-D851-4826-88EF-B9650B16DF7A}" id="{697434E3-E509-4007-99ED-20082624EB70}">
    <text>Project On-Hold</text>
  </threadedComment>
  <threadedComment ref="W469" dT="2024-10-18T04:54:46.00" personId="{ED1D359B-D851-4826-88EF-B9650B16DF7A}" id="{B0DEAA2E-4652-4957-BBBD-EB967A623533}">
    <text>Project On-Hold</text>
  </threadedComment>
  <threadedComment ref="X469" dT="2024-10-18T04:54:46.00" personId="{ED1D359B-D851-4826-88EF-B9650B16DF7A}" id="{2C47D48A-F8C1-4B64-8477-30B33EFA93C0}">
    <text>Project On-Hold</text>
  </threadedComment>
  <threadedComment ref="Y469" dT="2024-10-18T04:54:46.00" personId="{ED1D359B-D851-4826-88EF-B9650B16DF7A}" id="{1379A184-2FD1-453D-BC8D-0547C9325F00}">
    <text>Project On-Hold</text>
  </threadedComment>
  <threadedComment ref="Z469" dT="2024-10-18T04:54:46.00" personId="{ED1D359B-D851-4826-88EF-B9650B16DF7A}" id="{29E4901D-E9F9-48E5-868C-FD0B31F946AF}">
    <text>Project On-Hold</text>
  </threadedComment>
  <threadedComment ref="AA469" dT="2024-10-18T04:54:46.00" personId="{ED1D359B-D851-4826-88EF-B9650B16DF7A}" id="{27F544D0-0894-4960-B108-3FD99E09815B}">
    <text>Project On-Hold</text>
  </threadedComment>
  <threadedComment ref="AB469" dT="2024-10-18T04:54:46.00" personId="{ED1D359B-D851-4826-88EF-B9650B16DF7A}" id="{114A8ED6-6334-4D30-9404-5FABB0DB87FD}">
    <text>Project On-Hold</text>
  </threadedComment>
  <threadedComment ref="AF469" dT="2024-10-18T04:54:46.00" personId="{ED1D359B-D851-4826-88EF-B9650B16DF7A}" id="{2D644590-DE2C-403D-BA11-776459A212B4}">
    <text>Project On-Hold</text>
  </threadedComment>
  <threadedComment ref="AH469" dT="2024-10-18T04:54:46.00" personId="{ED1D359B-D851-4826-88EF-B9650B16DF7A}" id="{27157B35-0509-4038-B601-7349641DEAF5}">
    <text>Project On-Hold</text>
  </threadedComment>
  <threadedComment ref="AJ469" dT="2024-10-17T09:51:49.13" personId="{ED1D359B-D851-4826-88EF-B9650B16DF7A}" id="{819B0D31-0990-43C5-8D34-416109D43163}">
    <text>Client is Inactive</text>
  </threadedComment>
  <threadedComment ref="J470" dT="2024-10-17T09:51:49.13" personId="{ED1D359B-D851-4826-88EF-B9650B16DF7A}" id="{7802FA37-BD5B-40F6-8870-71CD6E01F6CC}">
    <text>Client is Inactive</text>
  </threadedComment>
  <threadedComment ref="K470" dT="2024-10-17T09:51:49.13" personId="{ED1D359B-D851-4826-88EF-B9650B16DF7A}" id="{6812C341-47F1-4F1D-992A-D2B9BB85EA14}">
    <text>Client is Inactive</text>
  </threadedComment>
  <threadedComment ref="L470" dT="2024-10-17T09:51:49.13" personId="{ED1D359B-D851-4826-88EF-B9650B16DF7A}" id="{4912B83D-00C7-4F9F-8F3E-871A6A39C65D}">
    <text>Client is Inactive</text>
  </threadedComment>
  <threadedComment ref="M470" dT="2024-10-17T09:51:49.13" personId="{ED1D359B-D851-4826-88EF-B9650B16DF7A}" id="{1D9BD65A-10D2-491C-A4BF-9C81484A1FE8}">
    <text>Client is Inactive</text>
  </threadedComment>
  <threadedComment ref="N470" dT="2024-10-17T09:51:49.13" personId="{ED1D359B-D851-4826-88EF-B9650B16DF7A}" id="{9A4A6DC7-D767-4CA7-B56D-B7807F034B49}">
    <text>Client is Inactive</text>
  </threadedComment>
  <threadedComment ref="O470" dT="2024-10-17T09:51:49.13" personId="{ED1D359B-D851-4826-88EF-B9650B16DF7A}" id="{CE48CEE5-906C-4A2B-88F5-F54AC9A286E3}">
    <text>Client is Inactive</text>
  </threadedComment>
  <threadedComment ref="P470" dT="2024-10-17T09:51:49.13" personId="{ED1D359B-D851-4826-88EF-B9650B16DF7A}" id="{4A960E00-E965-45FC-A5B1-7962407E21F4}">
    <text>Client is Inactive</text>
  </threadedComment>
  <threadedComment ref="Q470" dT="2024-10-17T09:51:49.13" personId="{ED1D359B-D851-4826-88EF-B9650B16DF7A}" id="{1DB87AA3-EF5E-458F-B53D-51AFE074FE38}">
    <text>Client is Inactive</text>
  </threadedComment>
  <threadedComment ref="R470" dT="2024-10-17T09:51:49.13" personId="{ED1D359B-D851-4826-88EF-B9650B16DF7A}" id="{8BAB0C33-EE07-4659-A9AD-E6303B21DC5A}">
    <text>Client is Inactive</text>
  </threadedComment>
  <threadedComment ref="S470" dT="2024-10-17T09:51:49.13" personId="{ED1D359B-D851-4826-88EF-B9650B16DF7A}" id="{E57B27F0-316C-4B66-80AC-5D5F7E3E900E}">
    <text>Client is Inactive</text>
  </threadedComment>
  <threadedComment ref="T470" dT="2024-10-18T04:54:46.00" personId="{ED1D359B-D851-4826-88EF-B9650B16DF7A}" id="{30C13989-7361-4C3F-8293-DBEDB1522D77}">
    <text>Project On-Hold</text>
  </threadedComment>
  <threadedComment ref="U470" dT="2024-10-18T04:54:46.00" personId="{ED1D359B-D851-4826-88EF-B9650B16DF7A}" id="{2EC44E51-C408-41C2-A363-538BD16C205E}">
    <text>Project On-Hold</text>
  </threadedComment>
  <threadedComment ref="V470" dT="2024-10-18T04:54:46.00" personId="{ED1D359B-D851-4826-88EF-B9650B16DF7A}" id="{DB566E80-C6CF-4BFE-8481-149D5E6D3188}">
    <text>Project On-Hold</text>
  </threadedComment>
  <threadedComment ref="W470" dT="2024-10-18T04:54:46.00" personId="{ED1D359B-D851-4826-88EF-B9650B16DF7A}" id="{2EA79E9D-D1A0-4B34-AEBD-B0F0BE50DAA6}">
    <text>Project On-Hold</text>
  </threadedComment>
  <threadedComment ref="X470" dT="2024-10-18T04:54:46.00" personId="{ED1D359B-D851-4826-88EF-B9650B16DF7A}" id="{EAB9C1C7-1970-4E17-847C-A05A16B71265}">
    <text>Project On-Hold</text>
  </threadedComment>
  <threadedComment ref="Y470" dT="2024-10-18T04:54:46.00" personId="{ED1D359B-D851-4826-88EF-B9650B16DF7A}" id="{8E67C893-5B93-4B31-80D2-6DA904C03B65}">
    <text>Project On-Hold</text>
  </threadedComment>
  <threadedComment ref="Z470" dT="2024-10-18T04:54:46.00" personId="{ED1D359B-D851-4826-88EF-B9650B16DF7A}" id="{ECF28852-6A5B-4754-9D66-051F4F46FFB3}">
    <text>Project On-Hold</text>
  </threadedComment>
  <threadedComment ref="AA470" dT="2024-10-18T04:54:46.00" personId="{ED1D359B-D851-4826-88EF-B9650B16DF7A}" id="{D955BFCE-401F-48E2-B34B-A1E9A1E1A2CE}">
    <text>Project On-Hold</text>
  </threadedComment>
  <threadedComment ref="AB470" dT="2024-10-18T04:54:46.00" personId="{ED1D359B-D851-4826-88EF-B9650B16DF7A}" id="{A7E7A439-F86C-4DEA-B8E9-AB5020810348}">
    <text>Project On-Hold</text>
  </threadedComment>
  <threadedComment ref="AF470" dT="2024-10-18T04:54:46.00" personId="{ED1D359B-D851-4826-88EF-B9650B16DF7A}" id="{F056F299-6D63-4E70-ACBC-2861B4C76A66}">
    <text>Project On-Hold</text>
  </threadedComment>
  <threadedComment ref="AH470" dT="2024-10-18T04:54:46.00" personId="{ED1D359B-D851-4826-88EF-B9650B16DF7A}" id="{23976395-AFF9-43D2-9F0C-DAC7B65F6538}">
    <text>Project On-Hold</text>
  </threadedComment>
  <threadedComment ref="AJ470" dT="2024-10-17T09:51:49.13" personId="{ED1D359B-D851-4826-88EF-B9650B16DF7A}" id="{80EF6959-9C25-4FCD-892F-6E9955C49FB4}">
    <text>Client is Inactive</text>
  </threadedComment>
  <threadedComment ref="J471" dT="2024-10-17T09:51:49.13" personId="{ED1D359B-D851-4826-88EF-B9650B16DF7A}" id="{7BB40854-8945-42C0-99F2-32C8415FB2BA}">
    <text>Client is Inactive</text>
  </threadedComment>
  <threadedComment ref="K471" dT="2024-10-17T09:51:49.13" personId="{ED1D359B-D851-4826-88EF-B9650B16DF7A}" id="{981115F3-FF5C-42A1-9E92-B9D1CEA04703}">
    <text>Client is Inactive</text>
  </threadedComment>
  <threadedComment ref="L471" dT="2024-10-17T09:51:49.13" personId="{ED1D359B-D851-4826-88EF-B9650B16DF7A}" id="{74B88992-4E73-4867-9284-352C7D88E01B}">
    <text>Client is Inactive</text>
  </threadedComment>
  <threadedComment ref="M471" dT="2024-10-17T09:51:49.13" personId="{ED1D359B-D851-4826-88EF-B9650B16DF7A}" id="{9C3FB9B8-B5DB-446E-A562-4D792882F61C}">
    <text>Client is Inactive</text>
  </threadedComment>
  <threadedComment ref="N471" dT="2024-10-17T09:51:49.13" personId="{ED1D359B-D851-4826-88EF-B9650B16DF7A}" id="{E08F4130-DA79-4623-A3B9-662AA0A3330F}">
    <text>Client is Inactive</text>
  </threadedComment>
  <threadedComment ref="O471" dT="2024-10-17T09:51:49.13" personId="{ED1D359B-D851-4826-88EF-B9650B16DF7A}" id="{8F419B2C-4198-42F1-A0DD-FBD63D3D16C3}">
    <text>Client is Inactive</text>
  </threadedComment>
  <threadedComment ref="P471" dT="2024-10-17T09:51:49.13" personId="{ED1D359B-D851-4826-88EF-B9650B16DF7A}" id="{94113735-6BBB-44FF-B806-93EBC3202E89}">
    <text>Client is Inactive</text>
  </threadedComment>
  <threadedComment ref="Q471" dT="2024-10-17T09:51:49.13" personId="{ED1D359B-D851-4826-88EF-B9650B16DF7A}" id="{E6B06F49-87BF-4965-A405-D70800C05B8D}">
    <text>Client is Inactive</text>
  </threadedComment>
  <threadedComment ref="R471" dT="2024-10-17T09:51:49.13" personId="{ED1D359B-D851-4826-88EF-B9650B16DF7A}" id="{7F32677B-3B5E-408E-8060-3AF7D613F98C}">
    <text>Client is Inactive</text>
  </threadedComment>
  <threadedComment ref="S471" dT="2024-10-17T09:51:49.13" personId="{ED1D359B-D851-4826-88EF-B9650B16DF7A}" id="{7A99C3E9-E4E1-4ED6-8400-E5F1F0B9CE91}">
    <text>Client is Inactive</text>
  </threadedComment>
  <threadedComment ref="T471" dT="2024-10-18T04:54:46.00" personId="{ED1D359B-D851-4826-88EF-B9650B16DF7A}" id="{ED09F506-3327-49CB-9B88-B4FCE5126073}">
    <text>Project On-Hold</text>
  </threadedComment>
  <threadedComment ref="U471" dT="2024-10-18T04:54:46.00" personId="{ED1D359B-D851-4826-88EF-B9650B16DF7A}" id="{1EE8D93B-9A81-4C38-91F4-D7A85D8FFCA6}">
    <text>Project On-Hold</text>
  </threadedComment>
  <threadedComment ref="V471" dT="2024-10-18T04:54:46.00" personId="{ED1D359B-D851-4826-88EF-B9650B16DF7A}" id="{AC3764F4-5058-4364-BF22-1FBDFD35DAC4}">
    <text>Project On-Hold</text>
  </threadedComment>
  <threadedComment ref="W471" dT="2024-10-18T04:54:46.00" personId="{ED1D359B-D851-4826-88EF-B9650B16DF7A}" id="{770AA3F0-2690-4F93-A853-A3531B9FAB63}">
    <text>Project On-Hold</text>
  </threadedComment>
  <threadedComment ref="X471" dT="2024-10-18T04:54:46.00" personId="{ED1D359B-D851-4826-88EF-B9650B16DF7A}" id="{5BB8DDD0-04B6-4053-84C1-CC546CBF30F9}">
    <text>Project On-Hold</text>
  </threadedComment>
  <threadedComment ref="Y471" dT="2024-10-18T04:54:46.00" personId="{ED1D359B-D851-4826-88EF-B9650B16DF7A}" id="{9E84FE81-1FC7-485B-9B5C-3584773C2992}">
    <text>Project On-Hold</text>
  </threadedComment>
  <threadedComment ref="Z471" dT="2024-10-18T04:54:46.00" personId="{ED1D359B-D851-4826-88EF-B9650B16DF7A}" id="{E0C2F96A-187F-4079-ADF6-E5B6DEC88564}">
    <text>Project On-Hold</text>
  </threadedComment>
  <threadedComment ref="AA471" dT="2024-10-18T04:54:46.00" personId="{ED1D359B-D851-4826-88EF-B9650B16DF7A}" id="{9A23BFE4-CE90-4BF2-9487-F1E73E5A8EFD}">
    <text>Project On-Hold</text>
  </threadedComment>
  <threadedComment ref="AB471" dT="2024-10-18T04:54:46.00" personId="{ED1D359B-D851-4826-88EF-B9650B16DF7A}" id="{CBC9C977-3365-40AF-923B-43084DA3F917}">
    <text>Project On-Hold</text>
  </threadedComment>
  <threadedComment ref="AF471" dT="2024-10-18T04:54:46.00" personId="{ED1D359B-D851-4826-88EF-B9650B16DF7A}" id="{A03A75DF-752E-47E5-B638-DE3760949241}">
    <text>Project On-Hold</text>
  </threadedComment>
  <threadedComment ref="AH471" dT="2024-10-18T04:54:46.00" personId="{ED1D359B-D851-4826-88EF-B9650B16DF7A}" id="{E0D53ED3-FC67-47B7-80CB-3A43C8B9A457}">
    <text>Project On-Hold</text>
  </threadedComment>
  <threadedComment ref="AJ471" dT="2024-10-17T09:51:49.13" personId="{ED1D359B-D851-4826-88EF-B9650B16DF7A}" id="{576AB5A8-A2C3-4915-A08F-8BAA867A70BE}">
    <text>Client is Inactive</text>
  </threadedComment>
  <threadedComment ref="J472" dT="2024-10-17T09:51:49.13" personId="{ED1D359B-D851-4826-88EF-B9650B16DF7A}" id="{02303B4D-8C63-4888-A008-8A60B2162504}">
    <text>Client is Inactive</text>
  </threadedComment>
  <threadedComment ref="K472" dT="2024-10-17T09:51:49.13" personId="{ED1D359B-D851-4826-88EF-B9650B16DF7A}" id="{7674E871-9CEB-4365-A9B7-EC6A46F9A3FF}">
    <text>Client is Inactive</text>
  </threadedComment>
  <threadedComment ref="L472" dT="2024-10-17T09:51:49.13" personId="{ED1D359B-D851-4826-88EF-B9650B16DF7A}" id="{4E2BED58-E33B-43D3-B12C-57071ECAA766}">
    <text>Client is Inactive</text>
  </threadedComment>
  <threadedComment ref="M472" dT="2024-10-17T09:51:49.13" personId="{ED1D359B-D851-4826-88EF-B9650B16DF7A}" id="{1F2021EE-7941-4057-9364-8E12B67FE54A}">
    <text>Client is Inactive</text>
  </threadedComment>
  <threadedComment ref="N472" dT="2024-10-17T09:51:49.13" personId="{ED1D359B-D851-4826-88EF-B9650B16DF7A}" id="{A9E26CBB-2737-43F3-A0BA-1537C5CFFAF7}">
    <text>Client is Inactive</text>
  </threadedComment>
  <threadedComment ref="O472" dT="2024-10-17T09:51:49.13" personId="{ED1D359B-D851-4826-88EF-B9650B16DF7A}" id="{EB65A5BE-6748-491D-8002-5290010654FE}">
    <text>Client is Inactive</text>
  </threadedComment>
  <threadedComment ref="P472" dT="2024-10-17T09:51:49.13" personId="{ED1D359B-D851-4826-88EF-B9650B16DF7A}" id="{3E21FC52-FDC0-4744-AA83-27D7C104B897}">
    <text>Client is Inactive</text>
  </threadedComment>
  <threadedComment ref="Q472" dT="2024-10-17T09:51:49.13" personId="{ED1D359B-D851-4826-88EF-B9650B16DF7A}" id="{83EA6419-7BCE-4961-B3BF-1BBC7D3CC9DE}">
    <text>Client is Inactive</text>
  </threadedComment>
  <threadedComment ref="R472" dT="2024-10-17T09:51:49.13" personId="{ED1D359B-D851-4826-88EF-B9650B16DF7A}" id="{74F2AE5D-35D2-4849-955C-F8896E4FDA89}">
    <text>Client is Inactive</text>
  </threadedComment>
  <threadedComment ref="S472" dT="2024-10-17T09:51:49.13" personId="{ED1D359B-D851-4826-88EF-B9650B16DF7A}" id="{AB0EE145-74A2-481C-BFE5-7C87EE6E7455}">
    <text>Client is Inactive</text>
  </threadedComment>
  <threadedComment ref="T472" dT="2024-10-18T04:54:46.00" personId="{ED1D359B-D851-4826-88EF-B9650B16DF7A}" id="{6C8ADAD5-3DF9-4E49-BF00-39A188C16EEC}">
    <text>Project On-Hold</text>
  </threadedComment>
  <threadedComment ref="U472" dT="2024-10-18T04:54:46.00" personId="{ED1D359B-D851-4826-88EF-B9650B16DF7A}" id="{296AAE9E-626B-42B2-909B-D06E2A4A7ADA}">
    <text>Project On-Hold</text>
  </threadedComment>
  <threadedComment ref="V472" dT="2024-10-18T04:54:46.00" personId="{ED1D359B-D851-4826-88EF-B9650B16DF7A}" id="{E10638EA-DDB0-42B7-AB0F-B1F63C838EC6}">
    <text>Project On-Hold</text>
  </threadedComment>
  <threadedComment ref="W472" dT="2024-10-18T04:54:46.00" personId="{ED1D359B-D851-4826-88EF-B9650B16DF7A}" id="{49CD8569-50E9-4A23-90E8-82776535FC4B}">
    <text>Project On-Hold</text>
  </threadedComment>
  <threadedComment ref="X472" dT="2024-10-18T04:54:46.00" personId="{ED1D359B-D851-4826-88EF-B9650B16DF7A}" id="{23F601EB-A63C-4A20-A5EC-9DB10D097823}">
    <text>Project On-Hold</text>
  </threadedComment>
  <threadedComment ref="Y472" dT="2024-10-18T04:54:46.00" personId="{ED1D359B-D851-4826-88EF-B9650B16DF7A}" id="{F7EED54F-9056-4501-A7E1-219B6464050B}">
    <text>Project On-Hold</text>
  </threadedComment>
  <threadedComment ref="Z472" dT="2024-10-18T04:54:46.00" personId="{ED1D359B-D851-4826-88EF-B9650B16DF7A}" id="{97D86C63-836C-4E88-84C1-670CA8BB675C}">
    <text>Project On-Hold</text>
  </threadedComment>
  <threadedComment ref="AA472" dT="2024-10-18T04:54:46.00" personId="{ED1D359B-D851-4826-88EF-B9650B16DF7A}" id="{21C94920-6F97-4E2D-A5D3-7C5D04B486EC}">
    <text>Project On-Hold</text>
  </threadedComment>
  <threadedComment ref="AB472" dT="2024-10-18T04:54:46.00" personId="{ED1D359B-D851-4826-88EF-B9650B16DF7A}" id="{DC6DA9CB-448C-4C1C-953A-B09CCBBD61CE}">
    <text>Project On-Hold</text>
  </threadedComment>
  <threadedComment ref="AF472" dT="2024-10-18T04:54:46.00" personId="{ED1D359B-D851-4826-88EF-B9650B16DF7A}" id="{C3683773-E9FC-4E1A-B776-C79473B6FE53}">
    <text>Project On-Hold</text>
  </threadedComment>
  <threadedComment ref="AH472" dT="2024-10-18T04:54:46.00" personId="{ED1D359B-D851-4826-88EF-B9650B16DF7A}" id="{A7013CDC-0DE2-4CD1-B7E5-AC3F29909149}">
    <text>Project On-Hold</text>
  </threadedComment>
  <threadedComment ref="AJ472" dT="2024-10-17T09:51:49.13" personId="{ED1D359B-D851-4826-88EF-B9650B16DF7A}" id="{132B2547-F55D-4375-9492-90134346F826}">
    <text>Client is Inactive</text>
  </threadedComment>
  <threadedComment ref="J473" dT="2024-10-17T09:51:49.13" personId="{ED1D359B-D851-4826-88EF-B9650B16DF7A}" id="{56EF7EE5-6D9C-4628-9AE7-5E9466547F49}">
    <text>Client is Inactive</text>
  </threadedComment>
  <threadedComment ref="K473" dT="2024-10-17T09:51:49.13" personId="{ED1D359B-D851-4826-88EF-B9650B16DF7A}" id="{D8D5C505-9FBF-4012-9906-883618CE1DFA}">
    <text>Client is Inactive</text>
  </threadedComment>
  <threadedComment ref="L473" dT="2024-10-17T09:51:49.13" personId="{ED1D359B-D851-4826-88EF-B9650B16DF7A}" id="{A4870728-5E1E-4F7F-B965-06FB3980E640}">
    <text>Client is Inactive</text>
  </threadedComment>
  <threadedComment ref="M473" dT="2024-10-17T09:51:49.13" personId="{ED1D359B-D851-4826-88EF-B9650B16DF7A}" id="{BB528469-7092-4F9F-A08B-EC10114B6E71}">
    <text>Client is Inactive</text>
  </threadedComment>
  <threadedComment ref="N473" dT="2024-10-17T09:51:49.13" personId="{ED1D359B-D851-4826-88EF-B9650B16DF7A}" id="{F4239999-B37D-41B5-BF1D-EED174264241}">
    <text>Client is Inactive</text>
  </threadedComment>
  <threadedComment ref="O473" dT="2024-10-17T09:51:49.13" personId="{ED1D359B-D851-4826-88EF-B9650B16DF7A}" id="{98FBCDC2-99B4-4D49-9B84-344E16171F99}">
    <text>Client is Inactive</text>
  </threadedComment>
  <threadedComment ref="P473" dT="2024-10-17T09:51:49.13" personId="{ED1D359B-D851-4826-88EF-B9650B16DF7A}" id="{45360735-B1ED-407D-9ECD-18D0216A52F1}">
    <text>Client is Inactive</text>
  </threadedComment>
  <threadedComment ref="Q473" dT="2024-10-17T09:51:49.13" personId="{ED1D359B-D851-4826-88EF-B9650B16DF7A}" id="{8F69E029-56C2-434D-9ABA-689833FE92E6}">
    <text>Client is Inactive</text>
  </threadedComment>
  <threadedComment ref="R473" dT="2024-10-17T09:51:49.13" personId="{ED1D359B-D851-4826-88EF-B9650B16DF7A}" id="{E500705A-E6A1-4354-979B-8B5E3ACDD686}">
    <text>Client is Inactive</text>
  </threadedComment>
  <threadedComment ref="S473" dT="2024-10-17T09:51:49.13" personId="{ED1D359B-D851-4826-88EF-B9650B16DF7A}" id="{C556F89B-9063-41F9-ADFE-60000432F74F}">
    <text>Client is Inactive</text>
  </threadedComment>
  <threadedComment ref="T473" dT="2024-10-18T04:54:46.00" personId="{ED1D359B-D851-4826-88EF-B9650B16DF7A}" id="{0BD0C611-0C99-42EC-B3F2-60E285A92118}">
    <text>Project On-Hold</text>
  </threadedComment>
  <threadedComment ref="U473" dT="2024-10-18T04:54:46.00" personId="{ED1D359B-D851-4826-88EF-B9650B16DF7A}" id="{1B3CC584-8790-44AA-B1C0-888C8764E181}">
    <text>Project On-Hold</text>
  </threadedComment>
  <threadedComment ref="V473" dT="2024-10-18T04:54:46.00" personId="{ED1D359B-D851-4826-88EF-B9650B16DF7A}" id="{1BDFC716-2DE4-4081-8481-C3F80E248C49}">
    <text>Project On-Hold</text>
  </threadedComment>
  <threadedComment ref="W473" dT="2024-10-18T04:54:46.00" personId="{ED1D359B-D851-4826-88EF-B9650B16DF7A}" id="{C4FB4317-26E3-4F9B-AB2D-A253D7A87C0C}">
    <text>Project On-Hold</text>
  </threadedComment>
  <threadedComment ref="X473" dT="2024-10-18T04:54:46.00" personId="{ED1D359B-D851-4826-88EF-B9650B16DF7A}" id="{5FD888CB-556B-4FEC-A46D-25A9A60F1A15}">
    <text>Project On-Hold</text>
  </threadedComment>
  <threadedComment ref="Y473" dT="2024-10-18T04:54:46.00" personId="{ED1D359B-D851-4826-88EF-B9650B16DF7A}" id="{BC91AAD2-92C8-4B4F-8A6C-ADEB839D3C65}">
    <text>Project On-Hold</text>
  </threadedComment>
  <threadedComment ref="Z473" dT="2024-10-18T04:54:46.00" personId="{ED1D359B-D851-4826-88EF-B9650B16DF7A}" id="{FCFEF142-C8EF-4D7D-8E86-2158D3C88EAA}">
    <text>Project On-Hold</text>
  </threadedComment>
  <threadedComment ref="AA473" dT="2024-10-18T04:54:46.00" personId="{ED1D359B-D851-4826-88EF-B9650B16DF7A}" id="{E71FC091-4D9F-41BD-8F2C-9C9395FB5E88}">
    <text>Project On-Hold</text>
  </threadedComment>
  <threadedComment ref="AB473" dT="2024-10-18T04:54:46.00" personId="{ED1D359B-D851-4826-88EF-B9650B16DF7A}" id="{154399ED-9939-4491-A687-A27A8EB8B796}">
    <text>Project On-Hold</text>
  </threadedComment>
  <threadedComment ref="AF473" dT="2024-10-18T04:54:46.00" personId="{ED1D359B-D851-4826-88EF-B9650B16DF7A}" id="{672337EE-A4F8-4CA8-94AF-01F3CDC8F98B}">
    <text>Project On-Hold</text>
  </threadedComment>
  <threadedComment ref="AH473" dT="2024-10-18T04:54:46.00" personId="{ED1D359B-D851-4826-88EF-B9650B16DF7A}" id="{3A05F679-76CF-47D9-B740-DA4ECDE14336}">
    <text>Project On-Hold</text>
  </threadedComment>
  <threadedComment ref="AJ473" dT="2024-10-17T09:51:49.13" personId="{ED1D359B-D851-4826-88EF-B9650B16DF7A}" id="{0C772C7F-76F4-48F9-BCB6-5E40CE25616D}">
    <text>Client is Inactive</text>
  </threadedComment>
  <threadedComment ref="J474" dT="2024-10-17T09:51:49.13" personId="{ED1D359B-D851-4826-88EF-B9650B16DF7A}" id="{21CA366D-1F11-48DE-9305-969DB29E4AC1}">
    <text>Client is Inactive</text>
  </threadedComment>
  <threadedComment ref="K474" dT="2024-10-17T09:51:49.13" personId="{ED1D359B-D851-4826-88EF-B9650B16DF7A}" id="{AE148E6F-B268-4270-9F44-0F2219B8F0CD}">
    <text>Client is Inactive</text>
  </threadedComment>
  <threadedComment ref="L474" dT="2024-10-17T09:51:49.13" personId="{ED1D359B-D851-4826-88EF-B9650B16DF7A}" id="{7494C5F2-C767-4E6F-8150-930B839C173E}">
    <text>Client is Inactive</text>
  </threadedComment>
  <threadedComment ref="M474" dT="2024-10-17T09:51:49.13" personId="{ED1D359B-D851-4826-88EF-B9650B16DF7A}" id="{C4677F21-7294-45F3-807C-9103441AE0FF}">
    <text>Client is Inactive</text>
  </threadedComment>
  <threadedComment ref="N474" dT="2024-10-17T09:51:49.13" personId="{ED1D359B-D851-4826-88EF-B9650B16DF7A}" id="{52753AF8-FE79-4719-AB9F-53DD653FF967}">
    <text>Client is Inactive</text>
  </threadedComment>
  <threadedComment ref="O474" dT="2024-10-17T09:51:49.13" personId="{ED1D359B-D851-4826-88EF-B9650B16DF7A}" id="{97C24BA6-20AD-4D83-878D-087EED7594E5}">
    <text>Client is Inactive</text>
  </threadedComment>
  <threadedComment ref="P474" dT="2024-10-17T09:51:49.13" personId="{ED1D359B-D851-4826-88EF-B9650B16DF7A}" id="{F956584A-A9BD-4A14-911E-7EC29318B3F3}">
    <text>Client is Inactive</text>
  </threadedComment>
  <threadedComment ref="Q474" dT="2024-10-17T09:51:49.13" personId="{ED1D359B-D851-4826-88EF-B9650B16DF7A}" id="{BD28FEFE-9738-42F4-9AF2-A8C6AC425429}">
    <text>Client is Inactive</text>
  </threadedComment>
  <threadedComment ref="R474" dT="2024-10-17T09:51:49.13" personId="{ED1D359B-D851-4826-88EF-B9650B16DF7A}" id="{E7198A75-EFB9-47D8-90DA-584DC5BF920D}">
    <text>Client is Inactive</text>
  </threadedComment>
  <threadedComment ref="S474" dT="2024-10-17T09:51:49.13" personId="{ED1D359B-D851-4826-88EF-B9650B16DF7A}" id="{7F16B340-B0E2-4E94-92FB-6B9DB63B7AB5}">
    <text>Client is Inactive</text>
  </threadedComment>
  <threadedComment ref="T474" dT="2024-10-18T04:54:46.00" personId="{ED1D359B-D851-4826-88EF-B9650B16DF7A}" id="{0691F4C7-BAAE-4BEB-A518-FAAF7DCC6B80}">
    <text>Project On-Hold</text>
  </threadedComment>
  <threadedComment ref="U474" dT="2024-10-18T04:54:46.00" personId="{ED1D359B-D851-4826-88EF-B9650B16DF7A}" id="{552A9E7F-9A05-4383-837C-F4FDF30DC36A}">
    <text>Project On-Hold</text>
  </threadedComment>
  <threadedComment ref="V474" dT="2024-10-18T04:54:46.00" personId="{ED1D359B-D851-4826-88EF-B9650B16DF7A}" id="{0356ABD2-A77E-43BF-9973-E940A2CD5D84}">
    <text>Project On-Hold</text>
  </threadedComment>
  <threadedComment ref="W474" dT="2024-10-18T04:54:46.00" personId="{ED1D359B-D851-4826-88EF-B9650B16DF7A}" id="{23FDF508-9F5D-493C-AA62-5AD59F671261}">
    <text>Project On-Hold</text>
  </threadedComment>
  <threadedComment ref="X474" dT="2024-10-18T04:54:46.00" personId="{ED1D359B-D851-4826-88EF-B9650B16DF7A}" id="{A10AD402-B905-4CCB-85B6-F931D2D6C68C}">
    <text>Project On-Hold</text>
  </threadedComment>
  <threadedComment ref="Y474" dT="2024-10-18T04:54:46.00" personId="{ED1D359B-D851-4826-88EF-B9650B16DF7A}" id="{13949973-3EB6-4A17-BB87-3B565C0C79A4}">
    <text>Project On-Hold</text>
  </threadedComment>
  <threadedComment ref="Z474" dT="2024-10-18T04:54:46.00" personId="{ED1D359B-D851-4826-88EF-B9650B16DF7A}" id="{23A4F9E0-4412-490F-A7F5-DE0D13BEE5E3}">
    <text>Project On-Hold</text>
  </threadedComment>
  <threadedComment ref="AA474" dT="2024-10-18T04:54:46.00" personId="{ED1D359B-D851-4826-88EF-B9650B16DF7A}" id="{CE6C2CBE-020D-4ECE-8843-4074E7BFC1C6}">
    <text>Project On-Hold</text>
  </threadedComment>
  <threadedComment ref="AB474" dT="2024-10-18T04:54:46.00" personId="{ED1D359B-D851-4826-88EF-B9650B16DF7A}" id="{D15389D6-07CB-4EBE-9D5E-CD6FC9E70344}">
    <text>Project On-Hold</text>
  </threadedComment>
  <threadedComment ref="AF474" dT="2024-10-18T04:54:46.00" personId="{ED1D359B-D851-4826-88EF-B9650B16DF7A}" id="{53B07662-EB2E-455C-8374-7AFF6519B446}">
    <text>Project On-Hold</text>
  </threadedComment>
  <threadedComment ref="AH474" dT="2024-10-18T04:54:46.00" personId="{ED1D359B-D851-4826-88EF-B9650B16DF7A}" id="{874619C2-A6A2-4E68-8FF6-44D40D6B17A0}">
    <text>Project On-Hold</text>
  </threadedComment>
  <threadedComment ref="AJ474" dT="2024-10-17T09:51:49.13" personId="{ED1D359B-D851-4826-88EF-B9650B16DF7A}" id="{4C1756D7-E150-44E7-AA0D-6E967563E35D}">
    <text>Client is Inactive</text>
  </threadedComment>
  <threadedComment ref="I475" dT="2024-10-18T05:46:55.17" personId="{ED1D359B-D851-4826-88EF-B9650B16DF7A}" id="{1D956F66-62EC-4EA0-9610-FBF0484BE003}">
    <text>Target Changed from Sep’24</text>
  </threadedComment>
  <threadedComment ref="J475" dT="2025-05-21T10:03:23.69" personId="{803D42D1-F8A1-4625-BA7D-02834BDCA61B}" id="{88225295-4B89-4AB6-A2C8-0BDEF9214B26}">
    <text>Validated</text>
  </threadedComment>
  <threadedComment ref="L475" dT="2025-06-19T09:42:44.55" personId="{385AE97E-DB3C-47AF-B0F4-D63AD85D52E9}" id="{D0B74905-2100-4ECF-94A8-AB656367FA2E}">
    <text>4 Joiners</text>
  </threadedComment>
  <threadedComment ref="T475" dT="2025-09-25T09:38:11.04" personId="{385AE97E-DB3C-47AF-B0F4-D63AD85D52E9}" id="{B44B236E-73DC-4B5B-8FC7-7CC783B4CAEA}">
    <text>Validated</text>
  </threadedComment>
  <threadedComment ref="J476" dT="2025-05-21T10:03:35.20" personId="{803D42D1-F8A1-4625-BA7D-02834BDCA61B}" id="{DA2BECAB-C0BC-4EDA-B08D-189F49406482}">
    <text>Validated</text>
  </threadedComment>
  <threadedComment ref="L476" dT="2025-06-19T09:43:00.85" personId="{385AE97E-DB3C-47AF-B0F4-D63AD85D52E9}" id="{ED6B68F2-D9F1-43EC-8482-025071ABF574}">
    <text>2 offers released</text>
  </threadedComment>
  <threadedComment ref="T476" dT="2025-09-25T09:38:35.72" personId="{385AE97E-DB3C-47AF-B0F4-D63AD85D52E9}" id="{9D9FA006-01A3-4D7E-9663-BD1839C961F9}">
    <text>Validated</text>
  </threadedComment>
  <threadedComment ref="L477" dT="2025-06-19T09:53:11.34" personId="{385AE97E-DB3C-47AF-B0F4-D63AD85D52E9}" id="{046DAF2E-99F0-401B-AF11-2657B99C9199}">
    <text>2 selected and 20 CV shared</text>
  </threadedComment>
  <threadedComment ref="T477" dT="2025-09-25T09:38:39.84" personId="{385AE97E-DB3C-47AF-B0F4-D63AD85D52E9}" id="{52F1C950-96DD-4B16-AF2B-0F071F827989}">
    <text>Validated</text>
  </threadedComment>
  <threadedComment ref="V477" dT="2025-10-17T08:08:07.94" personId="{385AE97E-DB3C-47AF-B0F4-D63AD85D52E9}" id="{A176B4AE-35C0-499E-8386-723769B97FCE}">
    <text>Validated</text>
  </threadedComment>
  <threadedComment ref="L478" dT="2025-06-19T09:53:46.70" personId="{385AE97E-DB3C-47AF-B0F4-D63AD85D52E9}" id="{F3BB8A17-DA9D-4548-8DA1-EA76847A3180}">
    <text>0 offer declined and 2 offer released</text>
  </threadedComment>
  <threadedComment ref="AB478" dT="2025-12-30T09:36:52.00" personId="{803D42D1-F8A1-4625-BA7D-02834BDCA61B}" id="{EBF79C9D-B044-47DB-A79D-9F165B11DF7A}">
    <text>Validated</text>
  </threadedComment>
  <threadedComment ref="L479" dT="2025-06-19T09:54:35.50" personId="{385AE97E-DB3C-47AF-B0F4-D63AD85D52E9}" id="{EB888545-B72F-43F4-9D54-969A6826E4D7}">
    <text>17 CV shortlisted and 20 CV shared</text>
  </threadedComment>
  <threadedComment ref="R479" dT="2025-08-20T07:47:17.62" personId="{385AE97E-DB3C-47AF-B0F4-D63AD85D52E9}" id="{BFED37F4-8C18-488B-8A9A-8DEEE94EAF6A}">
    <text>Validated</text>
  </threadedComment>
  <threadedComment ref="T479" dT="2025-09-25T09:38:43.16" personId="{385AE97E-DB3C-47AF-B0F4-D63AD85D52E9}" id="{997DBEFD-D09D-4564-8D9B-F93E08F6EF16}">
    <text>Validated</text>
  </threadedComment>
  <threadedComment ref="V479" dT="2025-10-17T06:22:11.39" personId="{385AE97E-DB3C-47AF-B0F4-D63AD85D52E9}" id="{6E65483E-4EA1-4559-9D56-E52AD2327C7D}">
    <text>Validated</text>
  </threadedComment>
  <threadedComment ref="R480" dT="2025-08-20T07:47:27.47" personId="{385AE97E-DB3C-47AF-B0F4-D63AD85D52E9}" id="{63E13755-053D-47C0-AE0A-19DE5353C65E}">
    <text>Validated</text>
  </threadedComment>
  <threadedComment ref="AB480" dT="2025-12-30T09:37:52.61" personId="{803D42D1-F8A1-4625-BA7D-02834BDCA61B}" id="{7975098E-9EBD-4E85-8F0B-7F52B49BA068}">
    <text>Not Validated Insufficient Data</text>
  </threadedComment>
  <threadedComment ref="J481" dT="2025-05-21T10:04:19.00" personId="{803D42D1-F8A1-4625-BA7D-02834BDCA61B}" id="{B46C82AA-E087-4D34-A318-3325929D4D3D}">
    <text>Validated</text>
  </threadedComment>
  <threadedComment ref="L481" dT="2025-06-19T09:55:18.79" personId="{385AE97E-DB3C-47AF-B0F4-D63AD85D52E9}" id="{6D22FEA2-184B-4D21-A794-7F7B8DC4FD3E}">
    <text>3 positions beyond TTF and 14 open positions</text>
  </threadedComment>
  <threadedComment ref="L483" dT="2025-06-24T08:28:53.20" personId="{803D42D1-F8A1-4625-BA7D-02834BDCA61B}" id="{DDC53E58-9F07-4CBB-9CD9-672439B442EB}">
    <text>Validated</text>
  </threadedComment>
  <threadedComment ref="N483" dT="2025-07-23T05:54:20.54" personId="{803D42D1-F8A1-4625-BA7D-02834BDCA61B}" id="{544ADDEC-A53B-4633-8A53-A371FBF8F95F}">
    <text>Validated</text>
  </threadedComment>
  <threadedComment ref="P483" dT="2025-07-23T05:54:20.54" personId="{803D42D1-F8A1-4625-BA7D-02834BDCA61B}" id="{74ACDB93-4BC4-4966-AB4F-83D5CB45DAC3}">
    <text>Validated</text>
  </threadedComment>
  <threadedComment ref="Z483" dT="2025-11-24T11:37:15.24" personId="{803D42D1-F8A1-4625-BA7D-02834BDCA61B}" id="{5AC4F8CD-8A8F-450F-A083-94BAA2F1E9F1}">
    <text>Validated</text>
  </threadedComment>
  <threadedComment ref="AB483" dT="2025-12-30T09:13:54.24" personId="{803D42D1-F8A1-4625-BA7D-02834BDCA61B}" id="{761AD98C-9E06-4B75-A653-29CC5FF0F17C}">
    <text>Validated</text>
  </threadedComment>
  <threadedComment ref="AD483" dT="2026-01-21T10:41:53.70" personId="{803D42D1-F8A1-4625-BA7D-02834BDCA61B}" id="{9CCCC4F2-5A0E-4E35-9E4E-A2FD0FAB1C0D}">
    <text>Validated</text>
  </threadedComment>
  <threadedComment ref="AF483" dT="2026-01-21T10:41:53.70" personId="{803D42D1-F8A1-4625-BA7D-02834BDCA61B}" id="{DB0E9204-DA38-4437-9F50-2B6A4F66CFE2}">
    <text>Validated</text>
  </threadedComment>
  <threadedComment ref="AJ483" dT="2026-01-21T10:41:53.70" personId="{803D42D1-F8A1-4625-BA7D-02834BDCA61B}" id="{42D15010-A91E-45AC-BDBA-BFA7A20CFA6A}">
    <text>Validated</text>
  </threadedComment>
  <threadedComment ref="AJ483" dT="2026-01-21T10:52:06.77" personId="{803D42D1-F8A1-4625-BA7D-02834BDCA61B}" id="{25ADEA61-DD6D-47C4-9F66-3489A46375EB}" parentId="{42D15010-A91E-45AC-BDBA-BFA7A20CFA6A}">
    <text>Validated</text>
  </threadedComment>
  <threadedComment ref="L484" dT="2025-06-24T08:29:05.67" personId="{803D42D1-F8A1-4625-BA7D-02834BDCA61B}" id="{D4E2B806-85DC-4237-9CA1-002954CC1A7F}">
    <text>Validated</text>
  </threadedComment>
  <threadedComment ref="N484" dT="2025-07-23T05:54:30.39" personId="{803D42D1-F8A1-4625-BA7D-02834BDCA61B}" id="{A4A92A44-1199-467B-9DED-8DEAFE736793}">
    <text>Validated</text>
  </threadedComment>
  <threadedComment ref="P484" dT="2025-07-23T05:54:30.39" personId="{803D42D1-F8A1-4625-BA7D-02834BDCA61B}" id="{CA980A22-47DC-4673-A9D1-35FAC2FE72B6}">
    <text>Validated</text>
  </threadedComment>
  <threadedComment ref="Z484" dT="2025-11-24T11:37:15.24" personId="{803D42D1-F8A1-4625-BA7D-02834BDCA61B}" id="{126E0276-2274-439A-BA06-BF91C60392B1}">
    <text>Validated</text>
  </threadedComment>
  <threadedComment ref="AB484" dT="2025-12-30T09:13:54.24" personId="{803D42D1-F8A1-4625-BA7D-02834BDCA61B}" id="{7798FC39-8C2A-4032-93FA-289176EECDB1}">
    <text>Validated</text>
  </threadedComment>
  <threadedComment ref="AD484" dT="2026-01-21T10:41:53.70" personId="{803D42D1-F8A1-4625-BA7D-02834BDCA61B}" id="{F45FBB27-E9BD-4CD0-B1DE-2AEA05017C63}">
    <text>Validated</text>
  </threadedComment>
  <threadedComment ref="AF484" dT="2026-01-21T10:41:53.70" personId="{803D42D1-F8A1-4625-BA7D-02834BDCA61B}" id="{7D0F6272-34C5-4612-B526-04F3CFF8806D}">
    <text>Validated</text>
  </threadedComment>
  <threadedComment ref="AJ484" dT="2026-01-21T10:41:53.70" personId="{803D42D1-F8A1-4625-BA7D-02834BDCA61B}" id="{7B1AA2A0-BD37-4B19-AA0B-F4E349485E60}">
    <text>Validated</text>
  </threadedComment>
  <threadedComment ref="N485" dT="2025-07-23T05:55:31.56" personId="{803D42D1-F8A1-4625-BA7D-02834BDCA61B}" id="{7892261A-4F7C-466E-AE1D-4F74917BC4A9}">
    <text>Standard number reporting every month</text>
  </threadedComment>
  <threadedComment ref="P485" dT="2025-07-23T05:55:31.56" personId="{803D42D1-F8A1-4625-BA7D-02834BDCA61B}" id="{003EBAE5-1238-47BE-A7A8-9D44CC70729C}">
    <text>Standard number reporting every month</text>
  </threadedComment>
  <threadedComment ref="Z485" dT="2025-11-24T11:40:12.73" personId="{803D42D1-F8A1-4625-BA7D-02834BDCA61B}" id="{203B659E-7907-49FD-9A9E-1C2F0EE76C7A}">
    <text xml:space="preserve">Can’t be validated. Position created on real time basis
</text>
  </threadedComment>
  <threadedComment ref="AB485" dT="2025-11-24T11:40:12.73" personId="{803D42D1-F8A1-4625-BA7D-02834BDCA61B}" id="{2A1AE12C-AEB5-4C1C-8B1B-9696F127580A}">
    <text xml:space="preserve">Can’t be validated. Position created on real time basis
</text>
  </threadedComment>
  <threadedComment ref="N486" dT="2025-07-23T05:55:52.01" personId="{803D42D1-F8A1-4625-BA7D-02834BDCA61B}" id="{F2F4D0A1-014A-4661-BABE-63D795804C95}">
    <text>Standard number reporting every month</text>
  </threadedComment>
  <threadedComment ref="P486" dT="2025-07-23T05:55:52.01" personId="{803D42D1-F8A1-4625-BA7D-02834BDCA61B}" id="{5D00D497-2CC0-443B-B353-71ABC2BDC714}">
    <text>Standard number reporting every month</text>
  </threadedComment>
  <threadedComment ref="T486" dT="2025-09-29T08:40:54.81" personId="{803D42D1-F8A1-4625-BA7D-02834BDCA61B}" id="{C62022D8-5D2D-461C-B330-AEA63C0BF892}">
    <text>Standard Number</text>
  </threadedComment>
  <threadedComment ref="V486" dT="2025-10-21T09:49:03.56" personId="{803D42D1-F8A1-4625-BA7D-02834BDCA61B}" id="{962B7519-8700-4457-9C3D-04837924506D}">
    <text>Standard Number Validation not required</text>
  </threadedComment>
  <threadedComment ref="X486" dT="2025-10-21T09:49:03.56" personId="{803D42D1-F8A1-4625-BA7D-02834BDCA61B}" id="{7B7EAD6F-5754-4DE9-90CD-80143C66D78B}">
    <text>Standard Number Validation not required</text>
  </threadedComment>
  <threadedComment ref="Z486" dT="2025-10-21T09:49:03.56" personId="{803D42D1-F8A1-4625-BA7D-02834BDCA61B}" id="{C8FA6673-24F7-4A14-A4CC-9FC40E691D8E}">
    <text>Standard Number Validation not required</text>
  </threadedComment>
  <threadedComment ref="AB486" dT="2025-10-21T09:49:03.56" personId="{803D42D1-F8A1-4625-BA7D-02834BDCA61B}" id="{F07EAF8A-DFEE-4879-80E1-10D4353B78BF}">
    <text>Standard Number Validation not required</text>
  </threadedComment>
  <threadedComment ref="T487" dT="2025-09-29T08:40:54.81" personId="{803D42D1-F8A1-4625-BA7D-02834BDCA61B}" id="{F3FA5EB3-7644-489A-87DB-F3C3AF558F5D}">
    <text>Standard Number</text>
  </threadedComment>
  <threadedComment ref="V487" dT="2025-10-21T09:49:03.56" personId="{803D42D1-F8A1-4625-BA7D-02834BDCA61B}" id="{78846E40-485C-4A20-B604-AEA42905D3FF}">
    <text>Standard Number Validation not required</text>
  </threadedComment>
  <threadedComment ref="X487" dT="2025-10-21T09:49:03.56" personId="{803D42D1-F8A1-4625-BA7D-02834BDCA61B}" id="{A0AA65E6-C793-422A-805A-1B638142D3CF}">
    <text>Standard Number Validation not required</text>
  </threadedComment>
  <threadedComment ref="Z487" dT="2025-10-21T09:49:03.56" personId="{803D42D1-F8A1-4625-BA7D-02834BDCA61B}" id="{1BDAA5AD-4D69-4AB3-9705-4320F79C2313}">
    <text>Standard Number Validation not required</text>
  </threadedComment>
  <threadedComment ref="AB487" dT="2025-10-21T09:49:03.56" personId="{803D42D1-F8A1-4625-BA7D-02834BDCA61B}" id="{3C6674A2-6A5C-46AC-85BA-955710E3FBE4}">
    <text>Standard Number Validation not required</text>
  </threadedComment>
  <threadedComment ref="I488" dT="2024-09-15T08:29:29.55" personId="{ED1D359B-D851-4826-88EF-B9650B16DF7A}" id="{13CFB393-328E-4CB6-93FE-99DCD6EB8CD6}">
    <text>Target changed from 10% to 50%</text>
  </threadedComment>
  <threadedComment ref="L488" dT="2025-06-24T08:29:58.01" personId="{803D42D1-F8A1-4625-BA7D-02834BDCA61B}" id="{0B9C32C6-B637-4131-B6B3-8DB776D69D90}">
    <text>Validated</text>
  </threadedComment>
  <threadedComment ref="Z488" dT="2025-11-24T11:37:15.24" personId="{803D42D1-F8A1-4625-BA7D-02834BDCA61B}" id="{E6328E6C-59F3-4689-88A5-7801881B3910}">
    <text>Validated</text>
  </threadedComment>
  <threadedComment ref="AB488" dT="2025-12-30T09:25:18.62" personId="{803D42D1-F8A1-4625-BA7D-02834BDCA61B}" id="{AE4335A9-B185-4C62-B9B8-3C8539B6F06B}">
    <text>Validated</text>
  </threadedComment>
  <threadedComment ref="AD488" dT="2026-01-21T10:34:55.23" personId="{803D42D1-F8A1-4625-BA7D-02834BDCA61B}" id="{5E3F293D-8903-4CEE-9283-9BDA0666922A}">
    <text>Validated</text>
  </threadedComment>
  <threadedComment ref="I489" dT="2024-09-15T08:28:49.95" personId="{ED1D359B-D851-4826-88EF-B9650B16DF7A}" id="{9FE05469-34C7-4929-ADC4-334E0619FE12}">
    <text>Target changed from 50% to 60%</text>
  </threadedComment>
  <threadedComment ref="Z489" dT="2025-11-24T11:41:32.27" personId="{803D42D1-F8A1-4625-BA7D-02834BDCA61B}" id="{45E2D1AD-F95E-4859-B3DE-CCBBBE717118}">
    <text>Can’t be validated. Position Tracker not available</text>
  </threadedComment>
  <threadedComment ref="AB489" dT="2025-12-31T08:37:57.11" personId="{ED1D359B-D851-4826-88EF-B9650B16DF7A}" id="{06E3760F-51B4-4A1D-BC91-E18472823D70}">
    <text>Not Validated. Open position data not available</text>
  </threadedComment>
  <threadedComment ref="J490" dT="2025-04-18T15:15:24.65" personId="{ED1D359B-D851-4826-88EF-B9650B16DF7A}" id="{D9250801-44B7-4881-A27C-552E64B212E0}">
    <text>42 candidates joined against of target 50</text>
  </threadedComment>
  <threadedComment ref="L490" dT="2025-06-24T08:28:28.02" personId="{803D42D1-F8A1-4625-BA7D-02834BDCA61B}" id="{2E15F0B6-D3CD-4B8B-BA41-45A09D559A48}">
    <text>39 Joined against of 23</text>
  </threadedComment>
  <threadedComment ref="N490" dT="2025-07-23T05:54:45.47" personId="{803D42D1-F8A1-4625-BA7D-02834BDCA61B}" id="{2D3046DD-5CDF-4E3D-AD73-DE432D2CA30B}">
    <text>Validated</text>
  </threadedComment>
  <threadedComment ref="P490" dT="2025-07-23T05:58:29.79" personId="{803D42D1-F8A1-4625-BA7D-02834BDCA61B}" id="{2F0DAED1-E0CA-4CD4-9E4C-5C3A656D46E7}">
    <text>Validated</text>
  </threadedComment>
  <threadedComment ref="T490" dT="2025-09-29T08:41:54.46" personId="{803D42D1-F8A1-4625-BA7D-02834BDCA61B}" id="{A8683D45-9C29-4EA4-B881-F29499EF7DB3}">
    <text>No MG clause effective from July as per new contract</text>
  </threadedComment>
  <threadedComment ref="U490" dT="2025-09-29T08:41:54.46" personId="{803D42D1-F8A1-4625-BA7D-02834BDCA61B}" id="{3F0F6A71-CC69-4CBC-B481-DEA7397FC5A9}">
    <text>No MG clause effective from July as per new contract</text>
  </threadedComment>
  <threadedComment ref="V490" dT="2025-10-21T09:50:02.77" personId="{803D42D1-F8A1-4625-BA7D-02834BDCA61B}" id="{63B2E9F7-1092-40F3-94FA-7F2A44E8480D}">
    <text>No MG clause effective from July as per new contract</text>
  </threadedComment>
  <threadedComment ref="X490" dT="2025-10-21T09:50:02.77" personId="{803D42D1-F8A1-4625-BA7D-02834BDCA61B}" id="{6CE1094D-AA8E-432F-8C1F-2CA5733C49BE}">
    <text>No MG clause effective from July as per new contract</text>
  </threadedComment>
  <threadedComment ref="Z490" dT="2025-10-21T09:50:02.77" personId="{803D42D1-F8A1-4625-BA7D-02834BDCA61B}" id="{E8C2BBD6-9020-4441-975B-78E287FA92A4}">
    <text>No MG clause effective from July as per new contract</text>
  </threadedComment>
  <threadedComment ref="AA490" dT="2025-10-21T09:50:02.77" personId="{803D42D1-F8A1-4625-BA7D-02834BDCA61B}" id="{940DC086-DFF4-42BE-881D-9E65BFF4BC83}">
    <text>No MG clause effective from July as per new contract</text>
  </threadedComment>
  <threadedComment ref="AB490" dT="2025-10-21T09:50:02.77" personId="{803D42D1-F8A1-4625-BA7D-02834BDCA61B}" id="{8E99748A-0DC9-4922-965E-863203D51C07}">
    <text>No MG clause effective from July as per new contract</text>
  </threadedComment>
  <threadedComment ref="AD490" dT="2025-10-21T09:50:02.77" personId="{803D42D1-F8A1-4625-BA7D-02834BDCA61B}" id="{8E19B5C2-6281-4F30-B41D-D9E3605E09C6}">
    <text>No MG clause effective from July as per new contract</text>
  </threadedComment>
  <threadedComment ref="AF490" dT="2025-10-21T09:50:02.77" personId="{803D42D1-F8A1-4625-BA7D-02834BDCA61B}" id="{78F77570-77F0-498D-90CE-24E46378416D}">
    <text>No MG clause effective from July as per new contract</text>
  </threadedComment>
  <threadedComment ref="AH490" dT="2025-10-21T09:50:02.77" personId="{803D42D1-F8A1-4625-BA7D-02834BDCA61B}" id="{10BBD272-DD03-493B-B203-1052D666CC5F}">
    <text>No MG clause effective from July as per new contract</text>
  </threadedComment>
  <threadedComment ref="AJ490" dT="2025-10-21T09:50:02.77" personId="{803D42D1-F8A1-4625-BA7D-02834BDCA61B}" id="{FD752E4F-1ED6-4D3E-9899-F8DD92D46712}">
    <text>No MG clause effective from July as per new contract</text>
  </threadedComment>
  <threadedComment ref="J491" dT="2024-10-18T04:54:46.00" personId="{ED1D359B-D851-4826-88EF-B9650B16DF7A}" id="{8D03B61E-E250-46E3-94C1-9365C7FE096E}">
    <text>Project On-Hold</text>
  </threadedComment>
  <threadedComment ref="K491" dT="2024-10-18T04:54:46.00" personId="{ED1D359B-D851-4826-88EF-B9650B16DF7A}" id="{307CFC67-AA7C-4C35-93BD-030E96939863}">
    <text>Project On-Hold</text>
  </threadedComment>
  <threadedComment ref="L491" dT="2024-10-18T04:54:46.00" personId="{ED1D359B-D851-4826-88EF-B9650B16DF7A}" id="{8331086F-0459-41FA-96C1-0AE9F41DAF6F}">
    <text>Project On-Hold</text>
  </threadedComment>
  <threadedComment ref="M491" dT="2024-10-18T04:54:46.00" personId="{ED1D359B-D851-4826-88EF-B9650B16DF7A}" id="{CAB9E821-6206-45A5-B9F2-122AF95B263D}">
    <text>Project On-Hold</text>
  </threadedComment>
  <threadedComment ref="N491" dT="2024-10-18T04:54:46.00" personId="{ED1D359B-D851-4826-88EF-B9650B16DF7A}" id="{8D124890-7336-46A4-919A-EAE0E67F9BAE}">
    <text>Project On-Hold</text>
  </threadedComment>
  <threadedComment ref="O491" dT="2024-10-18T04:54:46.00" personId="{ED1D359B-D851-4826-88EF-B9650B16DF7A}" id="{95339ADD-0A59-4D65-9C62-3AFDE60FFFAB}">
    <text>Project On-Hold</text>
  </threadedComment>
  <threadedComment ref="P491" dT="2024-10-18T04:54:46.00" personId="{ED1D359B-D851-4826-88EF-B9650B16DF7A}" id="{4BD1BB98-D584-448B-AD24-48B60B3A8343}">
    <text>Project On-Hold</text>
  </threadedComment>
  <threadedComment ref="Q491" dT="2024-10-18T04:54:46.00" personId="{ED1D359B-D851-4826-88EF-B9650B16DF7A}" id="{50098BD7-03E9-4DFF-B8A7-FA2DB69B17D8}">
    <text>Project On-Hold</text>
  </threadedComment>
  <threadedComment ref="R491" dT="2024-10-18T04:54:46.00" personId="{ED1D359B-D851-4826-88EF-B9650B16DF7A}" id="{AC716D42-FC2C-4BB5-92B6-1FE8C44C9296}">
    <text>Project On-Hold</text>
  </threadedComment>
  <threadedComment ref="S491" dT="2024-10-18T04:54:46.00" personId="{ED1D359B-D851-4826-88EF-B9650B16DF7A}" id="{C79B0C12-AACE-414C-B6D3-AFA9EAAA05B0}">
    <text>Project On-Hold</text>
  </threadedComment>
  <threadedComment ref="T491" dT="2024-10-18T04:54:46.00" personId="{ED1D359B-D851-4826-88EF-B9650B16DF7A}" id="{8CCB8751-AFF2-49C4-B68C-996137C70796}">
    <text>Project On-Hold</text>
  </threadedComment>
  <threadedComment ref="U491" dT="2024-10-18T04:54:46.00" personId="{ED1D359B-D851-4826-88EF-B9650B16DF7A}" id="{A052A204-EE59-432E-A78F-71F615C5AC66}">
    <text>Project On-Hold</text>
  </threadedComment>
  <threadedComment ref="V491" dT="2024-10-18T04:54:46.00" personId="{ED1D359B-D851-4826-88EF-B9650B16DF7A}" id="{F5C531F0-A7DD-40A2-97AB-E824C9E95B40}">
    <text>Project On-Hold</text>
  </threadedComment>
  <threadedComment ref="W491" dT="2024-10-18T04:54:46.00" personId="{ED1D359B-D851-4826-88EF-B9650B16DF7A}" id="{63379DD9-A7FF-4BA6-B7F8-F28D7828EC37}">
    <text>Project On-Hold</text>
  </threadedComment>
  <threadedComment ref="X491" dT="2024-10-18T04:54:46.00" personId="{ED1D359B-D851-4826-88EF-B9650B16DF7A}" id="{0B93DEEF-A396-4417-927C-89DF771C4FBE}">
    <text>Project On-Hold</text>
  </threadedComment>
  <threadedComment ref="Y491" dT="2024-10-18T04:54:46.00" personId="{ED1D359B-D851-4826-88EF-B9650B16DF7A}" id="{021CC693-5B6C-4F5D-AE25-F80D5DD7BD2A}">
    <text>Project On-Hold</text>
  </threadedComment>
  <threadedComment ref="Z491" dT="2024-10-18T04:54:46.00" personId="{ED1D359B-D851-4826-88EF-B9650B16DF7A}" id="{369B9DD6-2EEB-444F-B558-8ABCD43ABE52}">
    <text>Project On-Hold</text>
  </threadedComment>
  <threadedComment ref="AA491" dT="2024-10-18T04:54:46.00" personId="{ED1D359B-D851-4826-88EF-B9650B16DF7A}" id="{ED0A9A11-1948-420A-9C88-C45686A96986}">
    <text>Project On-Hold</text>
  </threadedComment>
  <threadedComment ref="AB491" dT="2024-10-18T04:54:46.00" personId="{ED1D359B-D851-4826-88EF-B9650B16DF7A}" id="{86D20440-0736-48DA-A2B4-15C5B0465B6E}">
    <text>Project On-Hold</text>
  </threadedComment>
  <threadedComment ref="AF491" dT="2024-10-18T04:54:46.00" personId="{ED1D359B-D851-4826-88EF-B9650B16DF7A}" id="{BF7F679B-A278-4672-B35A-CF2CEAB11FB2}">
    <text>Project On-Hold</text>
  </threadedComment>
  <threadedComment ref="AH491" dT="2024-10-18T04:54:46.00" personId="{ED1D359B-D851-4826-88EF-B9650B16DF7A}" id="{8A67163D-F711-492F-B403-2D77BD341958}">
    <text>Project On-Hold</text>
  </threadedComment>
  <threadedComment ref="AJ491" dT="2024-10-18T04:54:46.00" personId="{ED1D359B-D851-4826-88EF-B9650B16DF7A}" id="{1889950C-4487-4814-93E0-03BB0C921D75}">
    <text>Project On-Hold</text>
  </threadedComment>
  <threadedComment ref="J492" dT="2024-10-18T04:54:46.00" personId="{ED1D359B-D851-4826-88EF-B9650B16DF7A}" id="{4F611E40-3E7E-4DDD-BE34-EF45350AA984}">
    <text>Project On-Hold</text>
  </threadedComment>
  <threadedComment ref="K492" dT="2024-10-18T04:54:46.00" personId="{ED1D359B-D851-4826-88EF-B9650B16DF7A}" id="{9B66AF06-A843-47C1-B3A1-547D29A08D1A}">
    <text>Project On-Hold</text>
  </threadedComment>
  <threadedComment ref="L492" dT="2024-10-18T04:54:46.00" personId="{ED1D359B-D851-4826-88EF-B9650B16DF7A}" id="{AAC326E1-86FC-4456-8BC4-3126FE311ACC}">
    <text>Project On-Hold</text>
  </threadedComment>
  <threadedComment ref="M492" dT="2024-10-18T04:54:46.00" personId="{ED1D359B-D851-4826-88EF-B9650B16DF7A}" id="{C94412CD-ECBD-4B31-B776-D2EE996A956E}">
    <text>Project On-Hold</text>
  </threadedComment>
  <threadedComment ref="N492" dT="2024-10-18T04:54:46.00" personId="{ED1D359B-D851-4826-88EF-B9650B16DF7A}" id="{6FC20CF3-E943-432E-94E9-5F74668407A0}">
    <text>Project On-Hold</text>
  </threadedComment>
  <threadedComment ref="O492" dT="2024-10-18T04:54:46.00" personId="{ED1D359B-D851-4826-88EF-B9650B16DF7A}" id="{37A2BA13-3D5C-434C-82AE-CBC4C2B3BBE1}">
    <text>Project On-Hold</text>
  </threadedComment>
  <threadedComment ref="P492" dT="2024-10-18T04:54:46.00" personId="{ED1D359B-D851-4826-88EF-B9650B16DF7A}" id="{D99B97D8-CAB0-4FC9-89D4-77D8E345C2BF}">
    <text>Project On-Hold</text>
  </threadedComment>
  <threadedComment ref="Q492" dT="2024-10-18T04:54:46.00" personId="{ED1D359B-D851-4826-88EF-B9650B16DF7A}" id="{A3AA1F9F-BC88-4B21-8556-47E38A5235E0}">
    <text>Project On-Hold</text>
  </threadedComment>
  <threadedComment ref="R492" dT="2024-10-18T04:54:46.00" personId="{ED1D359B-D851-4826-88EF-B9650B16DF7A}" id="{EBBC9E74-B92B-486D-8671-CD08623DE3B4}">
    <text>Project On-Hold</text>
  </threadedComment>
  <threadedComment ref="S492" dT="2024-10-18T04:54:46.00" personId="{ED1D359B-D851-4826-88EF-B9650B16DF7A}" id="{99BEDDBC-C7B5-4E4A-92F2-F5CC1156572C}">
    <text>Project On-Hold</text>
  </threadedComment>
  <threadedComment ref="T492" dT="2024-10-18T04:54:46.00" personId="{ED1D359B-D851-4826-88EF-B9650B16DF7A}" id="{09B0AD44-E652-488F-AA2D-5D4522B57C71}">
    <text>Project On-Hold</text>
  </threadedComment>
  <threadedComment ref="U492" dT="2024-10-18T04:54:46.00" personId="{ED1D359B-D851-4826-88EF-B9650B16DF7A}" id="{42BDC8A5-115A-47FB-AFC5-02005D2D9CE7}">
    <text>Project On-Hold</text>
  </threadedComment>
  <threadedComment ref="V492" dT="2024-10-18T04:54:46.00" personId="{ED1D359B-D851-4826-88EF-B9650B16DF7A}" id="{1355A1BE-20AD-48E3-978F-8A822349B8CF}">
    <text>Project On-Hold</text>
  </threadedComment>
  <threadedComment ref="W492" dT="2024-10-18T04:54:46.00" personId="{ED1D359B-D851-4826-88EF-B9650B16DF7A}" id="{F218AAD2-253D-4236-AB9F-6B52C2F9CD71}">
    <text>Project On-Hold</text>
  </threadedComment>
  <threadedComment ref="X492" dT="2024-10-18T04:54:46.00" personId="{ED1D359B-D851-4826-88EF-B9650B16DF7A}" id="{5C9ACC50-C298-4F3E-8AFC-4DE1904C91B1}">
    <text>Project On-Hold</text>
  </threadedComment>
  <threadedComment ref="Y492" dT="2024-10-18T04:54:46.00" personId="{ED1D359B-D851-4826-88EF-B9650B16DF7A}" id="{F91A89EF-1619-417A-9CE9-DA673BE58595}">
    <text>Project On-Hold</text>
  </threadedComment>
  <threadedComment ref="Z492" dT="2024-10-18T04:54:46.00" personId="{ED1D359B-D851-4826-88EF-B9650B16DF7A}" id="{49021CE8-51A2-47B8-8B48-42A20850244E}">
    <text>Project On-Hold</text>
  </threadedComment>
  <threadedComment ref="AA492" dT="2024-10-18T04:54:46.00" personId="{ED1D359B-D851-4826-88EF-B9650B16DF7A}" id="{C1ACF66B-12BC-4FEB-BF00-3A5D333CCB1E}">
    <text>Project On-Hold</text>
  </threadedComment>
  <threadedComment ref="AB492" dT="2024-10-18T04:54:46.00" personId="{ED1D359B-D851-4826-88EF-B9650B16DF7A}" id="{46EBC925-08C3-4BCC-B1BD-EDF3B7B4ACA2}">
    <text>Project On-Hold</text>
  </threadedComment>
  <threadedComment ref="AF492" dT="2024-10-18T04:54:46.00" personId="{ED1D359B-D851-4826-88EF-B9650B16DF7A}" id="{CCE081CA-2CF1-49F3-908A-00663BA389B8}">
    <text>Project On-Hold</text>
  </threadedComment>
  <threadedComment ref="AH492" dT="2024-10-18T04:54:46.00" personId="{ED1D359B-D851-4826-88EF-B9650B16DF7A}" id="{856DDBCC-7D52-4A9C-B853-05830761CA0B}">
    <text>Project On-Hold</text>
  </threadedComment>
  <threadedComment ref="AJ492" dT="2024-10-18T04:54:46.00" personId="{ED1D359B-D851-4826-88EF-B9650B16DF7A}" id="{D8735571-5374-4070-8B8E-11C824424F1A}">
    <text>Project On-Hold</text>
  </threadedComment>
  <threadedComment ref="J493" dT="2024-10-18T04:54:46.00" personId="{ED1D359B-D851-4826-88EF-B9650B16DF7A}" id="{CF359C21-8993-4EE1-B671-FA2CE8497FE7}">
    <text>Project On-Hold</text>
  </threadedComment>
  <threadedComment ref="K493" dT="2024-10-18T04:54:46.00" personId="{ED1D359B-D851-4826-88EF-B9650B16DF7A}" id="{5C428627-CF34-4819-86A5-9ECBD33B0DF0}">
    <text>Project On-Hold</text>
  </threadedComment>
  <threadedComment ref="L493" dT="2024-10-18T04:54:46.00" personId="{ED1D359B-D851-4826-88EF-B9650B16DF7A}" id="{E9A8F28A-1215-49FE-BA06-F4E4DF62A6D1}">
    <text>Project On-Hold</text>
  </threadedComment>
  <threadedComment ref="M493" dT="2024-10-18T04:54:46.00" personId="{ED1D359B-D851-4826-88EF-B9650B16DF7A}" id="{91F3419D-EBA4-4568-AC03-1904089ECDCD}">
    <text>Project On-Hold</text>
  </threadedComment>
  <threadedComment ref="N493" dT="2024-10-18T04:54:46.00" personId="{ED1D359B-D851-4826-88EF-B9650B16DF7A}" id="{44C9A59E-D240-4FBD-A019-73512A272CF8}">
    <text>Project On-Hold</text>
  </threadedComment>
  <threadedComment ref="O493" dT="2024-10-18T04:54:46.00" personId="{ED1D359B-D851-4826-88EF-B9650B16DF7A}" id="{B8FB310D-CC21-4043-9639-5E9EB322D98C}">
    <text>Project On-Hold</text>
  </threadedComment>
  <threadedComment ref="P493" dT="2024-10-18T04:54:46.00" personId="{ED1D359B-D851-4826-88EF-B9650B16DF7A}" id="{E87A0E44-4EC6-4FD6-8996-2101C08573A3}">
    <text>Project On-Hold</text>
  </threadedComment>
  <threadedComment ref="Q493" dT="2024-10-18T04:54:46.00" personId="{ED1D359B-D851-4826-88EF-B9650B16DF7A}" id="{FD2D05D5-D6BA-475C-B9C3-258E41487420}">
    <text>Project On-Hold</text>
  </threadedComment>
  <threadedComment ref="R493" dT="2024-10-18T04:54:46.00" personId="{ED1D359B-D851-4826-88EF-B9650B16DF7A}" id="{2F2AAD94-9A1D-4AFE-B8C2-D25AC63031DC}">
    <text>Project On-Hold</text>
  </threadedComment>
  <threadedComment ref="S493" dT="2024-10-18T04:54:46.00" personId="{ED1D359B-D851-4826-88EF-B9650B16DF7A}" id="{E5F70DF4-7590-4739-9773-A1ADFF4D95CD}">
    <text>Project On-Hold</text>
  </threadedComment>
  <threadedComment ref="T493" dT="2024-10-18T04:54:46.00" personId="{ED1D359B-D851-4826-88EF-B9650B16DF7A}" id="{2AB6F44C-A99B-4CCE-B486-98C7CBD86F26}">
    <text>Project On-Hold</text>
  </threadedComment>
  <threadedComment ref="U493" dT="2024-10-18T04:54:46.00" personId="{ED1D359B-D851-4826-88EF-B9650B16DF7A}" id="{BE5C212F-17D4-4B53-9420-9EDC66228C81}">
    <text>Project On-Hold</text>
  </threadedComment>
  <threadedComment ref="V493" dT="2024-10-18T04:54:46.00" personId="{ED1D359B-D851-4826-88EF-B9650B16DF7A}" id="{3FEE7145-BAEB-4799-BA6A-FC5D63C5392B}">
    <text>Project On-Hold</text>
  </threadedComment>
  <threadedComment ref="W493" dT="2024-10-18T04:54:46.00" personId="{ED1D359B-D851-4826-88EF-B9650B16DF7A}" id="{3304B010-96CD-4C85-ACC3-13C6B2D14160}">
    <text>Project On-Hold</text>
  </threadedComment>
  <threadedComment ref="X493" dT="2024-10-18T04:54:46.00" personId="{ED1D359B-D851-4826-88EF-B9650B16DF7A}" id="{7AC727F8-4DBD-413E-AB13-DF7D68EAFB24}">
    <text>Project On-Hold</text>
  </threadedComment>
  <threadedComment ref="Y493" dT="2024-10-18T04:54:46.00" personId="{ED1D359B-D851-4826-88EF-B9650B16DF7A}" id="{35958A44-3286-4096-B699-48FDC57D00F9}">
    <text>Project On-Hold</text>
  </threadedComment>
  <threadedComment ref="Z493" dT="2024-10-18T04:54:46.00" personId="{ED1D359B-D851-4826-88EF-B9650B16DF7A}" id="{47355983-EB83-4D30-BB60-F7CB04799CFF}">
    <text>Project On-Hold</text>
  </threadedComment>
  <threadedComment ref="AA493" dT="2024-10-18T04:54:46.00" personId="{ED1D359B-D851-4826-88EF-B9650B16DF7A}" id="{14F39195-90EB-476A-9FFB-09711528A02D}">
    <text>Project On-Hold</text>
  </threadedComment>
  <threadedComment ref="AB493" dT="2024-10-18T04:54:46.00" personId="{ED1D359B-D851-4826-88EF-B9650B16DF7A}" id="{FE851F81-963F-4710-9BB9-6FD014A497C4}">
    <text>Project On-Hold</text>
  </threadedComment>
  <threadedComment ref="AF493" dT="2024-10-18T04:54:46.00" personId="{ED1D359B-D851-4826-88EF-B9650B16DF7A}" id="{2551B1C9-A775-4600-A9F0-41A9B6911CF7}">
    <text>Project On-Hold</text>
  </threadedComment>
  <threadedComment ref="AH493" dT="2024-10-18T04:54:46.00" personId="{ED1D359B-D851-4826-88EF-B9650B16DF7A}" id="{BDD35CF7-3711-4363-8C7B-368E6905F044}">
    <text>Project On-Hold</text>
  </threadedComment>
  <threadedComment ref="AJ493" dT="2024-10-18T04:54:46.00" personId="{ED1D359B-D851-4826-88EF-B9650B16DF7A}" id="{28B97308-905B-4347-B34C-BA85A67338F0}">
    <text>Project On-Hold</text>
  </threadedComment>
  <threadedComment ref="J494" dT="2024-10-18T04:54:46.00" personId="{ED1D359B-D851-4826-88EF-B9650B16DF7A}" id="{18C23200-9F51-45BB-9F87-89316566B0C0}">
    <text>Project On-Hold</text>
  </threadedComment>
  <threadedComment ref="K494" dT="2024-10-18T04:54:46.00" personId="{ED1D359B-D851-4826-88EF-B9650B16DF7A}" id="{A2EE96B6-C02F-4DE6-BF24-13C6B39E44C6}">
    <text>Project On-Hold</text>
  </threadedComment>
  <threadedComment ref="L494" dT="2024-10-18T04:54:46.00" personId="{ED1D359B-D851-4826-88EF-B9650B16DF7A}" id="{7391BEB3-A3C7-423F-882B-432D653FAD0A}">
    <text>Project On-Hold</text>
  </threadedComment>
  <threadedComment ref="M494" dT="2024-10-18T04:54:46.00" personId="{ED1D359B-D851-4826-88EF-B9650B16DF7A}" id="{8B831549-6EA5-4053-81AE-02ABE5D3C101}">
    <text>Project On-Hold</text>
  </threadedComment>
  <threadedComment ref="N494" dT="2024-10-18T04:54:46.00" personId="{ED1D359B-D851-4826-88EF-B9650B16DF7A}" id="{48C50B54-70E0-41F4-BC3F-5E3953F588C3}">
    <text>Project On-Hold</text>
  </threadedComment>
  <threadedComment ref="O494" dT="2024-10-18T04:54:46.00" personId="{ED1D359B-D851-4826-88EF-B9650B16DF7A}" id="{2822E87C-F579-43F1-9AA4-3540D5853261}">
    <text>Project On-Hold</text>
  </threadedComment>
  <threadedComment ref="P494" dT="2024-10-18T04:54:46.00" personId="{ED1D359B-D851-4826-88EF-B9650B16DF7A}" id="{59E56CFE-832F-40C2-A09A-01F6EF183FA9}">
    <text>Project On-Hold</text>
  </threadedComment>
  <threadedComment ref="Q494" dT="2024-10-18T04:54:46.00" personId="{ED1D359B-D851-4826-88EF-B9650B16DF7A}" id="{826E7630-0D15-4E8B-8F7F-587F797E85A9}">
    <text>Project On-Hold</text>
  </threadedComment>
  <threadedComment ref="R494" dT="2024-10-18T04:54:46.00" personId="{ED1D359B-D851-4826-88EF-B9650B16DF7A}" id="{5A97CD10-5B25-49D1-A8C0-B8FF45BB4B75}">
    <text>Project On-Hold</text>
  </threadedComment>
  <threadedComment ref="S494" dT="2024-10-18T04:54:46.00" personId="{ED1D359B-D851-4826-88EF-B9650B16DF7A}" id="{814D1D27-B008-4E18-993F-8074C4E08248}">
    <text>Project On-Hold</text>
  </threadedComment>
  <threadedComment ref="T494" dT="2024-10-18T04:54:46.00" personId="{ED1D359B-D851-4826-88EF-B9650B16DF7A}" id="{2A054FA2-8B0D-491D-BC1F-CEFB029F6991}">
    <text>Project On-Hold</text>
  </threadedComment>
  <threadedComment ref="U494" dT="2024-10-18T04:54:46.00" personId="{ED1D359B-D851-4826-88EF-B9650B16DF7A}" id="{930AFF97-E648-4DD7-93A1-4AD22D607B12}">
    <text>Project On-Hold</text>
  </threadedComment>
  <threadedComment ref="V494" dT="2024-10-18T04:54:46.00" personId="{ED1D359B-D851-4826-88EF-B9650B16DF7A}" id="{0A38CD01-1DEF-43FF-A4DC-6CA012AF3AB3}">
    <text>Project On-Hold</text>
  </threadedComment>
  <threadedComment ref="W494" dT="2024-10-18T04:54:46.00" personId="{ED1D359B-D851-4826-88EF-B9650B16DF7A}" id="{FC80A790-6B1F-444A-9F70-F8D98D246D13}">
    <text>Project On-Hold</text>
  </threadedComment>
  <threadedComment ref="X494" dT="2024-10-18T04:54:46.00" personId="{ED1D359B-D851-4826-88EF-B9650B16DF7A}" id="{DC52373D-48FA-4D72-A282-576C0ADD2FF2}">
    <text>Project On-Hold</text>
  </threadedComment>
  <threadedComment ref="Y494" dT="2024-10-18T04:54:46.00" personId="{ED1D359B-D851-4826-88EF-B9650B16DF7A}" id="{0AED67DA-30E6-4750-8F02-AA278036688F}">
    <text>Project On-Hold</text>
  </threadedComment>
  <threadedComment ref="Z494" dT="2024-10-18T04:54:46.00" personId="{ED1D359B-D851-4826-88EF-B9650B16DF7A}" id="{CBF8FCAE-E380-4352-A021-FA635331C708}">
    <text>Project On-Hold</text>
  </threadedComment>
  <threadedComment ref="AA494" dT="2024-10-18T04:54:46.00" personId="{ED1D359B-D851-4826-88EF-B9650B16DF7A}" id="{8FE9E04D-13BA-4BBC-87A1-A28BC239BD0E}">
    <text>Project On-Hold</text>
  </threadedComment>
  <threadedComment ref="AB494" dT="2024-10-18T04:54:46.00" personId="{ED1D359B-D851-4826-88EF-B9650B16DF7A}" id="{AB0B1C04-B0B8-4A83-A42C-2D4D8A4E64F4}">
    <text>Project On-Hold</text>
  </threadedComment>
  <threadedComment ref="AF494" dT="2024-10-18T04:54:46.00" personId="{ED1D359B-D851-4826-88EF-B9650B16DF7A}" id="{9F09D3F7-3C7E-449C-B1CB-B614535041AF}">
    <text>Project On-Hold</text>
  </threadedComment>
  <threadedComment ref="AH494" dT="2024-10-18T04:54:46.00" personId="{ED1D359B-D851-4826-88EF-B9650B16DF7A}" id="{373B8797-54D6-40E3-AA32-825025893B5E}">
    <text>Project On-Hold</text>
  </threadedComment>
  <threadedComment ref="AJ494" dT="2024-10-18T04:54:46.00" personId="{ED1D359B-D851-4826-88EF-B9650B16DF7A}" id="{D9CE9D80-7772-477F-96EC-DF16C23FE7B5}">
    <text>Project On-Hold</text>
  </threadedComment>
  <threadedComment ref="J495" dT="2024-10-18T04:54:46.00" personId="{ED1D359B-D851-4826-88EF-B9650B16DF7A}" id="{6BA57226-A75D-41A5-9213-B5586371A24F}">
    <text>Project On-Hold</text>
  </threadedComment>
  <threadedComment ref="K495" dT="2024-10-18T04:54:46.00" personId="{ED1D359B-D851-4826-88EF-B9650B16DF7A}" id="{7A759724-5022-4FDA-B9F0-53562AEB5602}">
    <text>Project On-Hold</text>
  </threadedComment>
  <threadedComment ref="L495" dT="2024-10-18T04:54:46.00" personId="{ED1D359B-D851-4826-88EF-B9650B16DF7A}" id="{D9986F62-D32B-4BD1-ABE3-2C0993BBC0BD}">
    <text>Project On-Hold</text>
  </threadedComment>
  <threadedComment ref="M495" dT="2024-10-18T04:54:46.00" personId="{ED1D359B-D851-4826-88EF-B9650B16DF7A}" id="{B13D3DB0-BCD0-4DB5-9B12-9CA5999E6D14}">
    <text>Project On-Hold</text>
  </threadedComment>
  <threadedComment ref="N495" dT="2024-10-18T04:54:46.00" personId="{ED1D359B-D851-4826-88EF-B9650B16DF7A}" id="{D592F8AB-3D56-4D67-902D-82E16451FCA2}">
    <text>Project On-Hold</text>
  </threadedComment>
  <threadedComment ref="O495" dT="2024-10-18T04:54:46.00" personId="{ED1D359B-D851-4826-88EF-B9650B16DF7A}" id="{0FE6D3DF-3ED2-4D42-A6C7-1EF3CA42B353}">
    <text>Project On-Hold</text>
  </threadedComment>
  <threadedComment ref="P495" dT="2024-10-18T04:54:46.00" personId="{ED1D359B-D851-4826-88EF-B9650B16DF7A}" id="{0B6DFC41-6146-4396-BCD4-EBF347D7D982}">
    <text>Project On-Hold</text>
  </threadedComment>
  <threadedComment ref="Q495" dT="2024-10-18T04:54:46.00" personId="{ED1D359B-D851-4826-88EF-B9650B16DF7A}" id="{F62C0E6F-27FE-4C55-B90F-A1940DA5E405}">
    <text>Project On-Hold</text>
  </threadedComment>
  <threadedComment ref="R495" dT="2024-10-18T04:54:46.00" personId="{ED1D359B-D851-4826-88EF-B9650B16DF7A}" id="{EA97FB58-9E03-4D87-A4F4-3DDB5D0B05BC}">
    <text>Project On-Hold</text>
  </threadedComment>
  <threadedComment ref="S495" dT="2024-10-18T04:54:46.00" personId="{ED1D359B-D851-4826-88EF-B9650B16DF7A}" id="{1B7B538B-CC9E-4EC3-870B-AA46264072DB}">
    <text>Project On-Hold</text>
  </threadedComment>
  <threadedComment ref="T495" dT="2024-10-18T04:54:46.00" personId="{ED1D359B-D851-4826-88EF-B9650B16DF7A}" id="{597BEC29-2828-4246-A48C-E4B5E662942A}">
    <text>Project On-Hold</text>
  </threadedComment>
  <threadedComment ref="U495" dT="2024-10-18T04:54:46.00" personId="{ED1D359B-D851-4826-88EF-B9650B16DF7A}" id="{11C5CCD2-8EF3-4322-9A38-8B1E4010E48D}">
    <text>Project On-Hold</text>
  </threadedComment>
  <threadedComment ref="V495" dT="2024-10-18T04:54:46.00" personId="{ED1D359B-D851-4826-88EF-B9650B16DF7A}" id="{6305D383-D609-49EE-B3C7-8A3AE043AE38}">
    <text>Project On-Hold</text>
  </threadedComment>
  <threadedComment ref="W495" dT="2024-10-18T04:54:46.00" personId="{ED1D359B-D851-4826-88EF-B9650B16DF7A}" id="{0B358A59-6A3C-4B5E-BA39-07509254045E}">
    <text>Project On-Hold</text>
  </threadedComment>
  <threadedComment ref="X495" dT="2024-10-18T04:54:46.00" personId="{ED1D359B-D851-4826-88EF-B9650B16DF7A}" id="{87F29807-EC7B-4311-BFBD-581E28F882C7}">
    <text>Project On-Hold</text>
  </threadedComment>
  <threadedComment ref="Y495" dT="2024-10-18T04:54:46.00" personId="{ED1D359B-D851-4826-88EF-B9650B16DF7A}" id="{4FC5157B-66DD-4C1B-9455-FF5B5281710D}">
    <text>Project On-Hold</text>
  </threadedComment>
  <threadedComment ref="Z495" dT="2024-10-18T04:54:46.00" personId="{ED1D359B-D851-4826-88EF-B9650B16DF7A}" id="{4CFD65AB-8826-406F-B0A8-78BE827844A9}">
    <text>Project On-Hold</text>
  </threadedComment>
  <threadedComment ref="AA495" dT="2024-10-18T04:54:46.00" personId="{ED1D359B-D851-4826-88EF-B9650B16DF7A}" id="{F630AE7A-0507-476D-A697-C1390CF13F9D}">
    <text>Project On-Hold</text>
  </threadedComment>
  <threadedComment ref="AB495" dT="2024-10-18T04:54:46.00" personId="{ED1D359B-D851-4826-88EF-B9650B16DF7A}" id="{24092D7C-D52D-450D-A62D-AF46A7FF1E67}">
    <text>Project On-Hold</text>
  </threadedComment>
  <threadedComment ref="AF495" dT="2024-10-18T04:54:46.00" personId="{ED1D359B-D851-4826-88EF-B9650B16DF7A}" id="{14C6FA34-AC0A-4289-9A0B-0E26DE77FCF2}">
    <text>Project On-Hold</text>
  </threadedComment>
  <threadedComment ref="AH495" dT="2024-10-18T04:54:46.00" personId="{ED1D359B-D851-4826-88EF-B9650B16DF7A}" id="{342DF709-954A-4E40-B5B8-FE08796AE67E}">
    <text>Project On-Hold</text>
  </threadedComment>
  <threadedComment ref="AJ495" dT="2024-10-18T04:54:46.00" personId="{ED1D359B-D851-4826-88EF-B9650B16DF7A}" id="{7D59CBF8-E2BB-4756-9E71-B6A21FC0A1B6}">
    <text>Project On-Hold</text>
  </threadedComment>
  <threadedComment ref="J496" dT="2024-10-18T04:54:46.00" personId="{ED1D359B-D851-4826-88EF-B9650B16DF7A}" id="{2D744ECC-7674-4699-B215-7E86CA93FDE2}">
    <text>Project On-Hold</text>
  </threadedComment>
  <threadedComment ref="K496" dT="2024-10-18T04:54:46.00" personId="{ED1D359B-D851-4826-88EF-B9650B16DF7A}" id="{D22E3075-5BAD-4466-A26D-64FE077C8AF5}">
    <text>Project On-Hold</text>
  </threadedComment>
  <threadedComment ref="L496" dT="2024-10-18T04:54:46.00" personId="{ED1D359B-D851-4826-88EF-B9650B16DF7A}" id="{F2316A7D-8A2A-450F-AD75-8FAFF4D49467}">
    <text>Project On-Hold</text>
  </threadedComment>
  <threadedComment ref="M496" dT="2024-10-18T04:54:46.00" personId="{ED1D359B-D851-4826-88EF-B9650B16DF7A}" id="{662FB96D-C925-4115-A56D-0268496FA6F0}">
    <text>Project On-Hold</text>
  </threadedComment>
  <threadedComment ref="N496" dT="2024-10-18T04:54:46.00" personId="{ED1D359B-D851-4826-88EF-B9650B16DF7A}" id="{B5769BC5-06F0-4526-9327-9E2DE1877E69}">
    <text>Project On-Hold</text>
  </threadedComment>
  <threadedComment ref="O496" dT="2024-10-18T04:54:46.00" personId="{ED1D359B-D851-4826-88EF-B9650B16DF7A}" id="{C09DF6E0-91AC-4E68-8B2E-C774405EB73A}">
    <text>Project On-Hold</text>
  </threadedComment>
  <threadedComment ref="P496" dT="2024-10-18T04:54:46.00" personId="{ED1D359B-D851-4826-88EF-B9650B16DF7A}" id="{148C26D4-ABDD-44CB-848F-9A0A911449D9}">
    <text>Project On-Hold</text>
  </threadedComment>
  <threadedComment ref="Q496" dT="2024-10-18T04:54:46.00" personId="{ED1D359B-D851-4826-88EF-B9650B16DF7A}" id="{9B855849-13C0-4068-90B1-1FFE2F7FA31A}">
    <text>Project On-Hold</text>
  </threadedComment>
  <threadedComment ref="R496" dT="2024-10-18T04:54:46.00" personId="{ED1D359B-D851-4826-88EF-B9650B16DF7A}" id="{8C89F3BB-35FD-4A89-9088-AEDE6FA4A765}">
    <text>Project On-Hold</text>
  </threadedComment>
  <threadedComment ref="S496" dT="2024-10-18T04:54:46.00" personId="{ED1D359B-D851-4826-88EF-B9650B16DF7A}" id="{9D48EA6C-97F2-44DB-97A8-8EF3817352B8}">
    <text>Project On-Hold</text>
  </threadedComment>
  <threadedComment ref="T496" dT="2024-10-18T04:54:46.00" personId="{ED1D359B-D851-4826-88EF-B9650B16DF7A}" id="{CBB619B8-7095-40CC-BB20-505FC493A9ED}">
    <text>Project On-Hold</text>
  </threadedComment>
  <threadedComment ref="U496" dT="2024-10-18T04:54:46.00" personId="{ED1D359B-D851-4826-88EF-B9650B16DF7A}" id="{B6F3FE0F-6B01-4704-BBBC-2277C2CE35F0}">
    <text>Project On-Hold</text>
  </threadedComment>
  <threadedComment ref="V496" dT="2024-10-18T04:54:46.00" personId="{ED1D359B-D851-4826-88EF-B9650B16DF7A}" id="{1C7A1A8B-98B2-490F-9BA8-C467A5699DB9}">
    <text>Project On-Hold</text>
  </threadedComment>
  <threadedComment ref="W496" dT="2024-10-18T04:54:46.00" personId="{ED1D359B-D851-4826-88EF-B9650B16DF7A}" id="{9F07310A-DA54-40A2-8DA9-478F50E136BA}">
    <text>Project On-Hold</text>
  </threadedComment>
  <threadedComment ref="X496" dT="2024-10-18T04:54:46.00" personId="{ED1D359B-D851-4826-88EF-B9650B16DF7A}" id="{F579E65B-4E58-49B3-BD93-B1437D6E6DFA}">
    <text>Project On-Hold</text>
  </threadedComment>
  <threadedComment ref="Y496" dT="2024-10-18T04:54:46.00" personId="{ED1D359B-D851-4826-88EF-B9650B16DF7A}" id="{B32C42E1-7E94-41CA-9491-FC03968B51B0}">
    <text>Project On-Hold</text>
  </threadedComment>
  <threadedComment ref="Z496" dT="2024-10-18T04:54:46.00" personId="{ED1D359B-D851-4826-88EF-B9650B16DF7A}" id="{B4B00BE8-4B48-4A56-B4DE-5B711C6E0DE3}">
    <text>Project On-Hold</text>
  </threadedComment>
  <threadedComment ref="AA496" dT="2024-10-18T04:54:46.00" personId="{ED1D359B-D851-4826-88EF-B9650B16DF7A}" id="{7CA9212E-8AC9-4473-A88D-6D5BC78E3FDB}">
    <text>Project On-Hold</text>
  </threadedComment>
  <threadedComment ref="AB496" dT="2024-10-18T04:54:46.00" personId="{ED1D359B-D851-4826-88EF-B9650B16DF7A}" id="{AC0C9109-B26F-44B8-BF48-90408A28FE81}">
    <text>Project On-Hold</text>
  </threadedComment>
  <threadedComment ref="AF496" dT="2024-10-18T04:54:46.00" personId="{ED1D359B-D851-4826-88EF-B9650B16DF7A}" id="{3F2373F1-3774-466A-B123-953D85E03674}">
    <text>Project On-Hold</text>
  </threadedComment>
  <threadedComment ref="AH496" dT="2024-10-18T04:54:46.00" personId="{ED1D359B-D851-4826-88EF-B9650B16DF7A}" id="{E7C0E8FD-8569-4912-B948-509C66C1862E}">
    <text>Project On-Hold</text>
  </threadedComment>
  <threadedComment ref="AJ496" dT="2024-10-18T04:54:46.00" personId="{ED1D359B-D851-4826-88EF-B9650B16DF7A}" id="{81E068B7-A640-4F1C-B7DB-97CC13042263}">
    <text>Project On-Hold</text>
  </threadedComment>
  <threadedComment ref="J497" dT="2024-10-18T04:54:46.00" personId="{ED1D359B-D851-4826-88EF-B9650B16DF7A}" id="{81FCD8EB-EEF1-41F3-9CA8-CFE791CCF2D5}">
    <text>Project On-Hold</text>
  </threadedComment>
  <threadedComment ref="K497" dT="2024-10-18T04:54:46.00" personId="{ED1D359B-D851-4826-88EF-B9650B16DF7A}" id="{54D6BF39-433C-4484-B660-FA76746F3C6D}">
    <text>Project On-Hold</text>
  </threadedComment>
  <threadedComment ref="L497" dT="2024-10-18T04:54:46.00" personId="{ED1D359B-D851-4826-88EF-B9650B16DF7A}" id="{474C1776-3E73-4DE1-B3E5-63CF147DE58A}">
    <text>Project On-Hold</text>
  </threadedComment>
  <threadedComment ref="M497" dT="2024-10-18T04:54:46.00" personId="{ED1D359B-D851-4826-88EF-B9650B16DF7A}" id="{1B720973-EA93-4C1E-9B2F-6364A7114B85}">
    <text>Project On-Hold</text>
  </threadedComment>
  <threadedComment ref="N497" dT="2024-10-18T04:54:46.00" personId="{ED1D359B-D851-4826-88EF-B9650B16DF7A}" id="{5F3265CC-E94C-4B79-8DD5-B10989DB10C0}">
    <text>Project On-Hold</text>
  </threadedComment>
  <threadedComment ref="O497" dT="2024-10-18T04:54:46.00" personId="{ED1D359B-D851-4826-88EF-B9650B16DF7A}" id="{D4B99B3C-F87D-43DF-979A-C2CFBA03DB18}">
    <text>Project On-Hold</text>
  </threadedComment>
  <threadedComment ref="P497" dT="2024-10-18T04:54:46.00" personId="{ED1D359B-D851-4826-88EF-B9650B16DF7A}" id="{FF2D4707-81F6-4AE2-8217-5C1E94CC3114}">
    <text>Project On-Hold</text>
  </threadedComment>
  <threadedComment ref="Q497" dT="2024-10-18T04:54:46.00" personId="{ED1D359B-D851-4826-88EF-B9650B16DF7A}" id="{463AE2C6-5C17-4761-8A5A-CD6829688A68}">
    <text>Project On-Hold</text>
  </threadedComment>
  <threadedComment ref="R497" dT="2024-10-18T04:54:46.00" personId="{ED1D359B-D851-4826-88EF-B9650B16DF7A}" id="{77922BA1-1563-4785-BCCD-A70D3384522B}">
    <text>Project On-Hold</text>
  </threadedComment>
  <threadedComment ref="S497" dT="2024-10-18T04:54:46.00" personId="{ED1D359B-D851-4826-88EF-B9650B16DF7A}" id="{0DDA68B2-8EA7-42BF-A88C-C3945CB6AEA2}">
    <text>Project On-Hold</text>
  </threadedComment>
  <threadedComment ref="T497" dT="2024-10-18T04:54:46.00" personId="{ED1D359B-D851-4826-88EF-B9650B16DF7A}" id="{8079E3DB-2A14-4C40-BF2D-11D664612655}">
    <text>Project On-Hold</text>
  </threadedComment>
  <threadedComment ref="U497" dT="2024-10-18T04:54:46.00" personId="{ED1D359B-D851-4826-88EF-B9650B16DF7A}" id="{8EFA4E20-EBE3-4F0E-85B5-FAE4B95AF042}">
    <text>Project On-Hold</text>
  </threadedComment>
  <threadedComment ref="V497" dT="2024-10-18T04:54:46.00" personId="{ED1D359B-D851-4826-88EF-B9650B16DF7A}" id="{2270F256-6880-4FD5-8104-873F6787C251}">
    <text>Project On-Hold</text>
  </threadedComment>
  <threadedComment ref="W497" dT="2024-10-18T04:54:46.00" personId="{ED1D359B-D851-4826-88EF-B9650B16DF7A}" id="{26376F53-948A-41E2-836E-E80D4DEEFF54}">
    <text>Project On-Hold</text>
  </threadedComment>
  <threadedComment ref="X497" dT="2024-10-18T04:54:46.00" personId="{ED1D359B-D851-4826-88EF-B9650B16DF7A}" id="{20EF5EA2-574A-4A12-ACAC-079ADF9B2526}">
    <text>Project On-Hold</text>
  </threadedComment>
  <threadedComment ref="Y497" dT="2024-10-18T04:54:46.00" personId="{ED1D359B-D851-4826-88EF-B9650B16DF7A}" id="{5E00465A-E6A0-4946-A730-EA3725391B1A}">
    <text>Project On-Hold</text>
  </threadedComment>
  <threadedComment ref="Z497" dT="2024-10-18T04:54:46.00" personId="{ED1D359B-D851-4826-88EF-B9650B16DF7A}" id="{19F18706-4FC6-4D9D-83CD-4BDAC40D3908}">
    <text>Project On-Hold</text>
  </threadedComment>
  <threadedComment ref="AA497" dT="2024-10-18T04:54:46.00" personId="{ED1D359B-D851-4826-88EF-B9650B16DF7A}" id="{800E288C-77AD-42A3-8D94-883BE451EF4C}">
    <text>Project On-Hold</text>
  </threadedComment>
  <threadedComment ref="AB497" dT="2024-10-18T04:54:46.00" personId="{ED1D359B-D851-4826-88EF-B9650B16DF7A}" id="{45530752-B37C-4267-821B-4E94D1844CB1}">
    <text>Project On-Hold</text>
  </threadedComment>
  <threadedComment ref="AF497" dT="2024-10-18T04:54:46.00" personId="{ED1D359B-D851-4826-88EF-B9650B16DF7A}" id="{2D6F6B38-0EB3-4D99-9479-E459955C5C11}">
    <text>Project On-Hold</text>
  </threadedComment>
  <threadedComment ref="AH497" dT="2024-10-18T04:54:46.00" personId="{ED1D359B-D851-4826-88EF-B9650B16DF7A}" id="{3B3B3F9C-72A5-41A0-85B6-221BB75DEFAF}">
    <text>Project On-Hold</text>
  </threadedComment>
  <threadedComment ref="AJ497" dT="2024-10-18T04:54:46.00" personId="{ED1D359B-D851-4826-88EF-B9650B16DF7A}" id="{BDF3D88A-23B9-4CEA-8AF6-B6A59B8687CA}">
    <text>Project On-Hold</text>
  </threadedComment>
  <threadedComment ref="J498" dT="2024-10-18T04:54:46.00" personId="{ED1D359B-D851-4826-88EF-B9650B16DF7A}" id="{100F4787-2DF8-4D1B-A674-20E8BF6824A5}">
    <text>Project On-Hold</text>
  </threadedComment>
  <threadedComment ref="K498" dT="2024-10-18T04:54:46.00" personId="{ED1D359B-D851-4826-88EF-B9650B16DF7A}" id="{139732E3-A243-44D7-9608-D23BC8CF2AC7}">
    <text>Project On-Hold</text>
  </threadedComment>
  <threadedComment ref="L498" dT="2024-10-18T04:54:46.00" personId="{ED1D359B-D851-4826-88EF-B9650B16DF7A}" id="{6A328234-C019-40D4-8864-EE757D18F858}">
    <text>Project On-Hold</text>
  </threadedComment>
  <threadedComment ref="M498" dT="2024-10-18T04:54:46.00" personId="{ED1D359B-D851-4826-88EF-B9650B16DF7A}" id="{FA2CD7A0-65DC-40D2-BF39-0E568A58FF49}">
    <text>Project On-Hold</text>
  </threadedComment>
  <threadedComment ref="N498" dT="2024-10-18T04:54:46.00" personId="{ED1D359B-D851-4826-88EF-B9650B16DF7A}" id="{1A909D16-0A9C-46D8-A09B-686E66439B26}">
    <text>Project On-Hold</text>
  </threadedComment>
  <threadedComment ref="O498" dT="2024-10-18T04:54:46.00" personId="{ED1D359B-D851-4826-88EF-B9650B16DF7A}" id="{AE9DCA50-B6CF-44C5-A09D-AA7BEC140544}">
    <text>Project On-Hold</text>
  </threadedComment>
  <threadedComment ref="P498" dT="2024-10-18T04:54:46.00" personId="{ED1D359B-D851-4826-88EF-B9650B16DF7A}" id="{E6047F52-A524-4A93-956B-732E070DD331}">
    <text>Project On-Hold</text>
  </threadedComment>
  <threadedComment ref="Q498" dT="2024-10-18T04:54:46.00" personId="{ED1D359B-D851-4826-88EF-B9650B16DF7A}" id="{C3A3442F-C361-48D4-BE31-8E5828529D54}">
    <text>Project On-Hold</text>
  </threadedComment>
  <threadedComment ref="R498" dT="2024-10-18T04:54:46.00" personId="{ED1D359B-D851-4826-88EF-B9650B16DF7A}" id="{B2DA567A-E282-4A30-919B-2D7BD547AC73}">
    <text>Project On-Hold</text>
  </threadedComment>
  <threadedComment ref="S498" dT="2024-10-18T04:54:46.00" personId="{ED1D359B-D851-4826-88EF-B9650B16DF7A}" id="{3E21DB60-2180-4E4B-985E-5858C812FF4F}">
    <text>Project On-Hold</text>
  </threadedComment>
  <threadedComment ref="T498" dT="2024-10-18T04:54:46.00" personId="{ED1D359B-D851-4826-88EF-B9650B16DF7A}" id="{0335DB98-F52E-42E1-AA54-F4D7AB9DDCEF}">
    <text>Project On-Hold</text>
  </threadedComment>
  <threadedComment ref="U498" dT="2024-10-18T04:54:46.00" personId="{ED1D359B-D851-4826-88EF-B9650B16DF7A}" id="{50C0325E-028F-4009-943C-EF0A9D0A8BF5}">
    <text>Project On-Hold</text>
  </threadedComment>
  <threadedComment ref="V498" dT="2024-10-18T04:54:46.00" personId="{ED1D359B-D851-4826-88EF-B9650B16DF7A}" id="{79B44F7F-2DA4-49A4-B9E3-5B4F06FAEA4E}">
    <text>Project On-Hold</text>
  </threadedComment>
  <threadedComment ref="W498" dT="2024-10-18T04:54:46.00" personId="{ED1D359B-D851-4826-88EF-B9650B16DF7A}" id="{0F346CA8-4A59-4D0D-8BFF-382C2C9DD18E}">
    <text>Project On-Hold</text>
  </threadedComment>
  <threadedComment ref="X498" dT="2024-10-18T04:54:46.00" personId="{ED1D359B-D851-4826-88EF-B9650B16DF7A}" id="{EA97A3F4-3164-4DD2-A871-9D11A64E9429}">
    <text>Project On-Hold</text>
  </threadedComment>
  <threadedComment ref="Y498" dT="2024-10-18T04:54:46.00" personId="{ED1D359B-D851-4826-88EF-B9650B16DF7A}" id="{ECBFE268-0366-4B98-B496-C5C77A47F995}">
    <text>Project On-Hold</text>
  </threadedComment>
  <threadedComment ref="Z498" dT="2024-10-18T04:54:46.00" personId="{ED1D359B-D851-4826-88EF-B9650B16DF7A}" id="{F6AB0F70-7F17-45F2-AFE3-F2A252670A16}">
    <text>Project On-Hold</text>
  </threadedComment>
  <threadedComment ref="AA498" dT="2024-10-18T04:54:46.00" personId="{ED1D359B-D851-4826-88EF-B9650B16DF7A}" id="{F0EF5EFB-19DE-423E-A1C0-DB92BEB7CAF2}">
    <text>Project On-Hold</text>
  </threadedComment>
  <threadedComment ref="AB498" dT="2024-10-18T04:54:46.00" personId="{ED1D359B-D851-4826-88EF-B9650B16DF7A}" id="{7F6D9A73-C3E2-42C1-858A-2350036CC8E5}">
    <text>Project On-Hold</text>
  </threadedComment>
  <threadedComment ref="AF498" dT="2024-10-18T04:54:46.00" personId="{ED1D359B-D851-4826-88EF-B9650B16DF7A}" id="{02CA8A83-0B49-4092-92FA-95D3C52E6BA1}">
    <text>Project On-Hold</text>
  </threadedComment>
  <threadedComment ref="AH498" dT="2024-10-18T04:54:46.00" personId="{ED1D359B-D851-4826-88EF-B9650B16DF7A}" id="{5BD7C2DD-1A2A-4FD7-A5AC-650CEFEE7063}">
    <text>Project On-Hold</text>
  </threadedComment>
  <threadedComment ref="AJ498" dT="2024-10-18T04:54:46.00" personId="{ED1D359B-D851-4826-88EF-B9650B16DF7A}" id="{C8CE1ED7-F90D-471E-8958-C81C585753E7}">
    <text>Project On-Hold</text>
  </threadedComment>
  <threadedComment ref="J499" dT="2024-10-18T04:54:46.00" personId="{ED1D359B-D851-4826-88EF-B9650B16DF7A}" id="{8DC4DEB9-DA18-444D-875B-9837BBF016A3}">
    <text>Project On-Hold</text>
  </threadedComment>
  <threadedComment ref="K499" dT="2024-10-18T04:54:46.00" personId="{ED1D359B-D851-4826-88EF-B9650B16DF7A}" id="{2C6A3172-AA25-4055-918D-EADF255A948B}">
    <text>Project On-Hold</text>
  </threadedComment>
  <threadedComment ref="L499" dT="2024-10-18T04:54:46.00" personId="{ED1D359B-D851-4826-88EF-B9650B16DF7A}" id="{B1C0F67A-7733-4ED6-8E0D-3AC562567BA1}">
    <text>Project On-Hold</text>
  </threadedComment>
  <threadedComment ref="M499" dT="2024-10-18T04:54:46.00" personId="{ED1D359B-D851-4826-88EF-B9650B16DF7A}" id="{EF35DB83-98D6-47F7-9A04-88AFE98AF787}">
    <text>Project On-Hold</text>
  </threadedComment>
  <threadedComment ref="N499" dT="2024-10-18T04:54:46.00" personId="{ED1D359B-D851-4826-88EF-B9650B16DF7A}" id="{00D7593F-1329-45C4-B5B3-78D4E53F763A}">
    <text>Project On-Hold</text>
  </threadedComment>
  <threadedComment ref="O499" dT="2024-10-18T04:54:46.00" personId="{ED1D359B-D851-4826-88EF-B9650B16DF7A}" id="{FB858779-EF47-4263-AF54-BDC533CCDD95}">
    <text>Project On-Hold</text>
  </threadedComment>
  <threadedComment ref="P499" dT="2024-10-18T04:54:46.00" personId="{ED1D359B-D851-4826-88EF-B9650B16DF7A}" id="{BD5371EF-D1E6-46E9-B765-EDA6899F1E6D}">
    <text>Project On-Hold</text>
  </threadedComment>
  <threadedComment ref="Q499" dT="2024-10-18T04:54:46.00" personId="{ED1D359B-D851-4826-88EF-B9650B16DF7A}" id="{5B68E199-A056-47E1-927F-FC8A5669E426}">
    <text>Project On-Hold</text>
  </threadedComment>
  <threadedComment ref="R499" dT="2024-10-18T04:54:46.00" personId="{ED1D359B-D851-4826-88EF-B9650B16DF7A}" id="{069C3CCC-70C0-4684-9048-AD387A7DD05A}">
    <text>Project On-Hold</text>
  </threadedComment>
  <threadedComment ref="S499" dT="2024-10-18T04:54:46.00" personId="{ED1D359B-D851-4826-88EF-B9650B16DF7A}" id="{F387585A-C294-44FA-A960-EB98DDFE8EEB}">
    <text>Project On-Hold</text>
  </threadedComment>
  <threadedComment ref="T499" dT="2024-10-18T04:54:46.00" personId="{ED1D359B-D851-4826-88EF-B9650B16DF7A}" id="{6F534E22-4E58-4AF0-88EB-2D3B27F9E140}">
    <text>Project On-Hold</text>
  </threadedComment>
  <threadedComment ref="U499" dT="2024-10-18T04:54:46.00" personId="{ED1D359B-D851-4826-88EF-B9650B16DF7A}" id="{246E4A6F-3D67-4F86-B01E-A5CBB5821A5C}">
    <text>Project On-Hold</text>
  </threadedComment>
  <threadedComment ref="V499" dT="2024-10-18T04:54:46.00" personId="{ED1D359B-D851-4826-88EF-B9650B16DF7A}" id="{9FF57B07-2A16-4F1B-B5D9-8D19C5F034DE}">
    <text>Project On-Hold</text>
  </threadedComment>
  <threadedComment ref="W499" dT="2024-10-18T04:54:46.00" personId="{ED1D359B-D851-4826-88EF-B9650B16DF7A}" id="{969D371F-B3F2-4441-8A52-975EC21E8DBF}">
    <text>Project On-Hold</text>
  </threadedComment>
  <threadedComment ref="X499" dT="2024-10-18T04:54:46.00" personId="{ED1D359B-D851-4826-88EF-B9650B16DF7A}" id="{AF2E03AE-F3D9-4993-BBD1-20D7199D82D8}">
    <text>Project On-Hold</text>
  </threadedComment>
  <threadedComment ref="Y499" dT="2024-10-18T04:54:46.00" personId="{ED1D359B-D851-4826-88EF-B9650B16DF7A}" id="{595E3797-45C1-433B-A60F-F004105E54C9}">
    <text>Project On-Hold</text>
  </threadedComment>
  <threadedComment ref="Z499" dT="2024-10-18T04:54:46.00" personId="{ED1D359B-D851-4826-88EF-B9650B16DF7A}" id="{1A4C1CDA-B6FA-471E-BFAC-D7B7C7188570}">
    <text>Project On-Hold</text>
  </threadedComment>
  <threadedComment ref="AA499" dT="2024-10-18T04:54:46.00" personId="{ED1D359B-D851-4826-88EF-B9650B16DF7A}" id="{F11C67E2-1EDC-49FC-B928-E7771AD3EF70}">
    <text>Project On-Hold</text>
  </threadedComment>
  <threadedComment ref="AB499" dT="2024-10-18T04:54:46.00" personId="{ED1D359B-D851-4826-88EF-B9650B16DF7A}" id="{16F469F0-75ED-4BBF-A1E4-32CC98B034BC}">
    <text>Project On-Hold</text>
  </threadedComment>
  <threadedComment ref="AF499" dT="2024-10-18T04:54:46.00" personId="{ED1D359B-D851-4826-88EF-B9650B16DF7A}" id="{A4551770-8219-41E7-A358-0B9D6AC883FF}">
    <text>Project On-Hold</text>
  </threadedComment>
  <threadedComment ref="AH499" dT="2024-10-18T04:54:46.00" personId="{ED1D359B-D851-4826-88EF-B9650B16DF7A}" id="{3260D0C5-3684-48E1-A66F-41ED21BB040F}">
    <text>Project On-Hold</text>
  </threadedComment>
  <threadedComment ref="AJ499" dT="2024-10-18T04:54:46.00" personId="{ED1D359B-D851-4826-88EF-B9650B16DF7A}" id="{D2A9FFDD-1B95-4B1F-90C5-E4DBB0C4B4B2}">
    <text>Project On-Hold</text>
  </threadedComment>
  <threadedComment ref="J500" dT="2024-10-18T04:54:46.00" personId="{ED1D359B-D851-4826-88EF-B9650B16DF7A}" id="{8EF4ACF6-934D-4AC4-9856-87DDBB591A6D}">
    <text>Project On-Hold</text>
  </threadedComment>
  <threadedComment ref="K500" dT="2024-10-18T04:54:46.00" personId="{ED1D359B-D851-4826-88EF-B9650B16DF7A}" id="{27A45315-5F09-4808-87AC-48E8FFBE91F4}">
    <text>Project On-Hold</text>
  </threadedComment>
  <threadedComment ref="L500" dT="2024-10-18T04:54:46.00" personId="{ED1D359B-D851-4826-88EF-B9650B16DF7A}" id="{9F8D6BE8-2D54-464C-8A8B-6E4B95270DE1}">
    <text>Project On-Hold</text>
  </threadedComment>
  <threadedComment ref="M500" dT="2024-10-18T04:54:46.00" personId="{ED1D359B-D851-4826-88EF-B9650B16DF7A}" id="{A78DA711-D40B-4DF8-8AC9-AC816DEA3C7B}">
    <text>Project On-Hold</text>
  </threadedComment>
  <threadedComment ref="N500" dT="2024-10-18T04:54:46.00" personId="{ED1D359B-D851-4826-88EF-B9650B16DF7A}" id="{89FC5258-9EF3-4934-AE4C-F541B56527D0}">
    <text>Project On-Hold</text>
  </threadedComment>
  <threadedComment ref="O500" dT="2024-10-18T04:54:46.00" personId="{ED1D359B-D851-4826-88EF-B9650B16DF7A}" id="{95BE64A0-5711-425A-B983-96602C738679}">
    <text>Project On-Hold</text>
  </threadedComment>
  <threadedComment ref="P500" dT="2024-10-18T04:54:46.00" personId="{ED1D359B-D851-4826-88EF-B9650B16DF7A}" id="{81256FE2-CCCB-406A-9A34-E5E3010BFE85}">
    <text>Project On-Hold</text>
  </threadedComment>
  <threadedComment ref="Q500" dT="2024-10-18T04:54:46.00" personId="{ED1D359B-D851-4826-88EF-B9650B16DF7A}" id="{076B4C56-A806-48FF-B070-16A76EE73A41}">
    <text>Project On-Hold</text>
  </threadedComment>
  <threadedComment ref="R500" dT="2024-10-18T04:54:46.00" personId="{ED1D359B-D851-4826-88EF-B9650B16DF7A}" id="{3521A6E7-80D2-49E3-AF6F-3B2F10782D46}">
    <text>Project On-Hold</text>
  </threadedComment>
  <threadedComment ref="S500" dT="2024-10-18T04:54:46.00" personId="{ED1D359B-D851-4826-88EF-B9650B16DF7A}" id="{4A0E1F4F-A9F1-45CA-A6FC-7C542F9DFF54}">
    <text>Project On-Hold</text>
  </threadedComment>
  <threadedComment ref="T500" dT="2024-10-18T04:54:46.00" personId="{ED1D359B-D851-4826-88EF-B9650B16DF7A}" id="{83FBF9B1-BEA9-459E-AAB0-DC2481694C97}">
    <text>Project On-Hold</text>
  </threadedComment>
  <threadedComment ref="U500" dT="2024-10-18T04:54:46.00" personId="{ED1D359B-D851-4826-88EF-B9650B16DF7A}" id="{6C8A2250-8EA1-42F8-BE5C-E58203B0F3F8}">
    <text>Project On-Hold</text>
  </threadedComment>
  <threadedComment ref="V500" dT="2024-10-18T04:54:46.00" personId="{ED1D359B-D851-4826-88EF-B9650B16DF7A}" id="{CC150763-5FBE-44FF-BF77-98D89BB9627F}">
    <text>Project On-Hold</text>
  </threadedComment>
  <threadedComment ref="W500" dT="2024-10-18T04:54:46.00" personId="{ED1D359B-D851-4826-88EF-B9650B16DF7A}" id="{ECD65256-1E65-401C-89C4-31FD9EB62DE0}">
    <text>Project On-Hold</text>
  </threadedComment>
  <threadedComment ref="X500" dT="2024-10-18T04:54:46.00" personId="{ED1D359B-D851-4826-88EF-B9650B16DF7A}" id="{B4983012-428F-4E31-B2C5-C2C0CE679897}">
    <text>Project On-Hold</text>
  </threadedComment>
  <threadedComment ref="Y500" dT="2024-10-18T04:54:46.00" personId="{ED1D359B-D851-4826-88EF-B9650B16DF7A}" id="{8E4ED8C5-425D-4E03-A714-484F23EE9DA8}">
    <text>Project On-Hold</text>
  </threadedComment>
  <threadedComment ref="Z500" dT="2024-10-18T04:54:46.00" personId="{ED1D359B-D851-4826-88EF-B9650B16DF7A}" id="{01EB7C10-1793-4262-8FC4-1C1BF645D0A8}">
    <text>Project On-Hold</text>
  </threadedComment>
  <threadedComment ref="AA500" dT="2024-10-18T04:54:46.00" personId="{ED1D359B-D851-4826-88EF-B9650B16DF7A}" id="{4093F4B6-8DD6-45B8-AAE2-A10B7F275DD4}">
    <text>Project On-Hold</text>
  </threadedComment>
  <threadedComment ref="AB500" dT="2024-10-18T04:54:46.00" personId="{ED1D359B-D851-4826-88EF-B9650B16DF7A}" id="{EB06C93B-3C38-4D24-9A60-E7249A15A00A}">
    <text>Project On-Hold</text>
  </threadedComment>
  <threadedComment ref="AF500" dT="2024-10-18T04:54:46.00" personId="{ED1D359B-D851-4826-88EF-B9650B16DF7A}" id="{9F2A1E20-EDF5-42F7-82D6-08835EDE7C00}">
    <text>Project On-Hold</text>
  </threadedComment>
  <threadedComment ref="AH500" dT="2024-10-18T04:54:46.00" personId="{ED1D359B-D851-4826-88EF-B9650B16DF7A}" id="{17DB3F65-5314-45E3-BD31-68BB67A59F5A}">
    <text>Project On-Hold</text>
  </threadedComment>
  <threadedComment ref="AJ500" dT="2024-10-18T04:54:46.00" personId="{ED1D359B-D851-4826-88EF-B9650B16DF7A}" id="{BF6B728D-B5FA-45BE-9E51-9F00D9EE6634}">
    <text>Project On-Hold</text>
  </threadedComment>
  <threadedComment ref="J501" dT="2024-10-18T04:54:46.00" personId="{ED1D359B-D851-4826-88EF-B9650B16DF7A}" id="{BD89EEF6-980B-402E-98C0-0B774C741600}">
    <text>Project On-Hold</text>
  </threadedComment>
  <threadedComment ref="K501" dT="2024-10-18T04:54:46.00" personId="{ED1D359B-D851-4826-88EF-B9650B16DF7A}" id="{AB9C17CD-299A-443B-9A32-78D9BE87ED4E}">
    <text>Project On-Hold</text>
  </threadedComment>
  <threadedComment ref="L501" dT="2024-10-18T04:54:46.00" personId="{ED1D359B-D851-4826-88EF-B9650B16DF7A}" id="{1608F26C-BA1F-4156-8142-16764A7AED6E}">
    <text>Project On-Hold</text>
  </threadedComment>
  <threadedComment ref="M501" dT="2024-10-18T04:54:46.00" personId="{ED1D359B-D851-4826-88EF-B9650B16DF7A}" id="{D92177D6-92CF-4009-BFC3-025F6F5EAE28}">
    <text>Project On-Hold</text>
  </threadedComment>
  <threadedComment ref="N501" dT="2024-10-18T04:54:46.00" personId="{ED1D359B-D851-4826-88EF-B9650B16DF7A}" id="{9BC28A26-4CF7-4F3C-9423-0C835B410449}">
    <text>Project On-Hold</text>
  </threadedComment>
  <threadedComment ref="O501" dT="2024-10-18T04:54:46.00" personId="{ED1D359B-D851-4826-88EF-B9650B16DF7A}" id="{54CBF2DE-2E89-4035-8B09-C9E602C28FE3}">
    <text>Project On-Hold</text>
  </threadedComment>
  <threadedComment ref="P501" dT="2024-10-18T04:54:46.00" personId="{ED1D359B-D851-4826-88EF-B9650B16DF7A}" id="{D5EBAA9A-A4DF-4F3E-9E56-9486B8C7A138}">
    <text>Project On-Hold</text>
  </threadedComment>
  <threadedComment ref="Q501" dT="2024-10-18T04:54:46.00" personId="{ED1D359B-D851-4826-88EF-B9650B16DF7A}" id="{A1687B90-AEAB-4BE7-9054-C3EA14E5F49E}">
    <text>Project On-Hold</text>
  </threadedComment>
  <threadedComment ref="R501" dT="2024-10-18T04:54:46.00" personId="{ED1D359B-D851-4826-88EF-B9650B16DF7A}" id="{E194F053-24B5-411E-AC15-668918A1A7B3}">
    <text>Project On-Hold</text>
  </threadedComment>
  <threadedComment ref="S501" dT="2024-10-18T04:54:46.00" personId="{ED1D359B-D851-4826-88EF-B9650B16DF7A}" id="{ADFD6CAA-FD1F-425B-B1F2-09C3A4DCBC7B}">
    <text>Project On-Hold</text>
  </threadedComment>
  <threadedComment ref="T501" dT="2024-10-18T04:54:46.00" personId="{ED1D359B-D851-4826-88EF-B9650B16DF7A}" id="{35129AC6-7E38-41E0-8DD7-F2E6490A3341}">
    <text>Project On-Hold</text>
  </threadedComment>
  <threadedComment ref="U501" dT="2024-10-18T04:54:46.00" personId="{ED1D359B-D851-4826-88EF-B9650B16DF7A}" id="{F7C57706-7474-45A9-8204-A14F63691A8A}">
    <text>Project On-Hold</text>
  </threadedComment>
  <threadedComment ref="V501" dT="2024-10-18T04:54:46.00" personId="{ED1D359B-D851-4826-88EF-B9650B16DF7A}" id="{D9A1590A-FA19-4509-A33E-CF7F3BA0FF2F}">
    <text>Project On-Hold</text>
  </threadedComment>
  <threadedComment ref="W501" dT="2024-10-18T04:54:46.00" personId="{ED1D359B-D851-4826-88EF-B9650B16DF7A}" id="{A2612FE7-0FAD-477D-AE95-5D172B528D25}">
    <text>Project On-Hold</text>
  </threadedComment>
  <threadedComment ref="X501" dT="2024-10-18T04:54:46.00" personId="{ED1D359B-D851-4826-88EF-B9650B16DF7A}" id="{B580EA7C-C552-469C-A2F0-AA5252F12658}">
    <text>Project On-Hold</text>
  </threadedComment>
  <threadedComment ref="Y501" dT="2024-10-18T04:54:46.00" personId="{ED1D359B-D851-4826-88EF-B9650B16DF7A}" id="{AE971CBD-80DB-4473-9CA7-2F33A23710DD}">
    <text>Project On-Hold</text>
  </threadedComment>
  <threadedComment ref="Z501" dT="2024-10-18T04:54:46.00" personId="{ED1D359B-D851-4826-88EF-B9650B16DF7A}" id="{74429930-9A41-437A-BFEC-A947910A1827}">
    <text>Project On-Hold</text>
  </threadedComment>
  <threadedComment ref="AA501" dT="2024-10-18T04:54:46.00" personId="{ED1D359B-D851-4826-88EF-B9650B16DF7A}" id="{AB70B690-E5F5-437F-ADAC-9B9C57971709}">
    <text>Project On-Hold</text>
  </threadedComment>
  <threadedComment ref="AB501" dT="2024-10-18T04:54:46.00" personId="{ED1D359B-D851-4826-88EF-B9650B16DF7A}" id="{C1BA0A63-2854-4E83-B846-DB81604F92E7}">
    <text>Project On-Hold</text>
  </threadedComment>
  <threadedComment ref="AF501" dT="2024-10-18T04:54:46.00" personId="{ED1D359B-D851-4826-88EF-B9650B16DF7A}" id="{85670370-8FD0-4DD2-B35E-3DDE97DD583B}">
    <text>Project On-Hold</text>
  </threadedComment>
  <threadedComment ref="AH501" dT="2024-10-18T04:54:46.00" personId="{ED1D359B-D851-4826-88EF-B9650B16DF7A}" id="{76229769-6504-429E-84D2-876BC077977B}">
    <text>Project On-Hold</text>
  </threadedComment>
  <threadedComment ref="AJ501" dT="2024-10-18T04:54:46.00" personId="{ED1D359B-D851-4826-88EF-B9650B16DF7A}" id="{FCA51EDA-BDE5-4973-86E3-C3C7D9A79FFB}">
    <text>Project On-Hold</text>
  </threadedComment>
  <threadedComment ref="J502" dT="2024-10-18T04:54:46.00" personId="{ED1D359B-D851-4826-88EF-B9650B16DF7A}" id="{48E75936-1532-47E2-9D72-79A049DA6CFB}">
    <text>Project On-Hold</text>
  </threadedComment>
  <threadedComment ref="K502" dT="2024-10-18T04:54:46.00" personId="{ED1D359B-D851-4826-88EF-B9650B16DF7A}" id="{87B0B2FE-ADC2-42E7-97E6-702A8F2E778D}">
    <text>Project On-Hold</text>
  </threadedComment>
  <threadedComment ref="L502" dT="2024-10-18T04:54:46.00" personId="{ED1D359B-D851-4826-88EF-B9650B16DF7A}" id="{520E6AEB-A4C1-413B-8150-01203A2F7675}">
    <text>Project On-Hold</text>
  </threadedComment>
  <threadedComment ref="M502" dT="2024-10-18T04:54:46.00" personId="{ED1D359B-D851-4826-88EF-B9650B16DF7A}" id="{662E7DED-C757-4DAF-919D-88C23DDE5409}">
    <text>Project On-Hold</text>
  </threadedComment>
  <threadedComment ref="N502" dT="2024-10-18T04:54:46.00" personId="{ED1D359B-D851-4826-88EF-B9650B16DF7A}" id="{BC9D26A5-1C5B-496A-95C3-A0BCCA654328}">
    <text>Project On-Hold</text>
  </threadedComment>
  <threadedComment ref="O502" dT="2024-10-18T04:54:46.00" personId="{ED1D359B-D851-4826-88EF-B9650B16DF7A}" id="{5942CE8D-36C2-4B76-A983-E464A98E7075}">
    <text>Project On-Hold</text>
  </threadedComment>
  <threadedComment ref="P502" dT="2024-10-18T04:54:46.00" personId="{ED1D359B-D851-4826-88EF-B9650B16DF7A}" id="{1265EBB6-9AAB-49DD-A3A8-EB07D35DE79E}">
    <text>Project On-Hold</text>
  </threadedComment>
  <threadedComment ref="Q502" dT="2024-10-18T04:54:46.00" personId="{ED1D359B-D851-4826-88EF-B9650B16DF7A}" id="{6DC6B66A-1532-4FFA-9B35-046CD4EA3526}">
    <text>Project On-Hold</text>
  </threadedComment>
  <threadedComment ref="R502" dT="2024-10-18T04:54:46.00" personId="{ED1D359B-D851-4826-88EF-B9650B16DF7A}" id="{F8778A26-387D-46AD-BB2A-6BCC9419D5B1}">
    <text>Project On-Hold</text>
  </threadedComment>
  <threadedComment ref="S502" dT="2024-10-18T04:54:46.00" personId="{ED1D359B-D851-4826-88EF-B9650B16DF7A}" id="{136A634C-A385-46DB-AE1C-35F0D0917DB0}">
    <text>Project On-Hold</text>
  </threadedComment>
  <threadedComment ref="T502" dT="2024-10-18T04:54:46.00" personId="{ED1D359B-D851-4826-88EF-B9650B16DF7A}" id="{6C0875A3-28E5-4FDB-A6B5-0CB1B9862A3C}">
    <text>Project On-Hold</text>
  </threadedComment>
  <threadedComment ref="U502" dT="2024-10-18T04:54:46.00" personId="{ED1D359B-D851-4826-88EF-B9650B16DF7A}" id="{EA1169A0-5EAA-4A3A-A542-675868BB56E7}">
    <text>Project On-Hold</text>
  </threadedComment>
  <threadedComment ref="V502" dT="2024-10-18T04:54:46.00" personId="{ED1D359B-D851-4826-88EF-B9650B16DF7A}" id="{1E32C618-EC25-41FC-AD6F-6EB6D56B73A8}">
    <text>Project On-Hold</text>
  </threadedComment>
  <threadedComment ref="W502" dT="2024-10-18T04:54:46.00" personId="{ED1D359B-D851-4826-88EF-B9650B16DF7A}" id="{11A35CBA-611D-4D69-AA28-78185AC50D30}">
    <text>Project On-Hold</text>
  </threadedComment>
  <threadedComment ref="X502" dT="2024-10-18T04:54:46.00" personId="{ED1D359B-D851-4826-88EF-B9650B16DF7A}" id="{38003991-FB76-4BF4-BDA7-9C97E362CA11}">
    <text>Project On-Hold</text>
  </threadedComment>
  <threadedComment ref="Y502" dT="2024-10-18T04:54:46.00" personId="{ED1D359B-D851-4826-88EF-B9650B16DF7A}" id="{5E769094-5F7B-4656-9850-D11263839DBC}">
    <text>Project On-Hold</text>
  </threadedComment>
  <threadedComment ref="Z502" dT="2024-10-18T04:54:46.00" personId="{ED1D359B-D851-4826-88EF-B9650B16DF7A}" id="{E48628E7-EC07-41AC-9F81-A89C683EE216}">
    <text>Project On-Hold</text>
  </threadedComment>
  <threadedComment ref="AA502" dT="2024-10-18T04:54:46.00" personId="{ED1D359B-D851-4826-88EF-B9650B16DF7A}" id="{1C119BDB-D1B0-4E17-8C02-024AE4E55D56}">
    <text>Project On-Hold</text>
  </threadedComment>
  <threadedComment ref="AB502" dT="2024-10-18T04:54:46.00" personId="{ED1D359B-D851-4826-88EF-B9650B16DF7A}" id="{A89B7F38-8DFF-41A1-B879-FF5A6E58D69C}">
    <text>Project On-Hold</text>
  </threadedComment>
  <threadedComment ref="AF502" dT="2024-10-18T04:54:46.00" personId="{ED1D359B-D851-4826-88EF-B9650B16DF7A}" id="{34AAB246-A810-4D02-B382-33822C3FB7F6}">
    <text>Project On-Hold</text>
  </threadedComment>
  <threadedComment ref="AH502" dT="2024-10-18T04:54:46.00" personId="{ED1D359B-D851-4826-88EF-B9650B16DF7A}" id="{2A0E6BA3-B0AD-4B93-8E2E-E043539960FC}">
    <text>Project On-Hold</text>
  </threadedComment>
  <threadedComment ref="AJ502" dT="2024-10-18T04:54:46.00" personId="{ED1D359B-D851-4826-88EF-B9650B16DF7A}" id="{B9F3FC91-3E8E-4CAE-8D7E-F5975D83E866}">
    <text>Project On-Hold</text>
  </threadedComment>
  <threadedComment ref="J503" dT="2024-10-18T04:54:46.00" personId="{ED1D359B-D851-4826-88EF-B9650B16DF7A}" id="{53BB73A8-ABD4-4390-B5EE-B3BB39EC61E0}">
    <text>Project On-Hold</text>
  </threadedComment>
  <threadedComment ref="K503" dT="2024-10-18T04:54:46.00" personId="{ED1D359B-D851-4826-88EF-B9650B16DF7A}" id="{E10E216C-9D72-4D2A-AF37-B9B9AAB691C9}">
    <text>Project On-Hold</text>
  </threadedComment>
  <threadedComment ref="L503" dT="2024-10-18T04:54:46.00" personId="{ED1D359B-D851-4826-88EF-B9650B16DF7A}" id="{22E40D7E-851B-4D75-9C30-C1510A5CC729}">
    <text>Project On-Hold</text>
  </threadedComment>
  <threadedComment ref="M503" dT="2024-10-18T04:54:46.00" personId="{ED1D359B-D851-4826-88EF-B9650B16DF7A}" id="{DE2F188F-CD78-4B17-8015-D89EB677A878}">
    <text>Project On-Hold</text>
  </threadedComment>
  <threadedComment ref="N503" dT="2024-10-18T04:54:46.00" personId="{ED1D359B-D851-4826-88EF-B9650B16DF7A}" id="{F787CBA2-389D-404E-AE91-0382D1B8E482}">
    <text>Project On-Hold</text>
  </threadedComment>
  <threadedComment ref="O503" dT="2024-10-18T04:54:46.00" personId="{ED1D359B-D851-4826-88EF-B9650B16DF7A}" id="{4DB7743E-72FE-48A8-8CBF-98226D29F3D5}">
    <text>Project On-Hold</text>
  </threadedComment>
  <threadedComment ref="P503" dT="2024-10-18T04:54:46.00" personId="{ED1D359B-D851-4826-88EF-B9650B16DF7A}" id="{3547C6C3-8065-4F5D-8A9C-D910065385E8}">
    <text>Project On-Hold</text>
  </threadedComment>
  <threadedComment ref="Q503" dT="2024-10-18T04:54:46.00" personId="{ED1D359B-D851-4826-88EF-B9650B16DF7A}" id="{3FA71A87-E114-4BF8-B0B3-07D3EF5F9BF7}">
    <text>Project On-Hold</text>
  </threadedComment>
  <threadedComment ref="R503" dT="2024-10-18T04:54:46.00" personId="{ED1D359B-D851-4826-88EF-B9650B16DF7A}" id="{39622503-D7B5-42A3-A4F6-8D87BF768467}">
    <text>Project On-Hold</text>
  </threadedComment>
  <threadedComment ref="S503" dT="2024-10-18T04:54:46.00" personId="{ED1D359B-D851-4826-88EF-B9650B16DF7A}" id="{9EEC6E5B-1526-488E-B8EB-AE8C5FDFDF73}">
    <text>Project On-Hold</text>
  </threadedComment>
  <threadedComment ref="T503" dT="2024-10-18T04:54:46.00" personId="{ED1D359B-D851-4826-88EF-B9650B16DF7A}" id="{2B2A65FC-8799-429F-9EF8-67F75B725F3A}">
    <text>Project On-Hold</text>
  </threadedComment>
  <threadedComment ref="U503" dT="2024-10-18T04:54:46.00" personId="{ED1D359B-D851-4826-88EF-B9650B16DF7A}" id="{37A5D24A-0F18-4B0A-AF10-8B104A68B520}">
    <text>Project On-Hold</text>
  </threadedComment>
  <threadedComment ref="V503" dT="2024-10-18T04:54:46.00" personId="{ED1D359B-D851-4826-88EF-B9650B16DF7A}" id="{F42857EE-DA13-4FA6-BE6D-FCB2E4AE7ECC}">
    <text>Project On-Hold</text>
  </threadedComment>
  <threadedComment ref="W503" dT="2024-10-18T04:54:46.00" personId="{ED1D359B-D851-4826-88EF-B9650B16DF7A}" id="{BEFD49AC-B033-4F68-97F8-CB5E8A529075}">
    <text>Project On-Hold</text>
  </threadedComment>
  <threadedComment ref="X503" dT="2024-10-18T04:54:46.00" personId="{ED1D359B-D851-4826-88EF-B9650B16DF7A}" id="{F58C7B57-BFC9-4D86-BC75-C7AB465A19F8}">
    <text>Project On-Hold</text>
  </threadedComment>
  <threadedComment ref="Y503" dT="2024-10-18T04:54:46.00" personId="{ED1D359B-D851-4826-88EF-B9650B16DF7A}" id="{63BC44C4-841B-48EB-BF7B-4DCEF5321279}">
    <text>Project On-Hold</text>
  </threadedComment>
  <threadedComment ref="Z503" dT="2024-10-18T04:54:46.00" personId="{ED1D359B-D851-4826-88EF-B9650B16DF7A}" id="{F97B491D-087C-4E96-8EE6-7A64F1D947A0}">
    <text>Project On-Hold</text>
  </threadedComment>
  <threadedComment ref="AA503" dT="2024-10-18T04:54:46.00" personId="{ED1D359B-D851-4826-88EF-B9650B16DF7A}" id="{75B2CB0C-7AC4-46AF-A345-6797BEFFCE81}">
    <text>Project On-Hold</text>
  </threadedComment>
  <threadedComment ref="AB503" dT="2024-10-18T04:54:46.00" personId="{ED1D359B-D851-4826-88EF-B9650B16DF7A}" id="{5FA6B066-9621-4723-9218-370C9C084616}">
    <text>Project On-Hold</text>
  </threadedComment>
  <threadedComment ref="AF503" dT="2024-10-18T04:54:46.00" personId="{ED1D359B-D851-4826-88EF-B9650B16DF7A}" id="{3EDC0E85-F1FB-4EE7-B327-0AA843F6C72F}">
    <text>Project On-Hold</text>
  </threadedComment>
  <threadedComment ref="AH503" dT="2024-10-18T04:54:46.00" personId="{ED1D359B-D851-4826-88EF-B9650B16DF7A}" id="{D7206317-4246-40E9-816B-E15CA6BDBE91}">
    <text>Project On-Hold</text>
  </threadedComment>
  <threadedComment ref="AJ503" dT="2024-10-18T04:54:46.00" personId="{ED1D359B-D851-4826-88EF-B9650B16DF7A}" id="{F16F113A-B916-4B7D-AC96-87C30238205C}">
    <text>Project On-Hold</text>
  </threadedComment>
  <threadedComment ref="J504" dT="2024-10-18T04:54:46.00" personId="{ED1D359B-D851-4826-88EF-B9650B16DF7A}" id="{7D3051DA-EC5C-4F2B-9471-66176AABEC09}">
    <text>Project On-Hold</text>
  </threadedComment>
  <threadedComment ref="K504" dT="2024-10-18T04:54:46.00" personId="{ED1D359B-D851-4826-88EF-B9650B16DF7A}" id="{A90180D9-6F0B-41C6-8471-D1C031195BB0}">
    <text>Project On-Hold</text>
  </threadedComment>
  <threadedComment ref="L504" dT="2024-10-18T04:54:46.00" personId="{ED1D359B-D851-4826-88EF-B9650B16DF7A}" id="{574C82DD-1BC9-4B2C-A002-8C232B88B38E}">
    <text>Project On-Hold</text>
  </threadedComment>
  <threadedComment ref="M504" dT="2024-10-18T04:54:46.00" personId="{ED1D359B-D851-4826-88EF-B9650B16DF7A}" id="{B70513B2-1755-44D0-A8D1-BCAB5EAB7885}">
    <text>Project On-Hold</text>
  </threadedComment>
  <threadedComment ref="N504" dT="2024-10-18T04:54:46.00" personId="{ED1D359B-D851-4826-88EF-B9650B16DF7A}" id="{5BF35455-72F6-42C6-B9F5-62F14A2CEA94}">
    <text>Project On-Hold</text>
  </threadedComment>
  <threadedComment ref="O504" dT="2024-10-18T04:54:46.00" personId="{ED1D359B-D851-4826-88EF-B9650B16DF7A}" id="{252615CF-4E7F-4057-A273-1F784ED91236}">
    <text>Project On-Hold</text>
  </threadedComment>
  <threadedComment ref="P504" dT="2024-10-18T04:54:46.00" personId="{ED1D359B-D851-4826-88EF-B9650B16DF7A}" id="{C3A265FF-7F3C-4E29-99D4-56B3DE9E9CFF}">
    <text>Project On-Hold</text>
  </threadedComment>
  <threadedComment ref="Q504" dT="2024-10-18T04:54:46.00" personId="{ED1D359B-D851-4826-88EF-B9650B16DF7A}" id="{4C83F4FE-244E-4B61-9934-3B377D268B1A}">
    <text>Project On-Hold</text>
  </threadedComment>
  <threadedComment ref="R504" dT="2024-10-18T04:54:46.00" personId="{ED1D359B-D851-4826-88EF-B9650B16DF7A}" id="{06797843-4EF6-4F89-9115-D6786A9805DD}">
    <text>Project On-Hold</text>
  </threadedComment>
  <threadedComment ref="S504" dT="2024-10-18T04:54:46.00" personId="{ED1D359B-D851-4826-88EF-B9650B16DF7A}" id="{DC2614D9-7312-4788-B18E-AB79875A1ADA}">
    <text>Project On-Hold</text>
  </threadedComment>
  <threadedComment ref="T504" dT="2024-10-18T04:54:46.00" personId="{ED1D359B-D851-4826-88EF-B9650B16DF7A}" id="{F8A0CFF2-808E-4C95-8F0F-84B2C907D88B}">
    <text>Project On-Hold</text>
  </threadedComment>
  <threadedComment ref="U504" dT="2024-10-18T04:54:46.00" personId="{ED1D359B-D851-4826-88EF-B9650B16DF7A}" id="{AA978AD2-8E2B-4CCB-BB9C-40A6EB82A60F}">
    <text>Project On-Hold</text>
  </threadedComment>
  <threadedComment ref="V504" dT="2024-10-18T04:54:46.00" personId="{ED1D359B-D851-4826-88EF-B9650B16DF7A}" id="{46863919-FA3F-4BF0-9632-B6C40D9A9598}">
    <text>Project On-Hold</text>
  </threadedComment>
  <threadedComment ref="W504" dT="2024-10-18T04:54:46.00" personId="{ED1D359B-D851-4826-88EF-B9650B16DF7A}" id="{C7F1EE8C-9898-43CF-9F42-D95CFD36A8D2}">
    <text>Project On-Hold</text>
  </threadedComment>
  <threadedComment ref="X504" dT="2024-10-18T04:54:46.00" personId="{ED1D359B-D851-4826-88EF-B9650B16DF7A}" id="{C2322B71-DFA7-46BF-AD28-EC08A2F2B4B6}">
    <text>Project On-Hold</text>
  </threadedComment>
  <threadedComment ref="Y504" dT="2024-10-18T04:54:46.00" personId="{ED1D359B-D851-4826-88EF-B9650B16DF7A}" id="{D3CD062E-CEDE-420C-B620-01564EC3A41C}">
    <text>Project On-Hold</text>
  </threadedComment>
  <threadedComment ref="Z504" dT="2024-10-18T04:54:46.00" personId="{ED1D359B-D851-4826-88EF-B9650B16DF7A}" id="{1C14102F-81A3-46CC-A3BB-FF7DAFA759D7}">
    <text>Project On-Hold</text>
  </threadedComment>
  <threadedComment ref="AA504" dT="2024-10-18T04:54:46.00" personId="{ED1D359B-D851-4826-88EF-B9650B16DF7A}" id="{AF3335D1-0359-4C84-A348-6A2972C548A5}">
    <text>Project On-Hold</text>
  </threadedComment>
  <threadedComment ref="AB504" dT="2024-10-18T04:54:46.00" personId="{ED1D359B-D851-4826-88EF-B9650B16DF7A}" id="{CF2328E2-DB5A-43E6-9076-34A80F28DD30}">
    <text>Project On-Hold</text>
  </threadedComment>
  <threadedComment ref="AF504" dT="2024-10-18T04:54:46.00" personId="{ED1D359B-D851-4826-88EF-B9650B16DF7A}" id="{13702F00-755A-4210-9D3B-C81581608C0D}">
    <text>Project On-Hold</text>
  </threadedComment>
  <threadedComment ref="AH504" dT="2024-10-18T04:54:46.00" personId="{ED1D359B-D851-4826-88EF-B9650B16DF7A}" id="{DD28DEFF-68AC-49A1-8190-9180702010A5}">
    <text>Project On-Hold</text>
  </threadedComment>
  <threadedComment ref="AJ504" dT="2024-10-18T04:54:46.00" personId="{ED1D359B-D851-4826-88EF-B9650B16DF7A}" id="{A3336A9F-F6AB-426B-944F-721B569FC65A}">
    <text>Project On-Hold</text>
  </threadedComment>
  <threadedComment ref="J505" dT="2024-10-18T04:54:46.00" personId="{ED1D359B-D851-4826-88EF-B9650B16DF7A}" id="{9915F072-5625-4A24-8CD7-7BC8CE6DA4A3}">
    <text>Project On-Hold</text>
  </threadedComment>
  <threadedComment ref="K505" dT="2024-10-18T04:54:46.00" personId="{ED1D359B-D851-4826-88EF-B9650B16DF7A}" id="{6BBD569C-4035-4C76-8735-9CB62968BA6A}">
    <text>Project On-Hold</text>
  </threadedComment>
  <threadedComment ref="L505" dT="2024-10-18T04:54:46.00" personId="{ED1D359B-D851-4826-88EF-B9650B16DF7A}" id="{CAEB0FE3-0B44-420F-AF5E-8D742404B670}">
    <text>Project On-Hold</text>
  </threadedComment>
  <threadedComment ref="M505" dT="2024-10-18T04:54:46.00" personId="{ED1D359B-D851-4826-88EF-B9650B16DF7A}" id="{0EF509AE-40AC-4834-8F45-C4638FB7B38C}">
    <text>Project On-Hold</text>
  </threadedComment>
  <threadedComment ref="N505" dT="2024-10-18T04:54:46.00" personId="{ED1D359B-D851-4826-88EF-B9650B16DF7A}" id="{EB43A61D-6D67-47F6-9277-A06E5D0B79F8}">
    <text>Project On-Hold</text>
  </threadedComment>
  <threadedComment ref="O505" dT="2024-10-18T04:54:46.00" personId="{ED1D359B-D851-4826-88EF-B9650B16DF7A}" id="{6CBF91FA-0E6C-4D04-A94C-6C90E4EF6CC4}">
    <text>Project On-Hold</text>
  </threadedComment>
  <threadedComment ref="P505" dT="2024-10-18T04:54:46.00" personId="{ED1D359B-D851-4826-88EF-B9650B16DF7A}" id="{B6B34C7C-E92A-4AFD-A96A-1371CE58C6AF}">
    <text>Project On-Hold</text>
  </threadedComment>
  <threadedComment ref="Q505" dT="2024-10-18T04:54:46.00" personId="{ED1D359B-D851-4826-88EF-B9650B16DF7A}" id="{8B1DB4A7-BB82-418B-B832-9F80EB2AC3E9}">
    <text>Project On-Hold</text>
  </threadedComment>
  <threadedComment ref="R505" dT="2024-10-18T04:54:46.00" personId="{ED1D359B-D851-4826-88EF-B9650B16DF7A}" id="{B6218E86-22D5-4935-BF41-B58F076304D0}">
    <text>Project On-Hold</text>
  </threadedComment>
  <threadedComment ref="S505" dT="2024-10-18T04:54:46.00" personId="{ED1D359B-D851-4826-88EF-B9650B16DF7A}" id="{639B597F-6E64-42FD-A1DD-EE4C3AA825CB}">
    <text>Project On-Hold</text>
  </threadedComment>
  <threadedComment ref="T505" dT="2024-10-18T04:54:46.00" personId="{ED1D359B-D851-4826-88EF-B9650B16DF7A}" id="{BC7508C5-1FE1-410D-AADF-5191A857A3C8}">
    <text>Project On-Hold</text>
  </threadedComment>
  <threadedComment ref="U505" dT="2024-10-18T04:54:46.00" personId="{ED1D359B-D851-4826-88EF-B9650B16DF7A}" id="{4E8107B9-D40F-4A0D-9B81-A256DF9C3649}">
    <text>Project On-Hold</text>
  </threadedComment>
  <threadedComment ref="V505" dT="2024-10-18T04:54:46.00" personId="{ED1D359B-D851-4826-88EF-B9650B16DF7A}" id="{56F90820-AFEC-4B57-8357-CE73B8C2DF7C}">
    <text>Project On-Hold</text>
  </threadedComment>
  <threadedComment ref="W505" dT="2024-10-18T04:54:46.00" personId="{ED1D359B-D851-4826-88EF-B9650B16DF7A}" id="{A9EC7CC6-CFC3-4F99-B6BC-E4665F34BB0F}">
    <text>Project On-Hold</text>
  </threadedComment>
  <threadedComment ref="X505" dT="2024-10-18T04:54:46.00" personId="{ED1D359B-D851-4826-88EF-B9650B16DF7A}" id="{3DFA28B2-1C46-4390-8513-92E1BCE461F4}">
    <text>Project On-Hold</text>
  </threadedComment>
  <threadedComment ref="Y505" dT="2024-10-18T04:54:46.00" personId="{ED1D359B-D851-4826-88EF-B9650B16DF7A}" id="{C7754800-A6AF-470D-A324-0A672FC05FDD}">
    <text>Project On-Hold</text>
  </threadedComment>
  <threadedComment ref="Z505" dT="2024-10-18T04:54:46.00" personId="{ED1D359B-D851-4826-88EF-B9650B16DF7A}" id="{9298CFA0-665C-43B2-859E-8F8E4158563B}">
    <text>Project On-Hold</text>
  </threadedComment>
  <threadedComment ref="AA505" dT="2024-10-18T04:54:46.00" personId="{ED1D359B-D851-4826-88EF-B9650B16DF7A}" id="{4601DF2D-83ED-4DE7-870D-59ED9806376D}">
    <text>Project On-Hold</text>
  </threadedComment>
  <threadedComment ref="AB505" dT="2024-10-18T04:54:46.00" personId="{ED1D359B-D851-4826-88EF-B9650B16DF7A}" id="{2F31CBAE-0549-4B0A-B482-E59AD8D16A20}">
    <text>Project On-Hold</text>
  </threadedComment>
  <threadedComment ref="AF505" dT="2024-10-18T04:54:46.00" personId="{ED1D359B-D851-4826-88EF-B9650B16DF7A}" id="{0EB8DA39-2ED9-44FE-9621-085FCB02B6CF}">
    <text>Project On-Hold</text>
  </threadedComment>
  <threadedComment ref="AH505" dT="2024-10-18T04:54:46.00" personId="{ED1D359B-D851-4826-88EF-B9650B16DF7A}" id="{C2727D96-113C-4734-B597-D36F8268A666}">
    <text>Project On-Hold</text>
  </threadedComment>
  <threadedComment ref="AJ505" dT="2024-10-18T04:54:46.00" personId="{ED1D359B-D851-4826-88EF-B9650B16DF7A}" id="{2212B361-AB6C-45FC-948E-CCC963491569}">
    <text>Project On-Hold</text>
  </threadedComment>
  <threadedComment ref="J506" dT="2024-10-18T04:54:46.00" personId="{ED1D359B-D851-4826-88EF-B9650B16DF7A}" id="{A12E27A3-FD70-4EF9-BB5D-D612C52BC138}">
    <text>Project On-Hold</text>
  </threadedComment>
  <threadedComment ref="K506" dT="2024-10-18T04:54:46.00" personId="{ED1D359B-D851-4826-88EF-B9650B16DF7A}" id="{3EEC6021-0E06-4899-A28D-FEF08F9EB278}">
    <text>Project On-Hold</text>
  </threadedComment>
  <threadedComment ref="L506" dT="2024-10-18T04:54:46.00" personId="{ED1D359B-D851-4826-88EF-B9650B16DF7A}" id="{4A77DF0C-59A3-4EC3-A5D4-025379F3B0A4}">
    <text>Project On-Hold</text>
  </threadedComment>
  <threadedComment ref="M506" dT="2024-10-18T04:54:46.00" personId="{ED1D359B-D851-4826-88EF-B9650B16DF7A}" id="{90501720-B08F-42F7-8D4F-8F433F74D669}">
    <text>Project On-Hold</text>
  </threadedComment>
  <threadedComment ref="N506" dT="2024-10-18T04:54:46.00" personId="{ED1D359B-D851-4826-88EF-B9650B16DF7A}" id="{ADD7736E-B190-436F-A176-6F262E25B8F0}">
    <text>Project On-Hold</text>
  </threadedComment>
  <threadedComment ref="O506" dT="2024-10-18T04:54:46.00" personId="{ED1D359B-D851-4826-88EF-B9650B16DF7A}" id="{C1938B11-1A4E-4A7D-8E97-6E6713211BCF}">
    <text>Project On-Hold</text>
  </threadedComment>
  <threadedComment ref="P506" dT="2024-10-18T04:54:46.00" personId="{ED1D359B-D851-4826-88EF-B9650B16DF7A}" id="{E8BA42D9-130E-48E9-910A-46C945F714D7}">
    <text>Project On-Hold</text>
  </threadedComment>
  <threadedComment ref="Q506" dT="2024-10-18T04:54:46.00" personId="{ED1D359B-D851-4826-88EF-B9650B16DF7A}" id="{35724A0A-02E3-4A94-8D7F-C4FA861F78A6}">
    <text>Project On-Hold</text>
  </threadedComment>
  <threadedComment ref="R506" dT="2024-10-18T04:54:46.00" personId="{ED1D359B-D851-4826-88EF-B9650B16DF7A}" id="{FB2123B0-D1A2-44E8-8A5A-012B6C01AD8C}">
    <text>Project On-Hold</text>
  </threadedComment>
  <threadedComment ref="S506" dT="2024-10-18T04:54:46.00" personId="{ED1D359B-D851-4826-88EF-B9650B16DF7A}" id="{D5BDAD3C-2EDC-4633-9B94-7BA3ABC87E4E}">
    <text>Project On-Hold</text>
  </threadedComment>
  <threadedComment ref="T506" dT="2024-10-18T04:54:46.00" personId="{ED1D359B-D851-4826-88EF-B9650B16DF7A}" id="{D7A4BBE1-BBBB-4562-86D5-EE8CF6B56E6E}">
    <text>Project On-Hold</text>
  </threadedComment>
  <threadedComment ref="U506" dT="2024-10-18T04:54:46.00" personId="{ED1D359B-D851-4826-88EF-B9650B16DF7A}" id="{4AEEE6FB-54D9-49F8-B911-61EB96524D73}">
    <text>Project On-Hold</text>
  </threadedComment>
  <threadedComment ref="V506" dT="2024-10-18T04:54:46.00" personId="{ED1D359B-D851-4826-88EF-B9650B16DF7A}" id="{FE6D9AF8-7AE9-4431-B742-05EA552C4FC4}">
    <text>Project On-Hold</text>
  </threadedComment>
  <threadedComment ref="W506" dT="2024-10-18T04:54:46.00" personId="{ED1D359B-D851-4826-88EF-B9650B16DF7A}" id="{890A5FD7-724F-4ED4-AC35-B8EE5EF42810}">
    <text>Project On-Hold</text>
  </threadedComment>
  <threadedComment ref="X506" dT="2024-10-18T04:54:46.00" personId="{ED1D359B-D851-4826-88EF-B9650B16DF7A}" id="{62D1EBA6-8DC4-4EAA-8816-09318C356801}">
    <text>Project On-Hold</text>
  </threadedComment>
  <threadedComment ref="Y506" dT="2024-10-18T04:54:46.00" personId="{ED1D359B-D851-4826-88EF-B9650B16DF7A}" id="{781E9EEF-0EFA-43B7-9990-C16A767AF9F2}">
    <text>Project On-Hold</text>
  </threadedComment>
  <threadedComment ref="Z506" dT="2024-10-18T04:54:46.00" personId="{ED1D359B-D851-4826-88EF-B9650B16DF7A}" id="{CAF4D60C-EE59-45BF-A909-4F47AE36BCF2}">
    <text>Project On-Hold</text>
  </threadedComment>
  <threadedComment ref="AA506" dT="2024-10-18T04:54:46.00" personId="{ED1D359B-D851-4826-88EF-B9650B16DF7A}" id="{1AA2706E-D752-4B0E-8004-E3210CCBED01}">
    <text>Project On-Hold</text>
  </threadedComment>
  <threadedComment ref="AB506" dT="2024-10-18T04:54:46.00" personId="{ED1D359B-D851-4826-88EF-B9650B16DF7A}" id="{E4C33393-C669-499D-91A7-224D8F02A63A}">
    <text>Project On-Hold</text>
  </threadedComment>
  <threadedComment ref="AF506" dT="2024-10-18T04:54:46.00" personId="{ED1D359B-D851-4826-88EF-B9650B16DF7A}" id="{71CDFEFD-4BCC-4F7F-BCEE-C128821331E6}">
    <text>Project On-Hold</text>
  </threadedComment>
  <threadedComment ref="AH506" dT="2024-10-18T04:54:46.00" personId="{ED1D359B-D851-4826-88EF-B9650B16DF7A}" id="{5AA56723-8C3B-4523-9B82-AB8BF6C8C874}">
    <text>Project On-Hold</text>
  </threadedComment>
  <threadedComment ref="AJ506" dT="2024-10-18T04:54:46.00" personId="{ED1D359B-D851-4826-88EF-B9650B16DF7A}" id="{BA6FEA2C-0A22-4108-AB89-F44576E8B5AB}">
    <text>Project On-Hold</text>
  </threadedComment>
  <threadedComment ref="J507" dT="2024-10-18T04:54:46.00" personId="{ED1D359B-D851-4826-88EF-B9650B16DF7A}" id="{4B0D8460-6C5F-41D4-8E3D-185DF490F338}">
    <text>Project On-Hold</text>
  </threadedComment>
  <threadedComment ref="K507" dT="2024-10-18T04:54:46.00" personId="{ED1D359B-D851-4826-88EF-B9650B16DF7A}" id="{53254B09-2134-4CFB-901C-C337D6CCC816}">
    <text>Project On-Hold</text>
  </threadedComment>
  <threadedComment ref="L507" dT="2024-10-18T04:54:46.00" personId="{ED1D359B-D851-4826-88EF-B9650B16DF7A}" id="{1456F66B-EAFE-498E-8B19-4742023EEA66}">
    <text>Project On-Hold</text>
  </threadedComment>
  <threadedComment ref="M507" dT="2024-10-18T04:54:46.00" personId="{ED1D359B-D851-4826-88EF-B9650B16DF7A}" id="{5E91E50D-D678-40E8-AB87-D5EA0F10748A}">
    <text>Project On-Hold</text>
  </threadedComment>
  <threadedComment ref="N507" dT="2024-10-18T04:54:46.00" personId="{ED1D359B-D851-4826-88EF-B9650B16DF7A}" id="{AA3AA582-8C7C-4143-92CB-7DA8F2FA17C7}">
    <text>Project On-Hold</text>
  </threadedComment>
  <threadedComment ref="O507" dT="2024-10-18T04:54:46.00" personId="{ED1D359B-D851-4826-88EF-B9650B16DF7A}" id="{854F72F9-655F-4761-A851-6A9B0716576F}">
    <text>Project On-Hold</text>
  </threadedComment>
  <threadedComment ref="P507" dT="2024-10-18T04:54:46.00" personId="{ED1D359B-D851-4826-88EF-B9650B16DF7A}" id="{636C5124-0353-4B45-957C-DF9671CD4626}">
    <text>Project On-Hold</text>
  </threadedComment>
  <threadedComment ref="Q507" dT="2024-10-18T04:54:46.00" personId="{ED1D359B-D851-4826-88EF-B9650B16DF7A}" id="{E2B971D5-DA96-4473-B976-E35F3D020387}">
    <text>Project On-Hold</text>
  </threadedComment>
  <threadedComment ref="R507" dT="2024-10-18T04:54:46.00" personId="{ED1D359B-D851-4826-88EF-B9650B16DF7A}" id="{9069DB2C-2F5B-46FF-AE5C-F34B52E0F3F9}">
    <text>Project On-Hold</text>
  </threadedComment>
  <threadedComment ref="S507" dT="2024-10-18T04:54:46.00" personId="{ED1D359B-D851-4826-88EF-B9650B16DF7A}" id="{FE64C931-75FF-4A53-8C3C-649E511E626C}">
    <text>Project On-Hold</text>
  </threadedComment>
  <threadedComment ref="T507" dT="2024-10-18T04:54:46.00" personId="{ED1D359B-D851-4826-88EF-B9650B16DF7A}" id="{CC1E8138-7049-4455-9847-34CA38C99271}">
    <text>Project On-Hold</text>
  </threadedComment>
  <threadedComment ref="U507" dT="2024-10-18T04:54:46.00" personId="{ED1D359B-D851-4826-88EF-B9650B16DF7A}" id="{1D5ECF21-7AA7-4B8B-8409-F96D1FF0D730}">
    <text>Project On-Hold</text>
  </threadedComment>
  <threadedComment ref="V507" dT="2024-10-18T04:54:46.00" personId="{ED1D359B-D851-4826-88EF-B9650B16DF7A}" id="{C30244B7-1C02-4045-903C-6159CBA1291C}">
    <text>Project On-Hold</text>
  </threadedComment>
  <threadedComment ref="W507" dT="2024-10-18T04:54:46.00" personId="{ED1D359B-D851-4826-88EF-B9650B16DF7A}" id="{B3187E2C-C134-4BA9-A94C-F4E6D5EB4E62}">
    <text>Project On-Hold</text>
  </threadedComment>
  <threadedComment ref="X507" dT="2024-10-18T04:54:46.00" personId="{ED1D359B-D851-4826-88EF-B9650B16DF7A}" id="{303D86B8-31BC-4D55-B568-3BF42B03C2EA}">
    <text>Project On-Hold</text>
  </threadedComment>
  <threadedComment ref="Y507" dT="2024-10-18T04:54:46.00" personId="{ED1D359B-D851-4826-88EF-B9650B16DF7A}" id="{3FA9B224-AAB0-4250-9FCC-E16C4046187A}">
    <text>Project On-Hold</text>
  </threadedComment>
  <threadedComment ref="Z507" dT="2024-10-18T04:54:46.00" personId="{ED1D359B-D851-4826-88EF-B9650B16DF7A}" id="{4D75336D-4B47-4462-9DCE-764F55810B86}">
    <text>Project On-Hold</text>
  </threadedComment>
  <threadedComment ref="AA507" dT="2024-10-18T04:54:46.00" personId="{ED1D359B-D851-4826-88EF-B9650B16DF7A}" id="{09F28831-D348-499C-B9E0-B663AE062B57}">
    <text>Project On-Hold</text>
  </threadedComment>
  <threadedComment ref="AB507" dT="2024-10-18T04:54:46.00" personId="{ED1D359B-D851-4826-88EF-B9650B16DF7A}" id="{AF5AAEF2-962E-4F80-8D52-FAAA3709EF9A}">
    <text>Project On-Hold</text>
  </threadedComment>
  <threadedComment ref="AF507" dT="2024-10-18T04:54:46.00" personId="{ED1D359B-D851-4826-88EF-B9650B16DF7A}" id="{343DB719-2669-415B-81E3-40E26D7F9649}">
    <text>Project On-Hold</text>
  </threadedComment>
  <threadedComment ref="AH507" dT="2024-10-18T04:54:46.00" personId="{ED1D359B-D851-4826-88EF-B9650B16DF7A}" id="{05C99628-9075-4417-A284-3F459EF04E3C}">
    <text>Project On-Hold</text>
  </threadedComment>
  <threadedComment ref="AJ507" dT="2024-10-18T04:54:46.00" personId="{ED1D359B-D851-4826-88EF-B9650B16DF7A}" id="{503BE51E-A1F2-4E5A-977D-C7941EDE48E4}">
    <text>Project On-Hold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9"/>
  <sheetViews>
    <sheetView topLeftCell="X1" workbookViewId="0">
      <selection activeCell="AD1" sqref="AD1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113</v>
      </c>
      <c r="AD1" s="2" t="s">
        <v>114</v>
      </c>
    </row>
    <row r="2" spans="1:30" x14ac:dyDescent="0.25">
      <c r="A2" s="5" t="s">
        <v>22</v>
      </c>
      <c r="B2" s="5" t="s">
        <v>517</v>
      </c>
      <c r="C2" s="5" t="s">
        <v>23</v>
      </c>
      <c r="D2" s="5" t="s">
        <v>24</v>
      </c>
      <c r="E2" s="5" t="s">
        <v>568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518</v>
      </c>
      <c r="C3" s="5" t="s">
        <v>27</v>
      </c>
      <c r="D3" s="5" t="s">
        <v>28</v>
      </c>
      <c r="E3" s="5" t="s">
        <v>568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hidden="1" x14ac:dyDescent="0.25">
      <c r="A4" s="5" t="s">
        <v>30</v>
      </c>
      <c r="B4" s="5" t="s">
        <v>519</v>
      </c>
      <c r="C4" s="5" t="s">
        <v>31</v>
      </c>
      <c r="D4" s="5" t="s">
        <v>32</v>
      </c>
      <c r="E4" s="5" t="s">
        <v>111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hidden="1" x14ac:dyDescent="0.25">
      <c r="A5" s="5" t="s">
        <v>34</v>
      </c>
      <c r="B5" s="5" t="s">
        <v>520</v>
      </c>
      <c r="C5" s="5" t="s">
        <v>31</v>
      </c>
      <c r="D5" s="5" t="s">
        <v>35</v>
      </c>
      <c r="E5" s="5" t="s">
        <v>111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hidden="1" x14ac:dyDescent="0.25">
      <c r="A6" s="5" t="s">
        <v>37</v>
      </c>
      <c r="B6" s="5" t="s">
        <v>521</v>
      </c>
      <c r="C6" s="5" t="s">
        <v>31</v>
      </c>
      <c r="D6" s="5" t="s">
        <v>35</v>
      </c>
      <c r="E6" s="5" t="s">
        <v>111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522</v>
      </c>
      <c r="C7" s="5" t="s">
        <v>23</v>
      </c>
      <c r="D7" s="5" t="s">
        <v>24</v>
      </c>
      <c r="E7" s="5" t="s">
        <v>568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hidden="1" x14ac:dyDescent="0.25">
      <c r="A8" s="5" t="s">
        <v>119</v>
      </c>
      <c r="B8" s="5" t="s">
        <v>523</v>
      </c>
      <c r="C8" s="5" t="s">
        <v>31</v>
      </c>
      <c r="D8" s="5" t="s">
        <v>39</v>
      </c>
      <c r="E8" s="5" t="s">
        <v>111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hidden="1" x14ac:dyDescent="0.25">
      <c r="A9" s="5" t="s">
        <v>40</v>
      </c>
      <c r="B9" s="5" t="s">
        <v>524</v>
      </c>
      <c r="C9" s="5" t="s">
        <v>31</v>
      </c>
      <c r="D9" s="5" t="s">
        <v>39</v>
      </c>
      <c r="E9" s="5" t="s">
        <v>111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hidden="1" x14ac:dyDescent="0.25">
      <c r="A10" s="5" t="s">
        <v>41</v>
      </c>
      <c r="B10" s="5" t="s">
        <v>525</v>
      </c>
      <c r="C10" s="5" t="s">
        <v>42</v>
      </c>
      <c r="D10" s="5" t="s">
        <v>501</v>
      </c>
      <c r="E10" s="5" t="s">
        <v>111</v>
      </c>
      <c r="F10" s="5" t="s">
        <v>43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hidden="1" x14ac:dyDescent="0.25">
      <c r="A11" s="5" t="s">
        <v>44</v>
      </c>
      <c r="B11" s="5" t="s">
        <v>519</v>
      </c>
      <c r="C11" s="5" t="s">
        <v>31</v>
      </c>
      <c r="D11" s="5" t="s">
        <v>45</v>
      </c>
      <c r="E11" s="5" t="s">
        <v>111</v>
      </c>
      <c r="F11" s="5" t="s">
        <v>46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hidden="1" x14ac:dyDescent="0.25">
      <c r="A12" s="5" t="s">
        <v>47</v>
      </c>
      <c r="B12" s="5" t="s">
        <v>526</v>
      </c>
      <c r="C12" s="5" t="s">
        <v>31</v>
      </c>
      <c r="D12" s="5" t="s">
        <v>35</v>
      </c>
      <c r="E12" s="5" t="s">
        <v>111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48</v>
      </c>
      <c r="B13" s="5" t="s">
        <v>527</v>
      </c>
      <c r="C13" s="5" t="s">
        <v>27</v>
      </c>
      <c r="D13" s="5" t="s">
        <v>568</v>
      </c>
      <c r="E13" s="5" t="s">
        <v>568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idden="1" x14ac:dyDescent="0.25">
      <c r="A14" s="5" t="s">
        <v>49</v>
      </c>
      <c r="B14" s="5" t="s">
        <v>528</v>
      </c>
      <c r="C14" s="5" t="s">
        <v>50</v>
      </c>
      <c r="D14" s="5" t="s">
        <v>45</v>
      </c>
      <c r="E14" s="5" t="s">
        <v>111</v>
      </c>
      <c r="F14" s="5" t="s">
        <v>46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51</v>
      </c>
      <c r="B15" s="5" t="s">
        <v>529</v>
      </c>
      <c r="C15" s="5" t="s">
        <v>27</v>
      </c>
      <c r="D15" s="5" t="s">
        <v>568</v>
      </c>
      <c r="E15" s="5" t="s">
        <v>568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52</v>
      </c>
      <c r="B16" s="5" t="s">
        <v>530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53</v>
      </c>
      <c r="B17" s="5" t="s">
        <v>531</v>
      </c>
      <c r="C17" s="5" t="s">
        <v>27</v>
      </c>
      <c r="D17" s="5" t="s">
        <v>568</v>
      </c>
      <c r="E17" s="5" t="s">
        <v>568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idden="1" x14ac:dyDescent="0.25">
      <c r="A18" s="5" t="s">
        <v>54</v>
      </c>
      <c r="B18" s="5" t="s">
        <v>532</v>
      </c>
      <c r="C18" s="5" t="s">
        <v>31</v>
      </c>
      <c r="D18" s="5" t="s">
        <v>55</v>
      </c>
      <c r="E18" s="5" t="s">
        <v>111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idden="1" x14ac:dyDescent="0.25">
      <c r="A19" s="5" t="s">
        <v>56</v>
      </c>
      <c r="B19" s="5" t="s">
        <v>533</v>
      </c>
      <c r="C19" s="5" t="s">
        <v>31</v>
      </c>
      <c r="D19" s="5" t="s">
        <v>35</v>
      </c>
      <c r="E19" s="5" t="s">
        <v>111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hidden="1" x14ac:dyDescent="0.25">
      <c r="A20" s="5" t="s">
        <v>57</v>
      </c>
      <c r="B20" s="5" t="s">
        <v>534</v>
      </c>
      <c r="C20" s="5" t="s">
        <v>31</v>
      </c>
      <c r="D20" s="5" t="s">
        <v>39</v>
      </c>
      <c r="E20" s="5" t="s">
        <v>111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58</v>
      </c>
      <c r="B21" s="5" t="s">
        <v>535</v>
      </c>
      <c r="C21" s="5" t="s">
        <v>27</v>
      </c>
      <c r="D21" s="5" t="s">
        <v>568</v>
      </c>
      <c r="E21" s="5" t="s">
        <v>568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hidden="1" x14ac:dyDescent="0.25">
      <c r="A22" s="5" t="s">
        <v>59</v>
      </c>
      <c r="B22" s="5" t="s">
        <v>536</v>
      </c>
      <c r="C22" s="5" t="s">
        <v>31</v>
      </c>
      <c r="D22" s="5" t="s">
        <v>45</v>
      </c>
      <c r="E22" s="5" t="s">
        <v>111</v>
      </c>
      <c r="F22" s="5" t="s">
        <v>46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60</v>
      </c>
      <c r="B23" s="5" t="s">
        <v>537</v>
      </c>
      <c r="C23" s="5" t="s">
        <v>27</v>
      </c>
      <c r="D23" s="5" t="s">
        <v>568</v>
      </c>
      <c r="E23" s="5" t="s">
        <v>568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61</v>
      </c>
      <c r="B24" s="5" t="s">
        <v>538</v>
      </c>
      <c r="C24" s="5" t="s">
        <v>27</v>
      </c>
      <c r="D24" s="5" t="s">
        <v>62</v>
      </c>
      <c r="E24" s="5" t="s">
        <v>568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hidden="1" x14ac:dyDescent="0.25">
      <c r="A25" s="5" t="s">
        <v>63</v>
      </c>
      <c r="B25" s="5" t="s">
        <v>539</v>
      </c>
      <c r="C25" s="5" t="s">
        <v>31</v>
      </c>
      <c r="D25" s="5" t="s">
        <v>45</v>
      </c>
      <c r="E25" s="5" t="s">
        <v>111</v>
      </c>
      <c r="F25" s="5" t="s">
        <v>46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idden="1" x14ac:dyDescent="0.25">
      <c r="A26" s="5" t="s">
        <v>66</v>
      </c>
      <c r="B26" s="5" t="s">
        <v>540</v>
      </c>
      <c r="C26" s="5" t="s">
        <v>31</v>
      </c>
      <c r="D26" s="5" t="s">
        <v>35</v>
      </c>
      <c r="E26" s="5" t="s">
        <v>111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idden="1" x14ac:dyDescent="0.25">
      <c r="A27" s="5" t="s">
        <v>67</v>
      </c>
      <c r="B27" s="5" t="s">
        <v>541</v>
      </c>
      <c r="C27" s="5" t="s">
        <v>31</v>
      </c>
      <c r="D27" s="5" t="s">
        <v>39</v>
      </c>
      <c r="E27" s="5" t="s">
        <v>111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idden="1" x14ac:dyDescent="0.25">
      <c r="A28" s="5" t="s">
        <v>68</v>
      </c>
      <c r="B28" s="5" t="s">
        <v>542</v>
      </c>
      <c r="C28" s="5" t="s">
        <v>31</v>
      </c>
      <c r="D28" s="5" t="s">
        <v>35</v>
      </c>
      <c r="E28" s="5" t="s">
        <v>111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69</v>
      </c>
      <c r="B29" s="5" t="s">
        <v>543</v>
      </c>
      <c r="C29" s="5" t="s">
        <v>27</v>
      </c>
      <c r="D29" s="5" t="s">
        <v>568</v>
      </c>
      <c r="E29" s="5" t="s">
        <v>568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idden="1" x14ac:dyDescent="0.25">
      <c r="A30" s="5" t="s">
        <v>70</v>
      </c>
      <c r="B30" s="5" t="s">
        <v>544</v>
      </c>
      <c r="C30" s="5" t="s">
        <v>50</v>
      </c>
      <c r="D30" s="5" t="s">
        <v>45</v>
      </c>
      <c r="E30" s="5" t="s">
        <v>111</v>
      </c>
      <c r="F30" s="5" t="s">
        <v>46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71</v>
      </c>
      <c r="B31" s="5" t="s">
        <v>545</v>
      </c>
      <c r="C31" s="5" t="s">
        <v>23</v>
      </c>
      <c r="D31" s="5" t="s">
        <v>24</v>
      </c>
      <c r="E31" s="5" t="s">
        <v>568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hidden="1" x14ac:dyDescent="0.25">
      <c r="A32" s="5" t="s">
        <v>72</v>
      </c>
      <c r="B32" s="5" t="s">
        <v>546</v>
      </c>
      <c r="C32" s="5" t="s">
        <v>31</v>
      </c>
      <c r="D32" s="5" t="s">
        <v>73</v>
      </c>
      <c r="E32" s="5" t="s">
        <v>111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74</v>
      </c>
      <c r="B33" s="5" t="s">
        <v>547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idden="1" x14ac:dyDescent="0.25">
      <c r="A34" s="5" t="s">
        <v>75</v>
      </c>
      <c r="B34" s="5" t="s">
        <v>546</v>
      </c>
      <c r="C34" s="5" t="s">
        <v>42</v>
      </c>
      <c r="D34" s="5" t="s">
        <v>501</v>
      </c>
      <c r="E34" s="5" t="s">
        <v>111</v>
      </c>
      <c r="F34" s="5" t="s">
        <v>43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hidden="1" x14ac:dyDescent="0.25">
      <c r="A35" s="5" t="s">
        <v>76</v>
      </c>
      <c r="B35" s="5" t="s">
        <v>548</v>
      </c>
      <c r="C35" s="5" t="s">
        <v>31</v>
      </c>
      <c r="D35" s="5" t="s">
        <v>35</v>
      </c>
      <c r="E35" s="5" t="s">
        <v>111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77</v>
      </c>
      <c r="B36" s="5" t="s">
        <v>549</v>
      </c>
      <c r="C36" s="5" t="s">
        <v>23</v>
      </c>
      <c r="D36" s="5" t="s">
        <v>55</v>
      </c>
      <c r="E36" s="5" t="s">
        <v>568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78</v>
      </c>
      <c r="B37" s="5" t="s">
        <v>550</v>
      </c>
      <c r="C37" s="5" t="s">
        <v>23</v>
      </c>
      <c r="D37" s="5" t="s">
        <v>24</v>
      </c>
      <c r="E37" s="5" t="s">
        <v>568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hidden="1" x14ac:dyDescent="0.25">
      <c r="A38" s="5" t="s">
        <v>79</v>
      </c>
      <c r="B38" s="5" t="s">
        <v>551</v>
      </c>
      <c r="C38" s="5" t="s">
        <v>42</v>
      </c>
      <c r="D38" s="5" t="s">
        <v>501</v>
      </c>
      <c r="E38" s="5" t="s">
        <v>111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hidden="1" x14ac:dyDescent="0.25">
      <c r="A39" s="5" t="s">
        <v>80</v>
      </c>
      <c r="B39" s="5" t="s">
        <v>531</v>
      </c>
      <c r="C39" s="5" t="s">
        <v>50</v>
      </c>
      <c r="D39" s="5" t="s">
        <v>45</v>
      </c>
      <c r="E39" s="5" t="s">
        <v>111</v>
      </c>
      <c r="F39" s="5" t="s">
        <v>46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81</v>
      </c>
      <c r="B40" s="5" t="s">
        <v>552</v>
      </c>
      <c r="C40" s="5" t="s">
        <v>23</v>
      </c>
      <c r="D40" s="5" t="s">
        <v>24</v>
      </c>
      <c r="E40" s="5" t="s">
        <v>568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idden="1" x14ac:dyDescent="0.25">
      <c r="A41" s="5" t="s">
        <v>82</v>
      </c>
      <c r="B41" s="5" t="s">
        <v>519</v>
      </c>
      <c r="C41" s="5" t="s">
        <v>50</v>
      </c>
      <c r="D41" s="5" t="s">
        <v>45</v>
      </c>
      <c r="E41" s="5" t="s">
        <v>111</v>
      </c>
      <c r="F41" s="5" t="s">
        <v>46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hidden="1" x14ac:dyDescent="0.25">
      <c r="A42" s="5" t="s">
        <v>83</v>
      </c>
      <c r="B42" s="5" t="s">
        <v>519</v>
      </c>
      <c r="C42" s="5" t="s">
        <v>42</v>
      </c>
      <c r="D42" s="5" t="s">
        <v>501</v>
      </c>
      <c r="E42" s="5" t="s">
        <v>111</v>
      </c>
      <c r="F42" s="5" t="s">
        <v>43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idden="1" x14ac:dyDescent="0.25">
      <c r="A43" s="5" t="s">
        <v>84</v>
      </c>
      <c r="B43" s="5" t="s">
        <v>553</v>
      </c>
      <c r="C43" s="5" t="s">
        <v>31</v>
      </c>
      <c r="D43" s="5" t="s">
        <v>39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idden="1" x14ac:dyDescent="0.25">
      <c r="A44" s="5" t="s">
        <v>85</v>
      </c>
      <c r="B44" s="5" t="s">
        <v>522</v>
      </c>
      <c r="C44" s="5" t="s">
        <v>31</v>
      </c>
      <c r="D44" s="5" t="s">
        <v>39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hidden="1" x14ac:dyDescent="0.25">
      <c r="A45" s="5" t="s">
        <v>86</v>
      </c>
      <c r="B45" s="5" t="s">
        <v>554</v>
      </c>
      <c r="C45" s="5" t="s">
        <v>31</v>
      </c>
      <c r="D45" s="5" t="s">
        <v>35</v>
      </c>
      <c r="E45" s="5" t="s">
        <v>111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hidden="1" x14ac:dyDescent="0.25">
      <c r="A46" s="5" t="s">
        <v>87</v>
      </c>
      <c r="B46" s="5" t="s">
        <v>555</v>
      </c>
      <c r="C46" s="5" t="s">
        <v>42</v>
      </c>
      <c r="D46" s="5" t="s">
        <v>501</v>
      </c>
      <c r="E46" s="5" t="s">
        <v>111</v>
      </c>
      <c r="F46" s="5" t="s">
        <v>43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hidden="1" x14ac:dyDescent="0.25">
      <c r="A47" s="5" t="s">
        <v>88</v>
      </c>
      <c r="B47" s="5" t="s">
        <v>556</v>
      </c>
      <c r="C47" s="5" t="s">
        <v>42</v>
      </c>
      <c r="D47" s="5" t="s">
        <v>501</v>
      </c>
      <c r="E47" s="5" t="s">
        <v>111</v>
      </c>
      <c r="F47" s="5" t="s">
        <v>43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89</v>
      </c>
      <c r="B48" s="5" t="s">
        <v>527</v>
      </c>
      <c r="C48" s="5" t="s">
        <v>23</v>
      </c>
      <c r="D48" s="5" t="s">
        <v>24</v>
      </c>
      <c r="E48" s="5" t="s">
        <v>568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autoFilter ref="A1:AD48" xr:uid="{00000000-0001-0000-0000-000000000000}">
    <filterColumn colId="4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9"/>
  <sheetViews>
    <sheetView topLeftCell="O1" workbookViewId="0">
      <selection activeCell="V7" sqref="V7"/>
    </sheetView>
  </sheetViews>
  <sheetFormatPr defaultRowHeight="15" x14ac:dyDescent="0.25"/>
  <cols>
    <col min="1" max="1" width="17.7109375" bestFit="1" customWidth="1"/>
    <col min="2" max="2" width="51.5703125" bestFit="1" customWidth="1"/>
    <col min="3" max="3" width="8" bestFit="1" customWidth="1"/>
    <col min="4" max="4" width="14.140625" bestFit="1" customWidth="1"/>
    <col min="5" max="5" width="14.28515625" bestFit="1" customWidth="1"/>
    <col min="6" max="6" width="28.8554687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8.7109375" bestFit="1" customWidth="1"/>
    <col min="12" max="12" width="13.140625" bestFit="1" customWidth="1"/>
    <col min="13" max="13" width="8.140625" bestFit="1" customWidth="1"/>
    <col min="14" max="14" width="12.42578125" bestFit="1" customWidth="1"/>
    <col min="15" max="15" width="9.1406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1" max="21" width="9.28515625" bestFit="1" customWidth="1"/>
    <col min="22" max="22" width="13.7109375" bestFit="1" customWidth="1"/>
    <col min="23" max="23" width="9" bestFit="1" customWidth="1"/>
    <col min="24" max="24" width="13.42578125" bestFit="1" customWidth="1"/>
    <col min="25" max="25" width="8.5703125" bestFit="1" customWidth="1"/>
    <col min="26" max="26" width="12.85546875" bestFit="1" customWidth="1"/>
    <col min="27" max="27" width="13.5703125" bestFit="1" customWidth="1"/>
    <col min="28" max="28" width="13.42578125" bestFit="1" customWidth="1"/>
  </cols>
  <sheetData>
    <row r="1" spans="1:28" x14ac:dyDescent="0.25">
      <c r="A1" s="2" t="s">
        <v>0</v>
      </c>
      <c r="B1" s="2" t="s">
        <v>516</v>
      </c>
      <c r="C1" s="2" t="s">
        <v>1</v>
      </c>
      <c r="D1" s="2" t="s">
        <v>2</v>
      </c>
      <c r="E1" s="2" t="s">
        <v>110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118</v>
      </c>
      <c r="L1" s="2" t="s">
        <v>117</v>
      </c>
      <c r="M1" s="2" t="s">
        <v>115</v>
      </c>
      <c r="N1" s="2" t="s">
        <v>116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</row>
    <row r="2" spans="1:28" x14ac:dyDescent="0.25">
      <c r="A2" s="87" t="s">
        <v>561</v>
      </c>
      <c r="B2" s="5" t="s">
        <v>544</v>
      </c>
      <c r="C2" s="5" t="s">
        <v>31</v>
      </c>
      <c r="D2" s="5" t="s">
        <v>35</v>
      </c>
      <c r="E2" s="5" t="s">
        <v>111</v>
      </c>
      <c r="F2" s="5" t="s">
        <v>514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5">
        <v>5</v>
      </c>
      <c r="Y2" s="5">
        <v>3</v>
      </c>
      <c r="Z2" s="5">
        <v>3</v>
      </c>
      <c r="AA2" s="293">
        <v>4</v>
      </c>
      <c r="AB2" s="293">
        <v>4</v>
      </c>
    </row>
    <row r="3" spans="1:28" x14ac:dyDescent="0.25">
      <c r="A3" s="5" t="s">
        <v>69</v>
      </c>
      <c r="B3" s="5" t="s">
        <v>543</v>
      </c>
      <c r="C3" s="5" t="s">
        <v>27</v>
      </c>
      <c r="D3" s="5" t="s">
        <v>568</v>
      </c>
      <c r="E3" s="5" t="s">
        <v>568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293">
        <v>0</v>
      </c>
      <c r="AB3" s="293">
        <v>0</v>
      </c>
    </row>
    <row r="4" spans="1:28" x14ac:dyDescent="0.25">
      <c r="A4" s="5" t="s">
        <v>72</v>
      </c>
      <c r="B4" s="5" t="s">
        <v>546</v>
      </c>
      <c r="C4" s="5" t="s">
        <v>31</v>
      </c>
      <c r="D4" s="5" t="s">
        <v>92</v>
      </c>
      <c r="E4" s="5" t="s">
        <v>111</v>
      </c>
      <c r="F4" s="5" t="s">
        <v>43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293">
        <v>0</v>
      </c>
      <c r="AB4" s="293">
        <v>0</v>
      </c>
    </row>
    <row r="5" spans="1:28" x14ac:dyDescent="0.25">
      <c r="A5" s="5" t="s">
        <v>89</v>
      </c>
      <c r="B5" s="5" t="s">
        <v>527</v>
      </c>
      <c r="C5" s="5" t="s">
        <v>23</v>
      </c>
      <c r="D5" s="5" t="s">
        <v>24</v>
      </c>
      <c r="E5" s="5" t="s">
        <v>568</v>
      </c>
      <c r="F5" s="5" t="s">
        <v>91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293">
        <v>0</v>
      </c>
      <c r="AB5" s="293">
        <v>0</v>
      </c>
    </row>
    <row r="6" spans="1:28" x14ac:dyDescent="0.25">
      <c r="A6" s="5" t="s">
        <v>86</v>
      </c>
      <c r="B6" s="5" t="s">
        <v>554</v>
      </c>
      <c r="C6" s="5" t="s">
        <v>31</v>
      </c>
      <c r="D6" s="5" t="s">
        <v>90</v>
      </c>
      <c r="E6" s="5" t="s">
        <v>111</v>
      </c>
      <c r="F6" s="5" t="s">
        <v>91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  <c r="W6" s="5">
        <v>19</v>
      </c>
      <c r="X6" s="5">
        <v>22</v>
      </c>
      <c r="Y6" s="5">
        <v>20</v>
      </c>
      <c r="Z6" s="5">
        <v>21</v>
      </c>
      <c r="AA6" s="293">
        <v>17</v>
      </c>
      <c r="AB6" s="293">
        <v>14</v>
      </c>
    </row>
    <row r="7" spans="1:28" x14ac:dyDescent="0.25">
      <c r="A7" s="5" t="s">
        <v>56</v>
      </c>
      <c r="B7" s="5" t="s">
        <v>533</v>
      </c>
      <c r="C7" s="5" t="s">
        <v>31</v>
      </c>
      <c r="D7" s="5" t="s">
        <v>90</v>
      </c>
      <c r="E7" s="5" t="s">
        <v>111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  <c r="W7" s="5">
        <v>4</v>
      </c>
      <c r="X7" s="5">
        <v>4</v>
      </c>
      <c r="Y7" s="5">
        <v>3</v>
      </c>
      <c r="Z7" s="5">
        <v>5</v>
      </c>
      <c r="AA7" s="293">
        <v>3</v>
      </c>
      <c r="AB7" s="293">
        <v>5</v>
      </c>
    </row>
    <row r="8" spans="1:28" x14ac:dyDescent="0.25">
      <c r="A8" s="5" t="s">
        <v>22</v>
      </c>
      <c r="B8" s="5" t="s">
        <v>517</v>
      </c>
      <c r="C8" s="5" t="s">
        <v>23</v>
      </c>
      <c r="D8" s="5" t="s">
        <v>24</v>
      </c>
      <c r="E8" s="5" t="s">
        <v>568</v>
      </c>
      <c r="F8" s="5" t="s">
        <v>46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  <c r="W8" s="5">
        <v>4</v>
      </c>
      <c r="X8" s="5">
        <v>0</v>
      </c>
      <c r="Y8" s="5">
        <v>4</v>
      </c>
      <c r="Z8" s="5">
        <v>0</v>
      </c>
      <c r="AA8" s="293">
        <v>4</v>
      </c>
      <c r="AB8" s="293">
        <v>0</v>
      </c>
    </row>
    <row r="9" spans="1:28" x14ac:dyDescent="0.25">
      <c r="A9" s="5" t="s">
        <v>94</v>
      </c>
      <c r="B9" s="5" t="s">
        <v>557</v>
      </c>
      <c r="C9" s="5" t="s">
        <v>50</v>
      </c>
      <c r="D9" s="5" t="s">
        <v>45</v>
      </c>
      <c r="E9" s="5" t="s">
        <v>111</v>
      </c>
      <c r="F9" s="5" t="s">
        <v>95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  <c r="W9" s="5">
        <v>5</v>
      </c>
      <c r="X9" s="5">
        <v>1</v>
      </c>
      <c r="Y9" s="5">
        <v>0</v>
      </c>
      <c r="Z9" s="5">
        <v>0</v>
      </c>
      <c r="AA9" s="293">
        <v>0</v>
      </c>
      <c r="AB9" s="293">
        <v>0</v>
      </c>
    </row>
    <row r="10" spans="1:28" x14ac:dyDescent="0.25">
      <c r="A10" s="5" t="s">
        <v>68</v>
      </c>
      <c r="B10" s="5" t="s">
        <v>542</v>
      </c>
      <c r="C10" s="5" t="s">
        <v>31</v>
      </c>
      <c r="D10" s="5" t="s">
        <v>90</v>
      </c>
      <c r="E10" s="5" t="s">
        <v>111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  <c r="W10" s="5">
        <v>4</v>
      </c>
      <c r="X10" s="5">
        <v>3</v>
      </c>
      <c r="Y10" s="5">
        <v>4</v>
      </c>
      <c r="Z10" s="5">
        <v>3</v>
      </c>
      <c r="AA10" s="293">
        <v>0</v>
      </c>
      <c r="AB10" s="293">
        <v>0</v>
      </c>
    </row>
    <row r="11" spans="1:28" x14ac:dyDescent="0.25">
      <c r="A11" s="5" t="s">
        <v>81</v>
      </c>
      <c r="B11" s="5" t="s">
        <v>552</v>
      </c>
      <c r="C11" s="5" t="s">
        <v>23</v>
      </c>
      <c r="D11" s="5" t="s">
        <v>24</v>
      </c>
      <c r="E11" s="5" t="s">
        <v>568</v>
      </c>
      <c r="F11" s="5" t="s">
        <v>46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293">
        <v>0</v>
      </c>
      <c r="AB11" s="293">
        <v>0</v>
      </c>
    </row>
    <row r="12" spans="1:28" x14ac:dyDescent="0.25">
      <c r="A12" s="5" t="s">
        <v>26</v>
      </c>
      <c r="B12" s="5" t="s">
        <v>518</v>
      </c>
      <c r="C12" s="5" t="s">
        <v>27</v>
      </c>
      <c r="D12" s="5" t="s">
        <v>28</v>
      </c>
      <c r="E12" s="5" t="s">
        <v>568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  <c r="W12" s="5">
        <v>6</v>
      </c>
      <c r="X12" s="5">
        <v>1</v>
      </c>
      <c r="Y12" s="5">
        <v>7</v>
      </c>
      <c r="Z12" s="5">
        <v>1</v>
      </c>
      <c r="AA12" s="293">
        <v>7</v>
      </c>
      <c r="AB12" s="293">
        <v>1</v>
      </c>
    </row>
    <row r="13" spans="1:28" x14ac:dyDescent="0.25">
      <c r="A13" s="5" t="s">
        <v>61</v>
      </c>
      <c r="B13" s="5" t="s">
        <v>538</v>
      </c>
      <c r="C13" s="5" t="s">
        <v>27</v>
      </c>
      <c r="D13" s="5" t="s">
        <v>62</v>
      </c>
      <c r="E13" s="5" t="s">
        <v>568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  <c r="W13" s="5">
        <v>9</v>
      </c>
      <c r="X13" s="5">
        <v>1</v>
      </c>
      <c r="Y13" s="5">
        <v>8</v>
      </c>
      <c r="Z13" s="5">
        <v>2</v>
      </c>
      <c r="AA13" s="293">
        <v>6</v>
      </c>
      <c r="AB13" s="293">
        <v>4</v>
      </c>
    </row>
    <row r="14" spans="1:28" x14ac:dyDescent="0.25">
      <c r="A14" s="5" t="s">
        <v>82</v>
      </c>
      <c r="B14" s="5" t="s">
        <v>519</v>
      </c>
      <c r="C14" s="5" t="s">
        <v>50</v>
      </c>
      <c r="D14" s="5" t="s">
        <v>45</v>
      </c>
      <c r="E14" s="5" t="s">
        <v>111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  <c r="W14" s="5">
        <v>1</v>
      </c>
      <c r="X14" s="5">
        <v>5</v>
      </c>
      <c r="Y14" s="5">
        <v>0</v>
      </c>
      <c r="Z14" s="5">
        <v>0</v>
      </c>
      <c r="AA14" s="293">
        <v>0</v>
      </c>
      <c r="AB14" s="293">
        <v>0</v>
      </c>
    </row>
    <row r="15" spans="1:28" x14ac:dyDescent="0.25">
      <c r="A15" s="5" t="s">
        <v>57</v>
      </c>
      <c r="B15" s="5" t="s">
        <v>534</v>
      </c>
      <c r="C15" s="5" t="s">
        <v>31</v>
      </c>
      <c r="D15" s="5" t="s">
        <v>39</v>
      </c>
      <c r="E15" s="5" t="s">
        <v>111</v>
      </c>
      <c r="F15" s="5" t="s">
        <v>46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293">
        <v>0</v>
      </c>
      <c r="AB15" s="293">
        <v>0</v>
      </c>
    </row>
    <row r="16" spans="1:28" x14ac:dyDescent="0.25">
      <c r="A16" s="5" t="s">
        <v>48</v>
      </c>
      <c r="B16" s="5" t="s">
        <v>527</v>
      </c>
      <c r="C16" s="5" t="s">
        <v>27</v>
      </c>
      <c r="D16" s="5" t="s">
        <v>568</v>
      </c>
      <c r="E16" s="5" t="s">
        <v>568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5</v>
      </c>
      <c r="Z16" s="5">
        <v>3</v>
      </c>
      <c r="AA16" s="293">
        <v>5</v>
      </c>
      <c r="AB16" s="293">
        <v>3</v>
      </c>
    </row>
    <row r="17" spans="1:28" x14ac:dyDescent="0.25">
      <c r="A17" s="5" t="s">
        <v>75</v>
      </c>
      <c r="B17" s="5" t="s">
        <v>546</v>
      </c>
      <c r="C17" s="5" t="s">
        <v>42</v>
      </c>
      <c r="D17" s="5" t="s">
        <v>501</v>
      </c>
      <c r="E17" s="5" t="s">
        <v>111</v>
      </c>
      <c r="F17" s="5" t="s">
        <v>43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  <c r="W17" s="5">
        <v>4</v>
      </c>
      <c r="X17" s="5">
        <v>3</v>
      </c>
      <c r="Y17" s="5">
        <v>4</v>
      </c>
      <c r="Z17" s="5">
        <v>3</v>
      </c>
      <c r="AA17" s="293">
        <v>5</v>
      </c>
      <c r="AB17" s="293">
        <v>2</v>
      </c>
    </row>
    <row r="18" spans="1:28" x14ac:dyDescent="0.25">
      <c r="A18" s="5" t="s">
        <v>506</v>
      </c>
      <c r="B18" s="5" t="s">
        <v>558</v>
      </c>
      <c r="C18" s="5" t="s">
        <v>31</v>
      </c>
      <c r="D18" s="5" t="s">
        <v>90</v>
      </c>
      <c r="E18" s="5" t="s">
        <v>111</v>
      </c>
      <c r="F18" s="5" t="s">
        <v>514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  <c r="W18" s="5">
        <v>0</v>
      </c>
      <c r="X18" s="5">
        <v>0</v>
      </c>
      <c r="Y18" s="5">
        <v>3</v>
      </c>
      <c r="Z18" s="5">
        <v>3</v>
      </c>
      <c r="AA18" s="293">
        <v>4</v>
      </c>
      <c r="AB18" s="293">
        <v>2</v>
      </c>
    </row>
    <row r="19" spans="1:28" x14ac:dyDescent="0.25">
      <c r="A19" s="5" t="s">
        <v>30</v>
      </c>
      <c r="B19" s="5" t="s">
        <v>519</v>
      </c>
      <c r="C19" s="5" t="s">
        <v>31</v>
      </c>
      <c r="D19" s="5" t="s">
        <v>32</v>
      </c>
      <c r="E19" s="5" t="s">
        <v>111</v>
      </c>
      <c r="F19" s="5" t="s">
        <v>43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5</v>
      </c>
      <c r="Z19" s="5">
        <v>7</v>
      </c>
      <c r="AA19" s="293">
        <v>0</v>
      </c>
      <c r="AB19" s="293">
        <v>0</v>
      </c>
    </row>
    <row r="20" spans="1:28" x14ac:dyDescent="0.25">
      <c r="A20" s="5" t="s">
        <v>37</v>
      </c>
      <c r="B20" s="5" t="s">
        <v>521</v>
      </c>
      <c r="C20" s="5" t="s">
        <v>31</v>
      </c>
      <c r="D20" s="5" t="s">
        <v>90</v>
      </c>
      <c r="E20" s="5" t="s">
        <v>111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293">
        <v>0</v>
      </c>
      <c r="AB20" s="293">
        <v>0</v>
      </c>
    </row>
    <row r="21" spans="1:28" x14ac:dyDescent="0.25">
      <c r="A21" s="5" t="s">
        <v>34</v>
      </c>
      <c r="B21" s="5" t="s">
        <v>520</v>
      </c>
      <c r="C21" s="5" t="s">
        <v>31</v>
      </c>
      <c r="D21" s="5" t="s">
        <v>90</v>
      </c>
      <c r="E21" s="5" t="s">
        <v>111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3</v>
      </c>
      <c r="Y21" s="5">
        <v>0</v>
      </c>
      <c r="Z21" s="5">
        <v>0</v>
      </c>
      <c r="AA21" s="293">
        <v>0</v>
      </c>
      <c r="AB21" s="293">
        <v>0</v>
      </c>
    </row>
    <row r="22" spans="1:28" x14ac:dyDescent="0.25">
      <c r="A22" s="5" t="s">
        <v>83</v>
      </c>
      <c r="B22" s="5" t="s">
        <v>519</v>
      </c>
      <c r="C22" s="5" t="s">
        <v>42</v>
      </c>
      <c r="D22" s="5" t="s">
        <v>501</v>
      </c>
      <c r="E22" s="5" t="s">
        <v>111</v>
      </c>
      <c r="F22" s="5" t="s">
        <v>43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  <c r="W22" s="5">
        <v>1</v>
      </c>
      <c r="X22" s="5">
        <v>5</v>
      </c>
      <c r="Y22" s="5">
        <v>3</v>
      </c>
      <c r="Z22" s="5">
        <v>4</v>
      </c>
      <c r="AA22" s="293">
        <v>2</v>
      </c>
      <c r="AB22" s="293">
        <v>5</v>
      </c>
    </row>
    <row r="23" spans="1:28" x14ac:dyDescent="0.25">
      <c r="A23" s="5" t="s">
        <v>38</v>
      </c>
      <c r="B23" s="5" t="s">
        <v>522</v>
      </c>
      <c r="C23" s="5" t="s">
        <v>23</v>
      </c>
      <c r="D23" s="5" t="s">
        <v>24</v>
      </c>
      <c r="E23" s="5" t="s">
        <v>568</v>
      </c>
      <c r="F23" s="5" t="s">
        <v>46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  <c r="W23" s="5">
        <v>4</v>
      </c>
      <c r="X23" s="5">
        <v>0</v>
      </c>
      <c r="Y23" s="5">
        <v>0</v>
      </c>
      <c r="Z23" s="5">
        <v>0</v>
      </c>
      <c r="AA23" s="293">
        <v>0</v>
      </c>
      <c r="AB23" s="293">
        <v>0</v>
      </c>
    </row>
    <row r="24" spans="1:28" x14ac:dyDescent="0.25">
      <c r="A24" s="5" t="s">
        <v>503</v>
      </c>
      <c r="B24" s="5" t="s">
        <v>559</v>
      </c>
      <c r="C24" s="5" t="s">
        <v>42</v>
      </c>
      <c r="D24" s="5" t="s">
        <v>501</v>
      </c>
      <c r="E24" s="5" t="s">
        <v>111</v>
      </c>
      <c r="F24" s="5" t="s">
        <v>43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  <c r="W24" s="5">
        <v>6</v>
      </c>
      <c r="X24" s="5">
        <v>1</v>
      </c>
      <c r="Y24" s="5">
        <v>6</v>
      </c>
      <c r="Z24" s="5">
        <v>2</v>
      </c>
      <c r="AA24" s="293">
        <v>5</v>
      </c>
      <c r="AB24" s="293">
        <v>2</v>
      </c>
    </row>
    <row r="25" spans="1:28" x14ac:dyDescent="0.25">
      <c r="A25" s="5" t="s">
        <v>119</v>
      </c>
      <c r="B25" s="5" t="s">
        <v>523</v>
      </c>
      <c r="C25" s="5" t="s">
        <v>31</v>
      </c>
      <c r="D25" s="5" t="s">
        <v>39</v>
      </c>
      <c r="E25" s="5" t="s">
        <v>111</v>
      </c>
      <c r="F25" s="5" t="s">
        <v>46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  <c r="W25" s="5">
        <v>1</v>
      </c>
      <c r="X25" s="5">
        <v>2</v>
      </c>
      <c r="Y25" s="5">
        <v>1</v>
      </c>
      <c r="Z25" s="5">
        <v>1</v>
      </c>
      <c r="AA25" s="293">
        <v>1</v>
      </c>
      <c r="AB25" s="293">
        <v>1</v>
      </c>
    </row>
    <row r="26" spans="1:28" x14ac:dyDescent="0.25">
      <c r="A26" s="5" t="s">
        <v>40</v>
      </c>
      <c r="B26" s="5" t="s">
        <v>524</v>
      </c>
      <c r="C26" s="5" t="s">
        <v>31</v>
      </c>
      <c r="D26" s="5" t="s">
        <v>39</v>
      </c>
      <c r="E26" s="5" t="s">
        <v>111</v>
      </c>
      <c r="F26" s="5" t="s">
        <v>46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293">
        <v>0</v>
      </c>
      <c r="AB26" s="293">
        <v>0</v>
      </c>
    </row>
    <row r="27" spans="1:28" x14ac:dyDescent="0.25">
      <c r="A27" s="5" t="s">
        <v>53</v>
      </c>
      <c r="B27" s="5" t="s">
        <v>531</v>
      </c>
      <c r="C27" s="5" t="s">
        <v>27</v>
      </c>
      <c r="D27" s="5" t="s">
        <v>568</v>
      </c>
      <c r="E27" s="5" t="s">
        <v>568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293">
        <v>0</v>
      </c>
      <c r="AB27" s="293">
        <v>0</v>
      </c>
    </row>
    <row r="28" spans="1:28" x14ac:dyDescent="0.25">
      <c r="A28" s="5" t="s">
        <v>78</v>
      </c>
      <c r="B28" s="5" t="s">
        <v>550</v>
      </c>
      <c r="C28" s="5" t="s">
        <v>23</v>
      </c>
      <c r="D28" s="5" t="s">
        <v>24</v>
      </c>
      <c r="E28" s="5" t="s">
        <v>568</v>
      </c>
      <c r="F28" s="5" t="s">
        <v>91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293">
        <v>0</v>
      </c>
      <c r="AB28" s="293">
        <v>0</v>
      </c>
    </row>
    <row r="29" spans="1:28" x14ac:dyDescent="0.25">
      <c r="A29" s="5" t="s">
        <v>79</v>
      </c>
      <c r="B29" s="5" t="s">
        <v>551</v>
      </c>
      <c r="C29" s="5" t="s">
        <v>42</v>
      </c>
      <c r="D29" s="5" t="s">
        <v>501</v>
      </c>
      <c r="E29" s="5" t="s">
        <v>111</v>
      </c>
      <c r="F29" s="5" t="s">
        <v>43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  <c r="W29" s="5">
        <v>8</v>
      </c>
      <c r="X29" s="5">
        <v>1</v>
      </c>
      <c r="Y29" s="5">
        <v>5</v>
      </c>
      <c r="Z29" s="5">
        <v>2</v>
      </c>
      <c r="AA29" s="293">
        <v>4</v>
      </c>
      <c r="AB29" s="293">
        <v>3</v>
      </c>
    </row>
    <row r="30" spans="1:28" x14ac:dyDescent="0.25">
      <c r="A30" s="5" t="s">
        <v>80</v>
      </c>
      <c r="B30" s="5" t="s">
        <v>531</v>
      </c>
      <c r="C30" s="5" t="s">
        <v>50</v>
      </c>
      <c r="D30" s="5" t="s">
        <v>45</v>
      </c>
      <c r="E30" s="5" t="s">
        <v>111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  <c r="W30" s="5">
        <v>0</v>
      </c>
      <c r="X30" s="5">
        <v>0</v>
      </c>
      <c r="Y30" s="5">
        <v>0</v>
      </c>
      <c r="Z30" s="5">
        <v>0</v>
      </c>
      <c r="AA30" s="293">
        <v>0</v>
      </c>
      <c r="AB30" s="293">
        <v>0</v>
      </c>
    </row>
    <row r="31" spans="1:28" x14ac:dyDescent="0.25">
      <c r="A31" s="5" t="s">
        <v>54</v>
      </c>
      <c r="B31" s="5" t="s">
        <v>532</v>
      </c>
      <c r="C31" s="5" t="s">
        <v>31</v>
      </c>
      <c r="D31" s="5" t="s">
        <v>55</v>
      </c>
      <c r="E31" s="5" t="s">
        <v>111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293">
        <v>0</v>
      </c>
      <c r="AB31" s="293">
        <v>0</v>
      </c>
    </row>
    <row r="32" spans="1:28" x14ac:dyDescent="0.25">
      <c r="A32" s="5" t="s">
        <v>52</v>
      </c>
      <c r="B32" s="5" t="s">
        <v>530</v>
      </c>
      <c r="C32" s="5" t="s">
        <v>27</v>
      </c>
      <c r="D32" s="5" t="s">
        <v>568</v>
      </c>
      <c r="E32" s="5" t="s">
        <v>568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  <c r="W32" s="5">
        <v>0</v>
      </c>
      <c r="X32" s="5">
        <v>0</v>
      </c>
      <c r="Y32" s="5">
        <v>6</v>
      </c>
      <c r="Z32" s="5">
        <v>5</v>
      </c>
      <c r="AA32" s="293">
        <v>8</v>
      </c>
      <c r="AB32" s="293">
        <v>3</v>
      </c>
    </row>
    <row r="33" spans="1:28" x14ac:dyDescent="0.25">
      <c r="A33" s="5" t="s">
        <v>60</v>
      </c>
      <c r="B33" s="5" t="s">
        <v>537</v>
      </c>
      <c r="C33" s="5" t="s">
        <v>27</v>
      </c>
      <c r="D33" s="5" t="s">
        <v>568</v>
      </c>
      <c r="E33" s="5" t="s">
        <v>568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  <c r="W33" s="5">
        <v>0</v>
      </c>
      <c r="X33" s="5">
        <v>0</v>
      </c>
      <c r="Y33" s="5">
        <v>7</v>
      </c>
      <c r="Z33" s="5">
        <v>4</v>
      </c>
      <c r="AA33" s="293">
        <v>8</v>
      </c>
      <c r="AB33" s="293">
        <v>3</v>
      </c>
    </row>
    <row r="34" spans="1:28" x14ac:dyDescent="0.25">
      <c r="A34" s="5" t="s">
        <v>51</v>
      </c>
      <c r="B34" s="5" t="s">
        <v>529</v>
      </c>
      <c r="C34" s="5" t="s">
        <v>27</v>
      </c>
      <c r="D34" s="5" t="s">
        <v>568</v>
      </c>
      <c r="E34" s="5" t="s">
        <v>568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  <c r="W34" s="5">
        <v>0</v>
      </c>
      <c r="X34" s="5">
        <v>0</v>
      </c>
      <c r="Y34" s="5">
        <v>10</v>
      </c>
      <c r="Z34" s="5">
        <v>1</v>
      </c>
      <c r="AA34" s="293">
        <v>8</v>
      </c>
      <c r="AB34" s="293">
        <v>3</v>
      </c>
    </row>
    <row r="35" spans="1:28" x14ac:dyDescent="0.25">
      <c r="A35" s="5" t="s">
        <v>41</v>
      </c>
      <c r="B35" s="5" t="s">
        <v>525</v>
      </c>
      <c r="C35" s="5" t="s">
        <v>42</v>
      </c>
      <c r="D35" s="5" t="s">
        <v>501</v>
      </c>
      <c r="E35" s="5" t="s">
        <v>111</v>
      </c>
      <c r="F35" s="5" t="s">
        <v>43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293">
        <v>0</v>
      </c>
      <c r="AB35" s="293">
        <v>0</v>
      </c>
    </row>
    <row r="36" spans="1:28" x14ac:dyDescent="0.25">
      <c r="A36" s="5" t="s">
        <v>108</v>
      </c>
      <c r="B36" s="5" t="s">
        <v>560</v>
      </c>
      <c r="C36" s="5" t="s">
        <v>42</v>
      </c>
      <c r="D36" s="5" t="s">
        <v>501</v>
      </c>
      <c r="E36" s="5" t="s">
        <v>111</v>
      </c>
      <c r="F36" s="5" t="s">
        <v>43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  <c r="W36" s="5">
        <v>10</v>
      </c>
      <c r="X36" s="5">
        <v>4</v>
      </c>
      <c r="Y36" s="5">
        <v>11</v>
      </c>
      <c r="Z36" s="5">
        <v>3</v>
      </c>
      <c r="AA36" s="293">
        <v>10</v>
      </c>
      <c r="AB36" s="293">
        <v>4</v>
      </c>
    </row>
    <row r="37" spans="1:28" x14ac:dyDescent="0.25">
      <c r="A37" s="5" t="s">
        <v>109</v>
      </c>
      <c r="B37" s="5" t="s">
        <v>525</v>
      </c>
      <c r="C37" s="5" t="s">
        <v>42</v>
      </c>
      <c r="D37" s="5" t="s">
        <v>501</v>
      </c>
      <c r="E37" s="5" t="s">
        <v>111</v>
      </c>
      <c r="F37" s="5" t="s">
        <v>43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  <c r="W37" s="5">
        <v>11</v>
      </c>
      <c r="X37" s="5">
        <v>3</v>
      </c>
      <c r="Y37" s="5">
        <v>11</v>
      </c>
      <c r="Z37" s="5">
        <v>3</v>
      </c>
      <c r="AA37" s="293">
        <v>11</v>
      </c>
      <c r="AB37" s="293">
        <v>3</v>
      </c>
    </row>
    <row r="38" spans="1:28" x14ac:dyDescent="0.25">
      <c r="A38" s="5" t="s">
        <v>88</v>
      </c>
      <c r="B38" s="5" t="s">
        <v>556</v>
      </c>
      <c r="C38" s="5" t="s">
        <v>42</v>
      </c>
      <c r="D38" s="5" t="s">
        <v>501</v>
      </c>
      <c r="E38" s="5" t="s">
        <v>111</v>
      </c>
      <c r="F38" s="5" t="s">
        <v>93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  <c r="W38" s="5">
        <v>5</v>
      </c>
      <c r="X38" s="5">
        <v>1</v>
      </c>
      <c r="Y38" s="5">
        <v>5</v>
      </c>
      <c r="Z38" s="5">
        <v>1</v>
      </c>
      <c r="AA38" s="293">
        <v>5</v>
      </c>
      <c r="AB38" s="293">
        <v>1</v>
      </c>
    </row>
    <row r="39" spans="1:28" x14ac:dyDescent="0.25">
      <c r="A39" s="5" t="s">
        <v>87</v>
      </c>
      <c r="B39" s="5" t="s">
        <v>555</v>
      </c>
      <c r="C39" s="5" t="s">
        <v>42</v>
      </c>
      <c r="D39" s="5" t="s">
        <v>501</v>
      </c>
      <c r="E39" s="5" t="s">
        <v>111</v>
      </c>
      <c r="F39" s="5" t="s">
        <v>43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  <c r="W39" s="5">
        <v>2</v>
      </c>
      <c r="X39" s="5">
        <v>5</v>
      </c>
      <c r="Y39" s="5">
        <v>3</v>
      </c>
      <c r="Z39" s="5">
        <v>4</v>
      </c>
      <c r="AA39" s="293">
        <v>2</v>
      </c>
      <c r="AB39" s="293">
        <v>5</v>
      </c>
    </row>
    <row r="40" spans="1:28" x14ac:dyDescent="0.25">
      <c r="A40" s="5" t="s">
        <v>85</v>
      </c>
      <c r="B40" s="5" t="s">
        <v>522</v>
      </c>
      <c r="C40" s="5" t="s">
        <v>31</v>
      </c>
      <c r="D40" s="5" t="s">
        <v>39</v>
      </c>
      <c r="E40" s="5" t="s">
        <v>111</v>
      </c>
      <c r="F40" s="5" t="s">
        <v>46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  <c r="W40" s="5">
        <v>7</v>
      </c>
      <c r="X40" s="5">
        <v>4</v>
      </c>
      <c r="Y40" s="5">
        <v>9</v>
      </c>
      <c r="Z40" s="5">
        <v>2</v>
      </c>
      <c r="AA40" s="293">
        <v>10</v>
      </c>
      <c r="AB40" s="293">
        <v>1</v>
      </c>
    </row>
    <row r="41" spans="1:28" x14ac:dyDescent="0.25">
      <c r="A41" s="5" t="s">
        <v>71</v>
      </c>
      <c r="B41" s="5" t="s">
        <v>545</v>
      </c>
      <c r="C41" s="5" t="s">
        <v>23</v>
      </c>
      <c r="D41" s="5" t="s">
        <v>24</v>
      </c>
      <c r="E41" s="5" t="s">
        <v>568</v>
      </c>
      <c r="F41" s="5" t="s">
        <v>91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  <c r="W41" s="5">
        <v>3</v>
      </c>
      <c r="X41" s="5">
        <v>3</v>
      </c>
      <c r="Y41" s="5">
        <v>1</v>
      </c>
      <c r="Z41" s="5">
        <v>7</v>
      </c>
      <c r="AA41" s="293">
        <v>0</v>
      </c>
      <c r="AB41" s="293">
        <v>0</v>
      </c>
    </row>
    <row r="42" spans="1:28" x14ac:dyDescent="0.25">
      <c r="A42" s="5" t="s">
        <v>84</v>
      </c>
      <c r="B42" s="5" t="s">
        <v>553</v>
      </c>
      <c r="C42" s="5" t="s">
        <v>31</v>
      </c>
      <c r="D42" s="5" t="s">
        <v>39</v>
      </c>
      <c r="E42" s="5" t="s">
        <v>111</v>
      </c>
      <c r="F42" s="5" t="s">
        <v>46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293">
        <v>0</v>
      </c>
      <c r="AB42" s="293">
        <v>0</v>
      </c>
    </row>
    <row r="43" spans="1:28" x14ac:dyDescent="0.25">
      <c r="A43" s="5" t="s">
        <v>47</v>
      </c>
      <c r="B43" s="5" t="s">
        <v>526</v>
      </c>
      <c r="C43" s="5" t="s">
        <v>31</v>
      </c>
      <c r="D43" s="5" t="s">
        <v>35</v>
      </c>
      <c r="E43" s="5" t="s">
        <v>111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293">
        <v>0</v>
      </c>
      <c r="AB43" s="293">
        <v>0</v>
      </c>
    </row>
    <row r="44" spans="1:28" x14ac:dyDescent="0.25">
      <c r="A44" s="5" t="s">
        <v>76</v>
      </c>
      <c r="B44" s="5" t="s">
        <v>548</v>
      </c>
      <c r="C44" s="5" t="s">
        <v>31</v>
      </c>
      <c r="D44" s="5" t="s">
        <v>35</v>
      </c>
      <c r="E44" s="5" t="s">
        <v>111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293">
        <v>0</v>
      </c>
      <c r="AB44" s="293">
        <v>0</v>
      </c>
    </row>
    <row r="45" spans="1:28" x14ac:dyDescent="0.25">
      <c r="A45" s="5" t="s">
        <v>74</v>
      </c>
      <c r="B45" s="5" t="s">
        <v>547</v>
      </c>
      <c r="C45" s="5" t="s">
        <v>27</v>
      </c>
      <c r="D45" s="5" t="s">
        <v>568</v>
      </c>
      <c r="E45" s="5" t="s">
        <v>568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293">
        <v>0</v>
      </c>
      <c r="AB45" s="293">
        <v>0</v>
      </c>
    </row>
    <row r="46" spans="1:28" x14ac:dyDescent="0.25">
      <c r="A46" s="5" t="s">
        <v>70</v>
      </c>
      <c r="B46" s="5" t="s">
        <v>544</v>
      </c>
      <c r="C46" s="5" t="s">
        <v>50</v>
      </c>
      <c r="D46" s="5" t="s">
        <v>45</v>
      </c>
      <c r="E46" s="5" t="s">
        <v>111</v>
      </c>
      <c r="F46" s="5" t="s">
        <v>46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293">
        <v>0</v>
      </c>
      <c r="AB46" s="293">
        <v>0</v>
      </c>
    </row>
    <row r="47" spans="1:28" x14ac:dyDescent="0.25">
      <c r="A47" s="5" t="s">
        <v>49</v>
      </c>
      <c r="B47" s="5" t="s">
        <v>528</v>
      </c>
      <c r="C47" s="5" t="s">
        <v>50</v>
      </c>
      <c r="D47" s="5" t="s">
        <v>45</v>
      </c>
      <c r="E47" s="5" t="s">
        <v>111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  <c r="AA47" s="293">
        <v>0</v>
      </c>
      <c r="AB47" s="293">
        <v>0</v>
      </c>
    </row>
    <row r="48" spans="1:28" x14ac:dyDescent="0.25">
      <c r="A48" s="5" t="s">
        <v>58</v>
      </c>
      <c r="B48" s="5" t="s">
        <v>535</v>
      </c>
      <c r="C48" s="5" t="s">
        <v>27</v>
      </c>
      <c r="D48" s="5" t="s">
        <v>568</v>
      </c>
      <c r="E48" s="5" t="s">
        <v>568</v>
      </c>
      <c r="F48" s="5" t="s">
        <v>46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  <c r="W48" s="5">
        <v>6</v>
      </c>
      <c r="X48" s="5">
        <v>1</v>
      </c>
      <c r="Y48" s="5">
        <v>6</v>
      </c>
      <c r="Z48" s="5">
        <v>1</v>
      </c>
      <c r="AA48" s="293">
        <v>6</v>
      </c>
      <c r="AB48" s="293">
        <v>1</v>
      </c>
    </row>
    <row r="49" spans="1:28" x14ac:dyDescent="0.25">
      <c r="A49" s="5" t="s">
        <v>66</v>
      </c>
      <c r="B49" s="5" t="s">
        <v>540</v>
      </c>
      <c r="C49" s="5" t="s">
        <v>31</v>
      </c>
      <c r="D49" s="5" t="s">
        <v>35</v>
      </c>
      <c r="E49" s="5" t="s">
        <v>111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293">
        <v>0</v>
      </c>
      <c r="AB49" s="293">
        <v>0</v>
      </c>
    </row>
  </sheetData>
  <sortState xmlns:xlrd2="http://schemas.microsoft.com/office/spreadsheetml/2017/richdata2" ref="A2:X49">
    <sortCondition ref="A1:A49"/>
  </sortState>
  <conditionalFormatting sqref="A2">
    <cfRule type="containsText" dxfId="1989" priority="1" operator="containsText" text="Not Met">
      <formula>NOT(ISERROR(SEARCH("Not Met",A2)))</formula>
    </cfRule>
    <cfRule type="containsText" dxfId="1988" priority="2" operator="containsText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M507"/>
  <sheetViews>
    <sheetView workbookViewId="0"/>
  </sheetViews>
  <sheetFormatPr defaultRowHeight="15" x14ac:dyDescent="0.25"/>
  <cols>
    <col min="1" max="1" width="25.5703125" bestFit="1" customWidth="1"/>
    <col min="2" max="2" width="8" bestFit="1" customWidth="1"/>
    <col min="3" max="3" width="17.710937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7.140625" bestFit="1" customWidth="1"/>
    <col min="11" max="11" width="23.7109375" bestFit="1" customWidth="1"/>
    <col min="12" max="12" width="16.5703125" bestFit="1" customWidth="1"/>
    <col min="13" max="13" width="23.140625" bestFit="1" customWidth="1"/>
    <col min="14" max="14" width="17" bestFit="1" customWidth="1"/>
    <col min="15" max="15" width="23.5703125" bestFit="1" customWidth="1"/>
    <col min="16" max="16" width="16.5703125" bestFit="1" customWidth="1"/>
    <col min="17" max="17" width="23.140625" bestFit="1" customWidth="1"/>
    <col min="18" max="18" width="16.28515625" bestFit="1" customWidth="1"/>
    <col min="19" max="19" width="22.85546875" bestFit="1" customWidth="1"/>
    <col min="20" max="20" width="16.28515625" bestFit="1" customWidth="1"/>
    <col min="21" max="21" width="22.85546875" bestFit="1" customWidth="1"/>
    <col min="22" max="22" width="16.140625" bestFit="1" customWidth="1"/>
    <col min="23" max="23" width="22.7109375" bestFit="1" customWidth="1"/>
    <col min="24" max="24" width="15.85546875" bestFit="1" customWidth="1"/>
    <col min="25" max="25" width="22.42578125" bestFit="1" customWidth="1"/>
    <col min="26" max="26" width="15.85546875" bestFit="1" customWidth="1"/>
    <col min="27" max="27" width="22.42578125" bestFit="1" customWidth="1"/>
    <col min="28" max="28" width="16.42578125" style="1" bestFit="1" customWidth="1"/>
    <col min="29" max="29" width="23" style="1" bestFit="1" customWidth="1"/>
    <col min="30" max="30" width="16.140625" style="1" bestFit="1" customWidth="1"/>
    <col min="31" max="31" width="22.7109375" style="1" bestFit="1" customWidth="1"/>
    <col min="32" max="32" width="15.7109375" style="1" bestFit="1" customWidth="1"/>
    <col min="33" max="35" width="18.42578125" style="1" customWidth="1"/>
    <col min="36" max="36" width="13.140625" style="1" bestFit="1" customWidth="1"/>
    <col min="37" max="37" width="18.140625" style="1" bestFit="1" customWidth="1"/>
  </cols>
  <sheetData>
    <row r="1" spans="1:39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120</v>
      </c>
      <c r="F1" s="23" t="s">
        <v>121</v>
      </c>
      <c r="G1" s="23" t="s">
        <v>122</v>
      </c>
      <c r="H1" s="24" t="s">
        <v>123</v>
      </c>
      <c r="I1" s="23" t="s">
        <v>124</v>
      </c>
      <c r="J1" s="25" t="s">
        <v>125</v>
      </c>
      <c r="K1" s="25" t="s">
        <v>126</v>
      </c>
      <c r="L1" s="25" t="s">
        <v>127</v>
      </c>
      <c r="M1" s="25" t="s">
        <v>128</v>
      </c>
      <c r="N1" s="25" t="s">
        <v>129</v>
      </c>
      <c r="O1" s="25" t="s">
        <v>130</v>
      </c>
      <c r="P1" s="25" t="s">
        <v>131</v>
      </c>
      <c r="Q1" s="25" t="s">
        <v>132</v>
      </c>
      <c r="R1" s="25" t="s">
        <v>133</v>
      </c>
      <c r="S1" s="25" t="s">
        <v>134</v>
      </c>
      <c r="T1" s="25" t="s">
        <v>135</v>
      </c>
      <c r="U1" s="25" t="s">
        <v>136</v>
      </c>
      <c r="V1" s="25" t="s">
        <v>137</v>
      </c>
      <c r="W1" s="25" t="s">
        <v>138</v>
      </c>
      <c r="X1" s="25" t="s">
        <v>139</v>
      </c>
      <c r="Y1" s="25" t="s">
        <v>140</v>
      </c>
      <c r="Z1" s="25" t="s">
        <v>141</v>
      </c>
      <c r="AA1" s="25" t="s">
        <v>142</v>
      </c>
      <c r="AB1" s="91" t="s">
        <v>504</v>
      </c>
      <c r="AC1" s="91" t="s">
        <v>505</v>
      </c>
      <c r="AD1" s="91" t="s">
        <v>562</v>
      </c>
      <c r="AE1" s="91" t="s">
        <v>563</v>
      </c>
      <c r="AF1" s="91" t="s">
        <v>565</v>
      </c>
      <c r="AG1" s="91" t="s">
        <v>566</v>
      </c>
      <c r="AH1" s="91" t="s">
        <v>569</v>
      </c>
      <c r="AI1" s="91" t="s">
        <v>570</v>
      </c>
      <c r="AJ1" s="92" t="s">
        <v>143</v>
      </c>
      <c r="AK1" s="92" t="s">
        <v>144</v>
      </c>
    </row>
    <row r="2" spans="1:39" x14ac:dyDescent="0.25">
      <c r="A2" s="192" t="s">
        <v>561</v>
      </c>
      <c r="B2" s="193" t="s">
        <v>31</v>
      </c>
      <c r="C2" s="262" t="s">
        <v>35</v>
      </c>
      <c r="D2" s="194" t="s">
        <v>514</v>
      </c>
      <c r="E2" s="195" t="s">
        <v>191</v>
      </c>
      <c r="F2" s="192" t="s">
        <v>179</v>
      </c>
      <c r="G2" s="192" t="s">
        <v>147</v>
      </c>
      <c r="H2" s="195" t="s">
        <v>507</v>
      </c>
      <c r="I2" s="196">
        <v>39</v>
      </c>
      <c r="J2" s="197" t="s">
        <v>154</v>
      </c>
      <c r="K2" s="197" t="s">
        <v>154</v>
      </c>
      <c r="L2" s="197" t="s">
        <v>154</v>
      </c>
      <c r="M2" s="197" t="s">
        <v>154</v>
      </c>
      <c r="N2" s="197" t="s">
        <v>154</v>
      </c>
      <c r="O2" s="197" t="s">
        <v>154</v>
      </c>
      <c r="P2" s="197" t="s">
        <v>154</v>
      </c>
      <c r="Q2" s="197" t="s">
        <v>154</v>
      </c>
      <c r="R2" s="197" t="s">
        <v>154</v>
      </c>
      <c r="S2" s="197" t="s">
        <v>154</v>
      </c>
      <c r="T2" s="197" t="s">
        <v>154</v>
      </c>
      <c r="U2" s="197" t="s">
        <v>154</v>
      </c>
      <c r="V2" s="197" t="s">
        <v>154</v>
      </c>
      <c r="W2" s="197" t="s">
        <v>154</v>
      </c>
      <c r="X2" s="197" t="s">
        <v>154</v>
      </c>
      <c r="Y2" s="197" t="s">
        <v>154</v>
      </c>
      <c r="Z2" s="197" t="s">
        <v>154</v>
      </c>
      <c r="AA2" s="197" t="s">
        <v>154</v>
      </c>
      <c r="AB2" s="196" t="s">
        <v>195</v>
      </c>
      <c r="AC2" s="196" t="s">
        <v>195</v>
      </c>
      <c r="AD2" s="198">
        <v>59</v>
      </c>
      <c r="AE2" s="199" t="s">
        <v>194</v>
      </c>
      <c r="AF2" s="257">
        <v>37</v>
      </c>
      <c r="AG2" s="199" t="s">
        <v>150</v>
      </c>
      <c r="AH2" s="270">
        <v>28</v>
      </c>
      <c r="AI2" s="199" t="s">
        <v>150</v>
      </c>
      <c r="AJ2" s="270">
        <v>33</v>
      </c>
      <c r="AK2" s="199" t="s">
        <v>150</v>
      </c>
      <c r="AM2" s="269"/>
    </row>
    <row r="3" spans="1:39" x14ac:dyDescent="0.25">
      <c r="A3" s="87" t="s">
        <v>561</v>
      </c>
      <c r="B3" s="88" t="s">
        <v>31</v>
      </c>
      <c r="C3" s="263" t="s">
        <v>35</v>
      </c>
      <c r="D3" s="89" t="s">
        <v>514</v>
      </c>
      <c r="E3" s="85" t="s">
        <v>191</v>
      </c>
      <c r="F3" s="87" t="s">
        <v>179</v>
      </c>
      <c r="G3" s="87" t="s">
        <v>147</v>
      </c>
      <c r="H3" s="85" t="s">
        <v>508</v>
      </c>
      <c r="I3" s="90">
        <v>39</v>
      </c>
      <c r="J3" s="15" t="s">
        <v>154</v>
      </c>
      <c r="K3" s="15" t="s">
        <v>154</v>
      </c>
      <c r="L3" s="15" t="s">
        <v>154</v>
      </c>
      <c r="M3" s="15" t="s">
        <v>154</v>
      </c>
      <c r="N3" s="15" t="s">
        <v>154</v>
      </c>
      <c r="O3" s="15" t="s">
        <v>154</v>
      </c>
      <c r="P3" s="15" t="s">
        <v>154</v>
      </c>
      <c r="Q3" s="15" t="s">
        <v>154</v>
      </c>
      <c r="R3" s="15" t="s">
        <v>154</v>
      </c>
      <c r="S3" s="15" t="s">
        <v>154</v>
      </c>
      <c r="T3" s="15" t="s">
        <v>154</v>
      </c>
      <c r="U3" s="15" t="s">
        <v>154</v>
      </c>
      <c r="V3" s="15" t="s">
        <v>154</v>
      </c>
      <c r="W3" s="15" t="s">
        <v>154</v>
      </c>
      <c r="X3" s="15" t="s">
        <v>154</v>
      </c>
      <c r="Y3" s="15" t="s">
        <v>154</v>
      </c>
      <c r="Z3" s="15" t="s">
        <v>154</v>
      </c>
      <c r="AA3" s="15" t="s">
        <v>154</v>
      </c>
      <c r="AB3" s="90" t="s">
        <v>195</v>
      </c>
      <c r="AC3" s="90" t="s">
        <v>195</v>
      </c>
      <c r="AD3" s="125">
        <v>81</v>
      </c>
      <c r="AE3" s="28" t="s">
        <v>194</v>
      </c>
      <c r="AF3" s="258">
        <v>27</v>
      </c>
      <c r="AG3" s="199" t="s">
        <v>150</v>
      </c>
      <c r="AH3" s="270">
        <v>78</v>
      </c>
      <c r="AI3" s="28" t="s">
        <v>194</v>
      </c>
      <c r="AJ3" s="270">
        <v>60</v>
      </c>
      <c r="AK3" s="28" t="s">
        <v>194</v>
      </c>
    </row>
    <row r="4" spans="1:39" x14ac:dyDescent="0.25">
      <c r="A4" s="87" t="s">
        <v>561</v>
      </c>
      <c r="B4" s="88" t="s">
        <v>31</v>
      </c>
      <c r="C4" s="263" t="s">
        <v>35</v>
      </c>
      <c r="D4" s="89" t="s">
        <v>514</v>
      </c>
      <c r="E4" s="85" t="s">
        <v>191</v>
      </c>
      <c r="F4" s="87" t="s">
        <v>179</v>
      </c>
      <c r="G4" s="87" t="s">
        <v>147</v>
      </c>
      <c r="H4" s="85" t="s">
        <v>509</v>
      </c>
      <c r="I4" s="90">
        <v>69</v>
      </c>
      <c r="J4" s="15" t="s">
        <v>154</v>
      </c>
      <c r="K4" s="15" t="s">
        <v>154</v>
      </c>
      <c r="L4" s="15" t="s">
        <v>154</v>
      </c>
      <c r="M4" s="15" t="s">
        <v>154</v>
      </c>
      <c r="N4" s="15" t="s">
        <v>154</v>
      </c>
      <c r="O4" s="15" t="s">
        <v>154</v>
      </c>
      <c r="P4" s="15" t="s">
        <v>154</v>
      </c>
      <c r="Q4" s="15" t="s">
        <v>154</v>
      </c>
      <c r="R4" s="15" t="s">
        <v>154</v>
      </c>
      <c r="S4" s="15" t="s">
        <v>154</v>
      </c>
      <c r="T4" s="15" t="s">
        <v>154</v>
      </c>
      <c r="U4" s="15" t="s">
        <v>154</v>
      </c>
      <c r="V4" s="15" t="s">
        <v>154</v>
      </c>
      <c r="W4" s="15" t="s">
        <v>154</v>
      </c>
      <c r="X4" s="15" t="s">
        <v>154</v>
      </c>
      <c r="Y4" s="15" t="s">
        <v>154</v>
      </c>
      <c r="Z4" s="15" t="s">
        <v>154</v>
      </c>
      <c r="AA4" s="15" t="s">
        <v>154</v>
      </c>
      <c r="AB4" s="90" t="s">
        <v>195</v>
      </c>
      <c r="AC4" s="90" t="s">
        <v>195</v>
      </c>
      <c r="AD4" s="125">
        <v>0</v>
      </c>
      <c r="AE4" s="28" t="s">
        <v>150</v>
      </c>
      <c r="AF4" s="258" t="s">
        <v>154</v>
      </c>
      <c r="AG4" s="97" t="s">
        <v>154</v>
      </c>
      <c r="AH4" s="270">
        <v>0</v>
      </c>
      <c r="AI4" s="199" t="s">
        <v>150</v>
      </c>
      <c r="AJ4" s="270">
        <v>0</v>
      </c>
      <c r="AK4" s="199" t="s">
        <v>150</v>
      </c>
    </row>
    <row r="5" spans="1:39" x14ac:dyDescent="0.25">
      <c r="A5" s="87" t="s">
        <v>561</v>
      </c>
      <c r="B5" s="88" t="s">
        <v>31</v>
      </c>
      <c r="C5" s="263" t="s">
        <v>35</v>
      </c>
      <c r="D5" s="89" t="s">
        <v>514</v>
      </c>
      <c r="E5" s="85" t="s">
        <v>191</v>
      </c>
      <c r="F5" s="87" t="s">
        <v>179</v>
      </c>
      <c r="G5" s="87" t="s">
        <v>147</v>
      </c>
      <c r="H5" s="85" t="s">
        <v>510</v>
      </c>
      <c r="I5" s="90">
        <v>99</v>
      </c>
      <c r="J5" s="15" t="s">
        <v>154</v>
      </c>
      <c r="K5" s="15" t="s">
        <v>154</v>
      </c>
      <c r="L5" s="15" t="s">
        <v>154</v>
      </c>
      <c r="M5" s="15" t="s">
        <v>154</v>
      </c>
      <c r="N5" s="15" t="s">
        <v>154</v>
      </c>
      <c r="O5" s="15" t="s">
        <v>154</v>
      </c>
      <c r="P5" s="15" t="s">
        <v>154</v>
      </c>
      <c r="Q5" s="15" t="s">
        <v>154</v>
      </c>
      <c r="R5" s="15" t="s">
        <v>154</v>
      </c>
      <c r="S5" s="15" t="s">
        <v>154</v>
      </c>
      <c r="T5" s="15" t="s">
        <v>154</v>
      </c>
      <c r="U5" s="15" t="s">
        <v>154</v>
      </c>
      <c r="V5" s="15" t="s">
        <v>154</v>
      </c>
      <c r="W5" s="15" t="s">
        <v>154</v>
      </c>
      <c r="X5" s="15" t="s">
        <v>154</v>
      </c>
      <c r="Y5" s="15" t="s">
        <v>154</v>
      </c>
      <c r="Z5" s="15" t="s">
        <v>154</v>
      </c>
      <c r="AA5" s="15" t="s">
        <v>154</v>
      </c>
      <c r="AB5" s="90" t="s">
        <v>195</v>
      </c>
      <c r="AC5" s="90" t="s">
        <v>195</v>
      </c>
      <c r="AD5" s="125">
        <v>122</v>
      </c>
      <c r="AE5" s="28" t="s">
        <v>194</v>
      </c>
      <c r="AF5" s="258">
        <v>114</v>
      </c>
      <c r="AG5" s="28" t="s">
        <v>194</v>
      </c>
      <c r="AH5" s="270">
        <v>102</v>
      </c>
      <c r="AI5" s="28" t="s">
        <v>194</v>
      </c>
      <c r="AJ5" s="270">
        <v>90</v>
      </c>
      <c r="AK5" s="199" t="s">
        <v>150</v>
      </c>
    </row>
    <row r="6" spans="1:39" x14ac:dyDescent="0.25">
      <c r="A6" s="87" t="s">
        <v>561</v>
      </c>
      <c r="B6" s="88" t="s">
        <v>31</v>
      </c>
      <c r="C6" s="263" t="s">
        <v>35</v>
      </c>
      <c r="D6" s="89" t="s">
        <v>514</v>
      </c>
      <c r="E6" s="85" t="s">
        <v>191</v>
      </c>
      <c r="F6" s="87" t="s">
        <v>179</v>
      </c>
      <c r="G6" s="87" t="s">
        <v>147</v>
      </c>
      <c r="H6" s="85" t="s">
        <v>511</v>
      </c>
      <c r="I6" s="90">
        <v>99</v>
      </c>
      <c r="J6" s="15" t="s">
        <v>154</v>
      </c>
      <c r="K6" s="15" t="s">
        <v>154</v>
      </c>
      <c r="L6" s="15" t="s">
        <v>154</v>
      </c>
      <c r="M6" s="15" t="s">
        <v>154</v>
      </c>
      <c r="N6" s="15" t="s">
        <v>154</v>
      </c>
      <c r="O6" s="15" t="s">
        <v>154</v>
      </c>
      <c r="P6" s="15" t="s">
        <v>154</v>
      </c>
      <c r="Q6" s="15" t="s">
        <v>154</v>
      </c>
      <c r="R6" s="15" t="s">
        <v>154</v>
      </c>
      <c r="S6" s="15" t="s">
        <v>154</v>
      </c>
      <c r="T6" s="15" t="s">
        <v>154</v>
      </c>
      <c r="U6" s="15" t="s">
        <v>154</v>
      </c>
      <c r="V6" s="15" t="s">
        <v>154</v>
      </c>
      <c r="W6" s="15" t="s">
        <v>154</v>
      </c>
      <c r="X6" s="15" t="s">
        <v>154</v>
      </c>
      <c r="Y6" s="15" t="s">
        <v>154</v>
      </c>
      <c r="Z6" s="15" t="s">
        <v>154</v>
      </c>
      <c r="AA6" s="15" t="s">
        <v>154</v>
      </c>
      <c r="AB6" s="90" t="s">
        <v>195</v>
      </c>
      <c r="AC6" s="90" t="s">
        <v>195</v>
      </c>
      <c r="AD6" s="125">
        <v>139</v>
      </c>
      <c r="AE6" s="28" t="s">
        <v>194</v>
      </c>
      <c r="AF6" s="258">
        <v>84</v>
      </c>
      <c r="AG6" s="199" t="s">
        <v>150</v>
      </c>
      <c r="AH6" s="270">
        <v>179</v>
      </c>
      <c r="AI6" s="28" t="s">
        <v>194</v>
      </c>
      <c r="AJ6" s="270">
        <v>132</v>
      </c>
      <c r="AK6" s="28" t="s">
        <v>194</v>
      </c>
    </row>
    <row r="7" spans="1:39" x14ac:dyDescent="0.25">
      <c r="A7" s="87" t="s">
        <v>561</v>
      </c>
      <c r="B7" s="88" t="s">
        <v>31</v>
      </c>
      <c r="C7" s="263" t="s">
        <v>35</v>
      </c>
      <c r="D7" s="89" t="s">
        <v>514</v>
      </c>
      <c r="E7" s="85" t="s">
        <v>191</v>
      </c>
      <c r="F7" s="87" t="s">
        <v>179</v>
      </c>
      <c r="G7" s="87" t="s">
        <v>147</v>
      </c>
      <c r="H7" s="85" t="s">
        <v>512</v>
      </c>
      <c r="I7" s="90">
        <v>129</v>
      </c>
      <c r="J7" s="15" t="s">
        <v>154</v>
      </c>
      <c r="K7" s="15" t="s">
        <v>154</v>
      </c>
      <c r="L7" s="15" t="s">
        <v>154</v>
      </c>
      <c r="M7" s="15" t="s">
        <v>154</v>
      </c>
      <c r="N7" s="15" t="s">
        <v>154</v>
      </c>
      <c r="O7" s="15" t="s">
        <v>154</v>
      </c>
      <c r="P7" s="15" t="s">
        <v>154</v>
      </c>
      <c r="Q7" s="15" t="s">
        <v>154</v>
      </c>
      <c r="R7" s="15" t="s">
        <v>154</v>
      </c>
      <c r="S7" s="15" t="s">
        <v>154</v>
      </c>
      <c r="T7" s="15" t="s">
        <v>154</v>
      </c>
      <c r="U7" s="15" t="s">
        <v>154</v>
      </c>
      <c r="V7" s="15" t="s">
        <v>154</v>
      </c>
      <c r="W7" s="15" t="s">
        <v>154</v>
      </c>
      <c r="X7" s="15" t="s">
        <v>154</v>
      </c>
      <c r="Y7" s="15" t="s">
        <v>154</v>
      </c>
      <c r="Z7" s="15" t="s">
        <v>154</v>
      </c>
      <c r="AA7" s="15" t="s">
        <v>154</v>
      </c>
      <c r="AB7" s="90" t="s">
        <v>195</v>
      </c>
      <c r="AC7" s="90" t="s">
        <v>195</v>
      </c>
      <c r="AD7" s="125">
        <v>0</v>
      </c>
      <c r="AE7" s="28" t="s">
        <v>150</v>
      </c>
      <c r="AF7" s="258" t="s">
        <v>154</v>
      </c>
      <c r="AG7" s="97" t="s">
        <v>154</v>
      </c>
      <c r="AH7" s="270">
        <v>0</v>
      </c>
      <c r="AI7" s="199" t="s">
        <v>150</v>
      </c>
      <c r="AJ7" s="270">
        <v>0</v>
      </c>
      <c r="AK7" s="199" t="s">
        <v>150</v>
      </c>
    </row>
    <row r="8" spans="1:39" x14ac:dyDescent="0.25">
      <c r="A8" s="87" t="s">
        <v>561</v>
      </c>
      <c r="B8" s="88" t="s">
        <v>31</v>
      </c>
      <c r="C8" s="263" t="s">
        <v>35</v>
      </c>
      <c r="D8" s="89" t="s">
        <v>514</v>
      </c>
      <c r="E8" s="85" t="s">
        <v>191</v>
      </c>
      <c r="F8" s="87" t="s">
        <v>179</v>
      </c>
      <c r="G8" s="87" t="s">
        <v>147</v>
      </c>
      <c r="H8" s="85" t="s">
        <v>513</v>
      </c>
      <c r="I8" s="90">
        <v>7</v>
      </c>
      <c r="J8" s="15" t="s">
        <v>154</v>
      </c>
      <c r="K8" s="15" t="s">
        <v>154</v>
      </c>
      <c r="L8" s="15" t="s">
        <v>154</v>
      </c>
      <c r="M8" s="15" t="s">
        <v>154</v>
      </c>
      <c r="N8" s="15" t="s">
        <v>154</v>
      </c>
      <c r="O8" s="15" t="s">
        <v>154</v>
      </c>
      <c r="P8" s="15" t="s">
        <v>154</v>
      </c>
      <c r="Q8" s="15" t="s">
        <v>154</v>
      </c>
      <c r="R8" s="15" t="s">
        <v>154</v>
      </c>
      <c r="S8" s="15" t="s">
        <v>154</v>
      </c>
      <c r="T8" s="15" t="s">
        <v>154</v>
      </c>
      <c r="U8" s="15" t="s">
        <v>154</v>
      </c>
      <c r="V8" s="15" t="s">
        <v>154</v>
      </c>
      <c r="W8" s="15" t="s">
        <v>154</v>
      </c>
      <c r="X8" s="15" t="s">
        <v>154</v>
      </c>
      <c r="Y8" s="15" t="s">
        <v>154</v>
      </c>
      <c r="Z8" s="15" t="s">
        <v>154</v>
      </c>
      <c r="AA8" s="15" t="s">
        <v>154</v>
      </c>
      <c r="AB8" s="90" t="s">
        <v>195</v>
      </c>
      <c r="AC8" s="90" t="s">
        <v>195</v>
      </c>
      <c r="AD8" s="125">
        <v>17</v>
      </c>
      <c r="AE8" s="28" t="s">
        <v>194</v>
      </c>
      <c r="AF8" s="258">
        <v>11</v>
      </c>
      <c r="AG8" s="28" t="s">
        <v>194</v>
      </c>
      <c r="AH8" s="270">
        <v>13</v>
      </c>
      <c r="AI8" s="28" t="s">
        <v>194</v>
      </c>
      <c r="AJ8" s="270">
        <v>12</v>
      </c>
      <c r="AK8" s="28" t="s">
        <v>194</v>
      </c>
    </row>
    <row r="9" spans="1:39" x14ac:dyDescent="0.25">
      <c r="A9" s="87" t="s">
        <v>561</v>
      </c>
      <c r="B9" s="88" t="s">
        <v>31</v>
      </c>
      <c r="C9" s="263" t="s">
        <v>35</v>
      </c>
      <c r="D9" s="89" t="s">
        <v>514</v>
      </c>
      <c r="E9" s="85" t="s">
        <v>191</v>
      </c>
      <c r="F9" s="87" t="s">
        <v>179</v>
      </c>
      <c r="G9" s="87" t="s">
        <v>147</v>
      </c>
      <c r="H9" s="85" t="s">
        <v>513</v>
      </c>
      <c r="I9" s="90">
        <v>15</v>
      </c>
      <c r="J9" s="15" t="s">
        <v>154</v>
      </c>
      <c r="K9" s="15" t="s">
        <v>154</v>
      </c>
      <c r="L9" s="15" t="s">
        <v>154</v>
      </c>
      <c r="M9" s="15" t="s">
        <v>154</v>
      </c>
      <c r="N9" s="15" t="s">
        <v>154</v>
      </c>
      <c r="O9" s="15" t="s">
        <v>154</v>
      </c>
      <c r="P9" s="15" t="s">
        <v>154</v>
      </c>
      <c r="Q9" s="15" t="s">
        <v>154</v>
      </c>
      <c r="R9" s="15" t="s">
        <v>154</v>
      </c>
      <c r="S9" s="15" t="s">
        <v>154</v>
      </c>
      <c r="T9" s="15" t="s">
        <v>154</v>
      </c>
      <c r="U9" s="15" t="s">
        <v>154</v>
      </c>
      <c r="V9" s="15" t="s">
        <v>154</v>
      </c>
      <c r="W9" s="15" t="s">
        <v>154</v>
      </c>
      <c r="X9" s="15" t="s">
        <v>154</v>
      </c>
      <c r="Y9" s="15" t="s">
        <v>154</v>
      </c>
      <c r="Z9" s="15" t="s">
        <v>154</v>
      </c>
      <c r="AA9" s="15" t="s">
        <v>154</v>
      </c>
      <c r="AB9" s="90" t="s">
        <v>195</v>
      </c>
      <c r="AC9" s="90" t="s">
        <v>195</v>
      </c>
      <c r="AD9" s="125">
        <v>14</v>
      </c>
      <c r="AE9" s="28" t="s">
        <v>150</v>
      </c>
      <c r="AF9" s="258">
        <v>21</v>
      </c>
      <c r="AG9" s="28" t="s">
        <v>194</v>
      </c>
      <c r="AH9" s="270">
        <v>12</v>
      </c>
      <c r="AI9" s="199" t="s">
        <v>150</v>
      </c>
      <c r="AJ9" s="270">
        <v>15</v>
      </c>
      <c r="AK9" s="199" t="s">
        <v>150</v>
      </c>
    </row>
    <row r="10" spans="1:39" x14ac:dyDescent="0.25">
      <c r="A10" s="87" t="s">
        <v>69</v>
      </c>
      <c r="B10" s="5" t="s">
        <v>27</v>
      </c>
      <c r="C10" s="5" t="s">
        <v>568</v>
      </c>
      <c r="D10" s="26" t="s">
        <v>29</v>
      </c>
      <c r="E10" s="26" t="s">
        <v>191</v>
      </c>
      <c r="F10" s="21" t="s">
        <v>179</v>
      </c>
      <c r="G10" s="21" t="s">
        <v>147</v>
      </c>
      <c r="H10" s="27" t="s">
        <v>197</v>
      </c>
      <c r="I10" s="15" t="s">
        <v>181</v>
      </c>
      <c r="J10" s="17" t="s">
        <v>195</v>
      </c>
      <c r="K10" s="28" t="s">
        <v>195</v>
      </c>
      <c r="L10" s="17" t="s">
        <v>195</v>
      </c>
      <c r="M10" s="28" t="s">
        <v>195</v>
      </c>
      <c r="N10" s="17" t="s">
        <v>195</v>
      </c>
      <c r="O10" s="28" t="s">
        <v>195</v>
      </c>
      <c r="P10" s="17" t="s">
        <v>195</v>
      </c>
      <c r="Q10" s="28" t="s">
        <v>195</v>
      </c>
      <c r="R10" s="28" t="s">
        <v>195</v>
      </c>
      <c r="S10" s="28" t="s">
        <v>196</v>
      </c>
      <c r="T10" s="28" t="s">
        <v>195</v>
      </c>
      <c r="U10" s="28" t="s">
        <v>195</v>
      </c>
      <c r="V10" s="28" t="s">
        <v>195</v>
      </c>
      <c r="W10" s="28" t="s">
        <v>195</v>
      </c>
      <c r="X10" s="28" t="s">
        <v>195</v>
      </c>
      <c r="Y10" s="28" t="s">
        <v>195</v>
      </c>
      <c r="Z10" s="28" t="s">
        <v>154</v>
      </c>
      <c r="AA10" s="15" t="s">
        <v>154</v>
      </c>
      <c r="AB10" s="95" t="s">
        <v>154</v>
      </c>
      <c r="AC10" s="15" t="s">
        <v>154</v>
      </c>
      <c r="AD10" s="97" t="str">
        <f t="shared" ref="AD10:AD16" si="0">IF(AC10="NA","NA",IF(AC10="Not Reported","Not Reported",IF(AC10&gt;$L$237,"Not Met","Met")))</f>
        <v>NA</v>
      </c>
      <c r="AE10" s="97" t="s">
        <v>154</v>
      </c>
      <c r="AF10" s="95" t="s">
        <v>154</v>
      </c>
      <c r="AG10" s="97" t="s">
        <v>154</v>
      </c>
      <c r="AH10" s="95" t="s">
        <v>154</v>
      </c>
      <c r="AI10" s="97" t="s">
        <v>154</v>
      </c>
      <c r="AJ10" s="95" t="s">
        <v>154</v>
      </c>
      <c r="AK10" s="97" t="s">
        <v>154</v>
      </c>
    </row>
    <row r="11" spans="1:39" x14ac:dyDescent="0.25">
      <c r="A11" s="87" t="s">
        <v>69</v>
      </c>
      <c r="B11" s="5" t="s">
        <v>27</v>
      </c>
      <c r="C11" s="5" t="s">
        <v>568</v>
      </c>
      <c r="D11" s="26" t="s">
        <v>29</v>
      </c>
      <c r="E11" s="26" t="s">
        <v>191</v>
      </c>
      <c r="F11" s="21" t="s">
        <v>179</v>
      </c>
      <c r="G11" s="21" t="s">
        <v>147</v>
      </c>
      <c r="H11" s="21" t="s">
        <v>207</v>
      </c>
      <c r="I11" s="15">
        <v>0.4</v>
      </c>
      <c r="J11" s="17" t="s">
        <v>195</v>
      </c>
      <c r="K11" s="28" t="s">
        <v>195</v>
      </c>
      <c r="L11" s="17" t="s">
        <v>195</v>
      </c>
      <c r="M11" s="28" t="s">
        <v>195</v>
      </c>
      <c r="N11" s="17" t="s">
        <v>195</v>
      </c>
      <c r="O11" s="28" t="s">
        <v>195</v>
      </c>
      <c r="P11" s="17" t="s">
        <v>195</v>
      </c>
      <c r="Q11" s="28" t="s">
        <v>195</v>
      </c>
      <c r="R11" s="28" t="s">
        <v>195</v>
      </c>
      <c r="S11" s="28" t="s">
        <v>196</v>
      </c>
      <c r="T11" s="28" t="s">
        <v>195</v>
      </c>
      <c r="U11" s="28" t="s">
        <v>195</v>
      </c>
      <c r="V11" s="28" t="s">
        <v>195</v>
      </c>
      <c r="W11" s="28" t="s">
        <v>195</v>
      </c>
      <c r="X11" s="28" t="s">
        <v>195</v>
      </c>
      <c r="Y11" s="28" t="s">
        <v>195</v>
      </c>
      <c r="Z11" s="28" t="s">
        <v>154</v>
      </c>
      <c r="AA11" s="15" t="s">
        <v>154</v>
      </c>
      <c r="AB11" s="95" t="s">
        <v>154</v>
      </c>
      <c r="AC11" s="15" t="s">
        <v>154</v>
      </c>
      <c r="AD11" s="97" t="str">
        <f t="shared" si="0"/>
        <v>NA</v>
      </c>
      <c r="AE11" s="97" t="s">
        <v>154</v>
      </c>
      <c r="AF11" s="95" t="s">
        <v>154</v>
      </c>
      <c r="AG11" s="97" t="s">
        <v>154</v>
      </c>
      <c r="AH11" s="95" t="s">
        <v>154</v>
      </c>
      <c r="AI11" s="97" t="s">
        <v>154</v>
      </c>
      <c r="AJ11" s="95" t="s">
        <v>154</v>
      </c>
      <c r="AK11" s="97" t="s">
        <v>154</v>
      </c>
    </row>
    <row r="12" spans="1:39" x14ac:dyDescent="0.25">
      <c r="A12" s="87" t="s">
        <v>69</v>
      </c>
      <c r="B12" s="5" t="s">
        <v>27</v>
      </c>
      <c r="C12" s="5" t="s">
        <v>568</v>
      </c>
      <c r="D12" s="26" t="s">
        <v>29</v>
      </c>
      <c r="E12" s="26" t="s">
        <v>191</v>
      </c>
      <c r="F12" s="21" t="s">
        <v>179</v>
      </c>
      <c r="G12" s="21" t="s">
        <v>147</v>
      </c>
      <c r="H12" s="27" t="s">
        <v>186</v>
      </c>
      <c r="I12" s="15">
        <v>0.2</v>
      </c>
      <c r="J12" s="17" t="s">
        <v>195</v>
      </c>
      <c r="K12" s="28" t="s">
        <v>195</v>
      </c>
      <c r="L12" s="17" t="s">
        <v>195</v>
      </c>
      <c r="M12" s="28" t="s">
        <v>195</v>
      </c>
      <c r="N12" s="17" t="s">
        <v>195</v>
      </c>
      <c r="O12" s="28" t="s">
        <v>195</v>
      </c>
      <c r="P12" s="17" t="s">
        <v>195</v>
      </c>
      <c r="Q12" s="28" t="s">
        <v>195</v>
      </c>
      <c r="R12" s="28" t="s">
        <v>195</v>
      </c>
      <c r="S12" s="28" t="s">
        <v>196</v>
      </c>
      <c r="T12" s="28" t="s">
        <v>195</v>
      </c>
      <c r="U12" s="28" t="s">
        <v>195</v>
      </c>
      <c r="V12" s="28" t="s">
        <v>195</v>
      </c>
      <c r="W12" s="28" t="s">
        <v>195</v>
      </c>
      <c r="X12" s="28" t="s">
        <v>195</v>
      </c>
      <c r="Y12" s="28" t="s">
        <v>195</v>
      </c>
      <c r="Z12" s="28" t="s">
        <v>154</v>
      </c>
      <c r="AA12" s="15" t="s">
        <v>154</v>
      </c>
      <c r="AB12" s="95" t="s">
        <v>154</v>
      </c>
      <c r="AC12" s="15" t="s">
        <v>154</v>
      </c>
      <c r="AD12" s="97" t="str">
        <f t="shared" si="0"/>
        <v>NA</v>
      </c>
      <c r="AE12" s="97" t="s">
        <v>154</v>
      </c>
      <c r="AF12" s="95" t="s">
        <v>154</v>
      </c>
      <c r="AG12" s="97" t="s">
        <v>154</v>
      </c>
      <c r="AH12" s="95" t="s">
        <v>154</v>
      </c>
      <c r="AI12" s="97" t="s">
        <v>154</v>
      </c>
      <c r="AJ12" s="95" t="s">
        <v>154</v>
      </c>
      <c r="AK12" s="97" t="s">
        <v>154</v>
      </c>
    </row>
    <row r="13" spans="1:39" x14ac:dyDescent="0.25">
      <c r="A13" s="21" t="s">
        <v>69</v>
      </c>
      <c r="B13" s="5" t="s">
        <v>27</v>
      </c>
      <c r="C13" s="5" t="s">
        <v>568</v>
      </c>
      <c r="D13" s="26" t="s">
        <v>29</v>
      </c>
      <c r="E13" s="26" t="s">
        <v>191</v>
      </c>
      <c r="F13" s="21" t="s">
        <v>179</v>
      </c>
      <c r="G13" s="21" t="s">
        <v>147</v>
      </c>
      <c r="H13" s="27" t="s">
        <v>190</v>
      </c>
      <c r="I13" s="15">
        <v>0.9</v>
      </c>
      <c r="J13" s="17" t="s">
        <v>195</v>
      </c>
      <c r="K13" s="28" t="s">
        <v>195</v>
      </c>
      <c r="L13" s="17" t="s">
        <v>195</v>
      </c>
      <c r="M13" s="28" t="s">
        <v>195</v>
      </c>
      <c r="N13" s="17" t="s">
        <v>195</v>
      </c>
      <c r="O13" s="28" t="s">
        <v>195</v>
      </c>
      <c r="P13" s="17" t="s">
        <v>195</v>
      </c>
      <c r="Q13" s="28" t="s">
        <v>195</v>
      </c>
      <c r="R13" s="28" t="s">
        <v>195</v>
      </c>
      <c r="S13" s="28" t="s">
        <v>196</v>
      </c>
      <c r="T13" s="28" t="s">
        <v>195</v>
      </c>
      <c r="U13" s="28" t="s">
        <v>195</v>
      </c>
      <c r="V13" s="28" t="s">
        <v>195</v>
      </c>
      <c r="W13" s="28" t="s">
        <v>195</v>
      </c>
      <c r="X13" s="28" t="s">
        <v>195</v>
      </c>
      <c r="Y13" s="28" t="s">
        <v>195</v>
      </c>
      <c r="Z13" s="28" t="s">
        <v>154</v>
      </c>
      <c r="AA13" s="15" t="s">
        <v>154</v>
      </c>
      <c r="AB13" s="95" t="s">
        <v>154</v>
      </c>
      <c r="AC13" s="15" t="s">
        <v>154</v>
      </c>
      <c r="AD13" s="97" t="str">
        <f t="shared" si="0"/>
        <v>NA</v>
      </c>
      <c r="AE13" s="97" t="s">
        <v>154</v>
      </c>
      <c r="AF13" s="95" t="s">
        <v>154</v>
      </c>
      <c r="AG13" s="97" t="s">
        <v>154</v>
      </c>
      <c r="AH13" s="95" t="s">
        <v>154</v>
      </c>
      <c r="AI13" s="97" t="s">
        <v>154</v>
      </c>
      <c r="AJ13" s="95" t="s">
        <v>154</v>
      </c>
      <c r="AK13" s="97" t="s">
        <v>154</v>
      </c>
    </row>
    <row r="14" spans="1:39" x14ac:dyDescent="0.25">
      <c r="A14" s="21" t="s">
        <v>69</v>
      </c>
      <c r="B14" s="5" t="s">
        <v>27</v>
      </c>
      <c r="C14" s="5" t="s">
        <v>568</v>
      </c>
      <c r="D14" s="26" t="s">
        <v>29</v>
      </c>
      <c r="E14" s="26" t="s">
        <v>191</v>
      </c>
      <c r="F14" s="21" t="s">
        <v>179</v>
      </c>
      <c r="G14" s="21" t="s">
        <v>147</v>
      </c>
      <c r="H14" s="27" t="s">
        <v>180</v>
      </c>
      <c r="I14" s="15" t="s">
        <v>374</v>
      </c>
      <c r="J14" s="17" t="s">
        <v>195</v>
      </c>
      <c r="K14" s="28" t="s">
        <v>195</v>
      </c>
      <c r="L14" s="17" t="s">
        <v>195</v>
      </c>
      <c r="M14" s="28" t="s">
        <v>195</v>
      </c>
      <c r="N14" s="17" t="s">
        <v>195</v>
      </c>
      <c r="O14" s="28" t="s">
        <v>195</v>
      </c>
      <c r="P14" s="17" t="s">
        <v>195</v>
      </c>
      <c r="Q14" s="28" t="s">
        <v>195</v>
      </c>
      <c r="R14" s="28" t="s">
        <v>195</v>
      </c>
      <c r="S14" s="28" t="s">
        <v>196</v>
      </c>
      <c r="T14" s="28" t="s">
        <v>195</v>
      </c>
      <c r="U14" s="28" t="s">
        <v>195</v>
      </c>
      <c r="V14" s="28" t="s">
        <v>195</v>
      </c>
      <c r="W14" s="28" t="s">
        <v>195</v>
      </c>
      <c r="X14" s="28" t="s">
        <v>195</v>
      </c>
      <c r="Y14" s="28" t="s">
        <v>195</v>
      </c>
      <c r="Z14" s="28" t="s">
        <v>154</v>
      </c>
      <c r="AA14" s="15" t="s">
        <v>154</v>
      </c>
      <c r="AB14" s="95" t="s">
        <v>154</v>
      </c>
      <c r="AC14" s="15" t="s">
        <v>154</v>
      </c>
      <c r="AD14" s="97" t="str">
        <f t="shared" si="0"/>
        <v>NA</v>
      </c>
      <c r="AE14" s="97" t="s">
        <v>154</v>
      </c>
      <c r="AF14" s="95" t="s">
        <v>154</v>
      </c>
      <c r="AG14" s="97" t="s">
        <v>154</v>
      </c>
      <c r="AH14" s="95" t="s">
        <v>154</v>
      </c>
      <c r="AI14" s="97" t="s">
        <v>154</v>
      </c>
      <c r="AJ14" s="95" t="s">
        <v>154</v>
      </c>
      <c r="AK14" s="97" t="s">
        <v>154</v>
      </c>
    </row>
    <row r="15" spans="1:39" x14ac:dyDescent="0.25">
      <c r="A15" s="21" t="s">
        <v>69</v>
      </c>
      <c r="B15" s="5" t="s">
        <v>27</v>
      </c>
      <c r="C15" s="5" t="s">
        <v>568</v>
      </c>
      <c r="D15" s="26" t="s">
        <v>29</v>
      </c>
      <c r="E15" s="26" t="s">
        <v>191</v>
      </c>
      <c r="F15" s="21" t="s">
        <v>179</v>
      </c>
      <c r="G15" s="21" t="s">
        <v>147</v>
      </c>
      <c r="H15" s="27" t="s">
        <v>188</v>
      </c>
      <c r="I15" s="15">
        <v>0.2</v>
      </c>
      <c r="J15" s="17" t="s">
        <v>195</v>
      </c>
      <c r="K15" s="28" t="s">
        <v>195</v>
      </c>
      <c r="L15" s="17" t="s">
        <v>195</v>
      </c>
      <c r="M15" s="28" t="s">
        <v>195</v>
      </c>
      <c r="N15" s="17" t="s">
        <v>195</v>
      </c>
      <c r="O15" s="28" t="s">
        <v>195</v>
      </c>
      <c r="P15" s="17" t="s">
        <v>195</v>
      </c>
      <c r="Q15" s="28" t="s">
        <v>195</v>
      </c>
      <c r="R15" s="28" t="s">
        <v>195</v>
      </c>
      <c r="S15" s="28" t="s">
        <v>196</v>
      </c>
      <c r="T15" s="28" t="s">
        <v>195</v>
      </c>
      <c r="U15" s="28" t="s">
        <v>195</v>
      </c>
      <c r="V15" s="28" t="s">
        <v>195</v>
      </c>
      <c r="W15" s="28" t="s">
        <v>195</v>
      </c>
      <c r="X15" s="28" t="s">
        <v>195</v>
      </c>
      <c r="Y15" s="28" t="s">
        <v>195</v>
      </c>
      <c r="Z15" s="28" t="s">
        <v>154</v>
      </c>
      <c r="AA15" s="15" t="s">
        <v>154</v>
      </c>
      <c r="AB15" s="95" t="s">
        <v>154</v>
      </c>
      <c r="AC15" s="15" t="s">
        <v>154</v>
      </c>
      <c r="AD15" s="97" t="str">
        <f t="shared" si="0"/>
        <v>NA</v>
      </c>
      <c r="AE15" s="97" t="s">
        <v>154</v>
      </c>
      <c r="AF15" s="95" t="s">
        <v>154</v>
      </c>
      <c r="AG15" s="97" t="s">
        <v>154</v>
      </c>
      <c r="AH15" s="95" t="s">
        <v>154</v>
      </c>
      <c r="AI15" s="97" t="s">
        <v>154</v>
      </c>
      <c r="AJ15" s="95" t="s">
        <v>154</v>
      </c>
      <c r="AK15" s="97" t="s">
        <v>154</v>
      </c>
    </row>
    <row r="16" spans="1:39" x14ac:dyDescent="0.25">
      <c r="A16" s="21" t="s">
        <v>69</v>
      </c>
      <c r="B16" s="5" t="s">
        <v>27</v>
      </c>
      <c r="C16" s="5" t="s">
        <v>568</v>
      </c>
      <c r="D16" s="26" t="s">
        <v>29</v>
      </c>
      <c r="E16" s="26" t="s">
        <v>191</v>
      </c>
      <c r="F16" s="21" t="s">
        <v>179</v>
      </c>
      <c r="G16" s="21" t="s">
        <v>147</v>
      </c>
      <c r="H16" s="21" t="s">
        <v>189</v>
      </c>
      <c r="I16" s="15">
        <v>0.25</v>
      </c>
      <c r="J16" s="17" t="s">
        <v>195</v>
      </c>
      <c r="K16" s="28" t="s">
        <v>195</v>
      </c>
      <c r="L16" s="17" t="s">
        <v>195</v>
      </c>
      <c r="M16" s="28" t="s">
        <v>195</v>
      </c>
      <c r="N16" s="17" t="s">
        <v>195</v>
      </c>
      <c r="O16" s="28" t="s">
        <v>195</v>
      </c>
      <c r="P16" s="17" t="s">
        <v>195</v>
      </c>
      <c r="Q16" s="28" t="s">
        <v>195</v>
      </c>
      <c r="R16" s="28" t="s">
        <v>195</v>
      </c>
      <c r="S16" s="28" t="s">
        <v>196</v>
      </c>
      <c r="T16" s="28" t="s">
        <v>195</v>
      </c>
      <c r="U16" s="28" t="s">
        <v>195</v>
      </c>
      <c r="V16" s="28" t="s">
        <v>195</v>
      </c>
      <c r="W16" s="28" t="s">
        <v>195</v>
      </c>
      <c r="X16" s="28" t="s">
        <v>195</v>
      </c>
      <c r="Y16" s="28" t="s">
        <v>195</v>
      </c>
      <c r="Z16" s="28" t="s">
        <v>154</v>
      </c>
      <c r="AA16" s="15" t="s">
        <v>154</v>
      </c>
      <c r="AB16" s="95" t="s">
        <v>154</v>
      </c>
      <c r="AC16" s="15" t="s">
        <v>154</v>
      </c>
      <c r="AD16" s="97" t="str">
        <f t="shared" si="0"/>
        <v>NA</v>
      </c>
      <c r="AE16" s="97" t="s">
        <v>154</v>
      </c>
      <c r="AF16" s="95" t="s">
        <v>154</v>
      </c>
      <c r="AG16" s="97" t="s">
        <v>154</v>
      </c>
      <c r="AH16" s="95" t="s">
        <v>154</v>
      </c>
      <c r="AI16" s="97" t="s">
        <v>154</v>
      </c>
      <c r="AJ16" s="95" t="s">
        <v>154</v>
      </c>
      <c r="AK16" s="97" t="s">
        <v>154</v>
      </c>
    </row>
    <row r="17" spans="1:37" x14ac:dyDescent="0.25">
      <c r="A17" s="21" t="s">
        <v>72</v>
      </c>
      <c r="B17" s="5" t="s">
        <v>31</v>
      </c>
      <c r="C17" s="76" t="s">
        <v>92</v>
      </c>
      <c r="D17" s="26" t="s">
        <v>43</v>
      </c>
      <c r="E17" s="26" t="s">
        <v>145</v>
      </c>
      <c r="F17" s="21" t="s">
        <v>146</v>
      </c>
      <c r="G17" s="21" t="s">
        <v>147</v>
      </c>
      <c r="H17" s="27" t="s">
        <v>197</v>
      </c>
      <c r="I17" s="14" t="s">
        <v>216</v>
      </c>
      <c r="J17" s="28" t="s">
        <v>277</v>
      </c>
      <c r="K17" s="28" t="s">
        <v>194</v>
      </c>
      <c r="L17" s="28" t="s">
        <v>206</v>
      </c>
      <c r="M17" s="15" t="s">
        <v>154</v>
      </c>
      <c r="N17" s="28" t="s">
        <v>206</v>
      </c>
      <c r="O17" s="15" t="s">
        <v>154</v>
      </c>
      <c r="P17" s="28" t="s">
        <v>206</v>
      </c>
      <c r="Q17" s="15" t="s">
        <v>154</v>
      </c>
      <c r="R17" s="17" t="s">
        <v>154</v>
      </c>
      <c r="S17" s="15" t="s">
        <v>154</v>
      </c>
      <c r="T17" s="17" t="s">
        <v>154</v>
      </c>
      <c r="U17" s="15" t="s">
        <v>154</v>
      </c>
      <c r="V17" s="17" t="s">
        <v>154</v>
      </c>
      <c r="W17" s="15" t="s">
        <v>154</v>
      </c>
      <c r="X17" s="17" t="s">
        <v>154</v>
      </c>
      <c r="Y17" s="15" t="s">
        <v>154</v>
      </c>
      <c r="Z17" s="17" t="s">
        <v>154</v>
      </c>
      <c r="AA17" s="15" t="s">
        <v>154</v>
      </c>
      <c r="AB17" s="95" t="s">
        <v>154</v>
      </c>
      <c r="AC17" s="15" t="s">
        <v>154</v>
      </c>
      <c r="AD17" s="97" t="s">
        <v>154</v>
      </c>
      <c r="AE17" s="97" t="s">
        <v>154</v>
      </c>
      <c r="AF17" s="95" t="s">
        <v>154</v>
      </c>
      <c r="AG17" s="97" t="s">
        <v>154</v>
      </c>
      <c r="AH17" s="95" t="s">
        <v>154</v>
      </c>
      <c r="AI17" s="97" t="s">
        <v>154</v>
      </c>
      <c r="AJ17" s="95">
        <v>86</v>
      </c>
      <c r="AK17" s="28" t="s">
        <v>194</v>
      </c>
    </row>
    <row r="18" spans="1:37" x14ac:dyDescent="0.25">
      <c r="A18" s="21" t="s">
        <v>72</v>
      </c>
      <c r="B18" s="5" t="s">
        <v>31</v>
      </c>
      <c r="C18" s="76" t="s">
        <v>92</v>
      </c>
      <c r="D18" s="26" t="s">
        <v>43</v>
      </c>
      <c r="E18" s="26" t="s">
        <v>145</v>
      </c>
      <c r="F18" s="21" t="s">
        <v>146</v>
      </c>
      <c r="G18" s="21" t="s">
        <v>147</v>
      </c>
      <c r="H18" s="27" t="s">
        <v>180</v>
      </c>
      <c r="I18" s="14" t="s">
        <v>383</v>
      </c>
      <c r="J18" s="28" t="s">
        <v>384</v>
      </c>
      <c r="K18" s="28" t="s">
        <v>194</v>
      </c>
      <c r="L18" s="28" t="s">
        <v>206</v>
      </c>
      <c r="M18" s="15" t="s">
        <v>154</v>
      </c>
      <c r="N18" s="28" t="s">
        <v>206</v>
      </c>
      <c r="O18" s="15" t="s">
        <v>154</v>
      </c>
      <c r="P18" s="28" t="s">
        <v>206</v>
      </c>
      <c r="Q18" s="15" t="s">
        <v>154</v>
      </c>
      <c r="R18" s="17" t="s">
        <v>154</v>
      </c>
      <c r="S18" s="15" t="s">
        <v>154</v>
      </c>
      <c r="T18" s="17" t="s">
        <v>154</v>
      </c>
      <c r="U18" s="15" t="s">
        <v>154</v>
      </c>
      <c r="V18" s="17" t="s">
        <v>154</v>
      </c>
      <c r="W18" s="15" t="s">
        <v>154</v>
      </c>
      <c r="X18" s="17" t="s">
        <v>154</v>
      </c>
      <c r="Y18" s="15" t="s">
        <v>154</v>
      </c>
      <c r="Z18" s="17" t="s">
        <v>154</v>
      </c>
      <c r="AA18" s="15" t="s">
        <v>154</v>
      </c>
      <c r="AB18" s="95" t="s">
        <v>154</v>
      </c>
      <c r="AC18" s="15" t="s">
        <v>154</v>
      </c>
      <c r="AD18" s="97" t="s">
        <v>154</v>
      </c>
      <c r="AE18" s="97" t="s">
        <v>154</v>
      </c>
      <c r="AF18" s="95" t="s">
        <v>154</v>
      </c>
      <c r="AG18" s="97" t="s">
        <v>154</v>
      </c>
      <c r="AH18" s="95" t="s">
        <v>154</v>
      </c>
      <c r="AI18" s="97" t="s">
        <v>154</v>
      </c>
      <c r="AJ18" s="95">
        <v>146</v>
      </c>
      <c r="AK18" s="28" t="s">
        <v>194</v>
      </c>
    </row>
    <row r="19" spans="1:37" x14ac:dyDescent="0.25">
      <c r="A19" s="21" t="s">
        <v>72</v>
      </c>
      <c r="B19" s="5" t="s">
        <v>31</v>
      </c>
      <c r="C19" s="76" t="s">
        <v>92</v>
      </c>
      <c r="D19" s="26" t="s">
        <v>43</v>
      </c>
      <c r="E19" s="26" t="s">
        <v>145</v>
      </c>
      <c r="F19" s="21" t="s">
        <v>146</v>
      </c>
      <c r="G19" s="21" t="s">
        <v>147</v>
      </c>
      <c r="H19" s="21" t="s">
        <v>189</v>
      </c>
      <c r="I19" s="11">
        <v>0.3</v>
      </c>
      <c r="J19" s="29">
        <v>0.06</v>
      </c>
      <c r="K19" s="28" t="s">
        <v>150</v>
      </c>
      <c r="L19" s="28" t="s">
        <v>206</v>
      </c>
      <c r="M19" s="15" t="s">
        <v>154</v>
      </c>
      <c r="N19" s="28" t="s">
        <v>206</v>
      </c>
      <c r="O19" s="15" t="s">
        <v>154</v>
      </c>
      <c r="P19" s="28" t="s">
        <v>206</v>
      </c>
      <c r="Q19" s="15" t="s">
        <v>154</v>
      </c>
      <c r="R19" s="17" t="s">
        <v>154</v>
      </c>
      <c r="S19" s="15" t="s">
        <v>154</v>
      </c>
      <c r="T19" s="17" t="s">
        <v>154</v>
      </c>
      <c r="U19" s="15" t="s">
        <v>154</v>
      </c>
      <c r="V19" s="17" t="s">
        <v>154</v>
      </c>
      <c r="W19" s="15" t="s">
        <v>154</v>
      </c>
      <c r="X19" s="17" t="s">
        <v>154</v>
      </c>
      <c r="Y19" s="15" t="s">
        <v>154</v>
      </c>
      <c r="Z19" s="17" t="s">
        <v>154</v>
      </c>
      <c r="AA19" s="15" t="s">
        <v>154</v>
      </c>
      <c r="AB19" s="95" t="s">
        <v>154</v>
      </c>
      <c r="AC19" s="15" t="s">
        <v>154</v>
      </c>
      <c r="AD19" s="97" t="s">
        <v>154</v>
      </c>
      <c r="AE19" s="97" t="s">
        <v>154</v>
      </c>
      <c r="AF19" s="95" t="s">
        <v>154</v>
      </c>
      <c r="AG19" s="97" t="s">
        <v>154</v>
      </c>
      <c r="AH19" s="95" t="s">
        <v>154</v>
      </c>
      <c r="AI19" s="97" t="s">
        <v>154</v>
      </c>
      <c r="AJ19" s="102">
        <v>0.06</v>
      </c>
      <c r="AK19" s="199" t="s">
        <v>150</v>
      </c>
    </row>
    <row r="20" spans="1:37" x14ac:dyDescent="0.25">
      <c r="A20" s="21" t="s">
        <v>72</v>
      </c>
      <c r="B20" s="5" t="s">
        <v>31</v>
      </c>
      <c r="C20" s="76" t="s">
        <v>92</v>
      </c>
      <c r="D20" s="26" t="s">
        <v>43</v>
      </c>
      <c r="E20" s="26" t="s">
        <v>145</v>
      </c>
      <c r="F20" s="21" t="s">
        <v>146</v>
      </c>
      <c r="G20" s="21" t="s">
        <v>147</v>
      </c>
      <c r="H20" s="21" t="s">
        <v>381</v>
      </c>
      <c r="I20" s="11">
        <v>0.6</v>
      </c>
      <c r="J20" s="29">
        <v>0.71</v>
      </c>
      <c r="K20" s="28" t="s">
        <v>150</v>
      </c>
      <c r="L20" s="28" t="s">
        <v>206</v>
      </c>
      <c r="M20" s="15" t="s">
        <v>154</v>
      </c>
      <c r="N20" s="28" t="s">
        <v>206</v>
      </c>
      <c r="O20" s="15" t="s">
        <v>154</v>
      </c>
      <c r="P20" s="28" t="s">
        <v>206</v>
      </c>
      <c r="Q20" s="15" t="s">
        <v>154</v>
      </c>
      <c r="R20" s="17" t="s">
        <v>154</v>
      </c>
      <c r="S20" s="15" t="s">
        <v>154</v>
      </c>
      <c r="T20" s="17" t="s">
        <v>154</v>
      </c>
      <c r="U20" s="15" t="s">
        <v>154</v>
      </c>
      <c r="V20" s="17" t="s">
        <v>154</v>
      </c>
      <c r="W20" s="15" t="s">
        <v>154</v>
      </c>
      <c r="X20" s="17" t="s">
        <v>154</v>
      </c>
      <c r="Y20" s="15" t="s">
        <v>154</v>
      </c>
      <c r="Z20" s="17" t="s">
        <v>154</v>
      </c>
      <c r="AA20" s="15" t="s">
        <v>154</v>
      </c>
      <c r="AB20" s="95" t="s">
        <v>154</v>
      </c>
      <c r="AC20" s="15" t="s">
        <v>154</v>
      </c>
      <c r="AD20" s="97" t="s">
        <v>154</v>
      </c>
      <c r="AE20" s="97" t="s">
        <v>154</v>
      </c>
      <c r="AF20" s="95" t="s">
        <v>154</v>
      </c>
      <c r="AG20" s="97" t="s">
        <v>154</v>
      </c>
      <c r="AH20" s="95" t="s">
        <v>154</v>
      </c>
      <c r="AI20" s="97" t="s">
        <v>154</v>
      </c>
      <c r="AJ20" s="102">
        <v>0.71</v>
      </c>
      <c r="AK20" s="199" t="s">
        <v>150</v>
      </c>
    </row>
    <row r="21" spans="1:37" x14ac:dyDescent="0.25">
      <c r="A21" s="21" t="s">
        <v>72</v>
      </c>
      <c r="B21" s="5" t="s">
        <v>31</v>
      </c>
      <c r="C21" s="76" t="s">
        <v>92</v>
      </c>
      <c r="D21" s="26" t="s">
        <v>43</v>
      </c>
      <c r="E21" s="26" t="s">
        <v>191</v>
      </c>
      <c r="F21" s="27" t="s">
        <v>179</v>
      </c>
      <c r="G21" s="21" t="s">
        <v>147</v>
      </c>
      <c r="H21" s="21" t="s">
        <v>207</v>
      </c>
      <c r="I21" s="11" t="s">
        <v>319</v>
      </c>
      <c r="J21" s="29">
        <v>0.35</v>
      </c>
      <c r="K21" s="28" t="s">
        <v>194</v>
      </c>
      <c r="L21" s="28" t="s">
        <v>206</v>
      </c>
      <c r="M21" s="15" t="s">
        <v>154</v>
      </c>
      <c r="N21" s="28" t="s">
        <v>206</v>
      </c>
      <c r="O21" s="15" t="s">
        <v>154</v>
      </c>
      <c r="P21" s="28" t="s">
        <v>206</v>
      </c>
      <c r="Q21" s="15" t="s">
        <v>154</v>
      </c>
      <c r="R21" s="17" t="s">
        <v>154</v>
      </c>
      <c r="S21" s="15" t="s">
        <v>154</v>
      </c>
      <c r="T21" s="17" t="s">
        <v>154</v>
      </c>
      <c r="U21" s="15" t="s">
        <v>154</v>
      </c>
      <c r="V21" s="17" t="s">
        <v>154</v>
      </c>
      <c r="W21" s="15" t="s">
        <v>154</v>
      </c>
      <c r="X21" s="17" t="s">
        <v>154</v>
      </c>
      <c r="Y21" s="15" t="s">
        <v>154</v>
      </c>
      <c r="Z21" s="17" t="s">
        <v>154</v>
      </c>
      <c r="AA21" s="15" t="s">
        <v>154</v>
      </c>
      <c r="AB21" s="95" t="s">
        <v>154</v>
      </c>
      <c r="AC21" s="15" t="s">
        <v>154</v>
      </c>
      <c r="AD21" s="97" t="s">
        <v>154</v>
      </c>
      <c r="AE21" s="97" t="s">
        <v>154</v>
      </c>
      <c r="AF21" s="95" t="s">
        <v>154</v>
      </c>
      <c r="AG21" s="97" t="s">
        <v>154</v>
      </c>
      <c r="AH21" s="95" t="s">
        <v>154</v>
      </c>
      <c r="AI21" s="97" t="s">
        <v>154</v>
      </c>
      <c r="AJ21" s="102">
        <v>0.35</v>
      </c>
      <c r="AK21" s="28" t="s">
        <v>194</v>
      </c>
    </row>
    <row r="22" spans="1:37" x14ac:dyDescent="0.25">
      <c r="A22" s="21" t="s">
        <v>72</v>
      </c>
      <c r="B22" s="5" t="s">
        <v>31</v>
      </c>
      <c r="C22" s="76" t="s">
        <v>92</v>
      </c>
      <c r="D22" s="26" t="s">
        <v>43</v>
      </c>
      <c r="E22" s="26" t="s">
        <v>191</v>
      </c>
      <c r="F22" s="27" t="s">
        <v>179</v>
      </c>
      <c r="G22" s="21" t="s">
        <v>147</v>
      </c>
      <c r="H22" s="27" t="s">
        <v>190</v>
      </c>
      <c r="I22" s="11">
        <v>0.8</v>
      </c>
      <c r="J22" s="29">
        <v>0.34</v>
      </c>
      <c r="K22" s="28" t="s">
        <v>194</v>
      </c>
      <c r="L22" s="28" t="s">
        <v>206</v>
      </c>
      <c r="M22" s="15" t="s">
        <v>154</v>
      </c>
      <c r="N22" s="28" t="s">
        <v>206</v>
      </c>
      <c r="O22" s="15" t="s">
        <v>154</v>
      </c>
      <c r="P22" s="28" t="s">
        <v>206</v>
      </c>
      <c r="Q22" s="15" t="s">
        <v>154</v>
      </c>
      <c r="R22" s="17" t="s">
        <v>154</v>
      </c>
      <c r="S22" s="15" t="s">
        <v>154</v>
      </c>
      <c r="T22" s="17" t="s">
        <v>154</v>
      </c>
      <c r="U22" s="15" t="s">
        <v>154</v>
      </c>
      <c r="V22" s="17" t="s">
        <v>154</v>
      </c>
      <c r="W22" s="15" t="s">
        <v>154</v>
      </c>
      <c r="X22" s="17" t="s">
        <v>154</v>
      </c>
      <c r="Y22" s="15" t="s">
        <v>154</v>
      </c>
      <c r="Z22" s="17" t="s">
        <v>154</v>
      </c>
      <c r="AA22" s="15" t="s">
        <v>154</v>
      </c>
      <c r="AB22" s="95" t="s">
        <v>154</v>
      </c>
      <c r="AC22" s="15" t="s">
        <v>154</v>
      </c>
      <c r="AD22" s="97" t="s">
        <v>154</v>
      </c>
      <c r="AE22" s="97" t="s">
        <v>154</v>
      </c>
      <c r="AF22" s="95" t="s">
        <v>154</v>
      </c>
      <c r="AG22" s="97" t="s">
        <v>154</v>
      </c>
      <c r="AH22" s="95" t="s">
        <v>154</v>
      </c>
      <c r="AI22" s="97" t="s">
        <v>154</v>
      </c>
      <c r="AJ22" s="102">
        <v>0.34</v>
      </c>
      <c r="AK22" s="28" t="s">
        <v>194</v>
      </c>
    </row>
    <row r="23" spans="1:37" x14ac:dyDescent="0.25">
      <c r="A23" s="161" t="s">
        <v>72</v>
      </c>
      <c r="B23" s="162" t="s">
        <v>31</v>
      </c>
      <c r="C23" s="264" t="s">
        <v>92</v>
      </c>
      <c r="D23" s="163" t="s">
        <v>43</v>
      </c>
      <c r="E23" s="163" t="s">
        <v>191</v>
      </c>
      <c r="F23" s="164" t="s">
        <v>179</v>
      </c>
      <c r="G23" s="161" t="s">
        <v>147</v>
      </c>
      <c r="H23" s="164" t="s">
        <v>188</v>
      </c>
      <c r="I23" s="165">
        <v>0.2</v>
      </c>
      <c r="J23" s="166">
        <v>0.11</v>
      </c>
      <c r="K23" s="167" t="s">
        <v>194</v>
      </c>
      <c r="L23" s="167" t="s">
        <v>206</v>
      </c>
      <c r="M23" s="165" t="s">
        <v>154</v>
      </c>
      <c r="N23" s="167" t="s">
        <v>206</v>
      </c>
      <c r="O23" s="165" t="s">
        <v>154</v>
      </c>
      <c r="P23" s="167" t="s">
        <v>206</v>
      </c>
      <c r="Q23" s="165" t="s">
        <v>154</v>
      </c>
      <c r="R23" s="168" t="s">
        <v>154</v>
      </c>
      <c r="S23" s="165" t="s">
        <v>154</v>
      </c>
      <c r="T23" s="168" t="s">
        <v>154</v>
      </c>
      <c r="U23" s="165" t="s">
        <v>154</v>
      </c>
      <c r="V23" s="168" t="s">
        <v>154</v>
      </c>
      <c r="W23" s="165" t="s">
        <v>154</v>
      </c>
      <c r="X23" s="168" t="s">
        <v>154</v>
      </c>
      <c r="Y23" s="165" t="s">
        <v>154</v>
      </c>
      <c r="Z23" s="168" t="s">
        <v>154</v>
      </c>
      <c r="AA23" s="165" t="s">
        <v>154</v>
      </c>
      <c r="AB23" s="169" t="s">
        <v>154</v>
      </c>
      <c r="AC23" s="165" t="s">
        <v>154</v>
      </c>
      <c r="AD23" s="156" t="s">
        <v>154</v>
      </c>
      <c r="AE23" s="156" t="s">
        <v>154</v>
      </c>
      <c r="AF23" s="95" t="s">
        <v>154</v>
      </c>
      <c r="AG23" s="97" t="s">
        <v>154</v>
      </c>
      <c r="AH23" s="95" t="s">
        <v>154</v>
      </c>
      <c r="AI23" s="97" t="s">
        <v>154</v>
      </c>
      <c r="AJ23" s="102">
        <v>0.11</v>
      </c>
      <c r="AK23" s="28" t="s">
        <v>194</v>
      </c>
    </row>
    <row r="24" spans="1:37" x14ac:dyDescent="0.25">
      <c r="A24" s="21" t="s">
        <v>89</v>
      </c>
      <c r="B24" s="5" t="s">
        <v>23</v>
      </c>
      <c r="C24" s="76" t="s">
        <v>24</v>
      </c>
      <c r="D24" s="26" t="s">
        <v>91</v>
      </c>
      <c r="E24" s="26" t="s">
        <v>191</v>
      </c>
      <c r="F24" s="21" t="s">
        <v>146</v>
      </c>
      <c r="G24" s="21" t="s">
        <v>156</v>
      </c>
      <c r="H24" s="26" t="s">
        <v>486</v>
      </c>
      <c r="I24" s="11" t="s">
        <v>416</v>
      </c>
      <c r="J24" s="14" t="s">
        <v>154</v>
      </c>
      <c r="K24" s="14" t="s">
        <v>154</v>
      </c>
      <c r="L24" s="14" t="s">
        <v>154</v>
      </c>
      <c r="M24" s="15" t="s">
        <v>154</v>
      </c>
      <c r="N24" s="14" t="s">
        <v>154</v>
      </c>
      <c r="O24" s="14" t="s">
        <v>154</v>
      </c>
      <c r="P24" s="14" t="s">
        <v>154</v>
      </c>
      <c r="Q24" s="14" t="s">
        <v>154</v>
      </c>
      <c r="R24" s="17" t="s">
        <v>154</v>
      </c>
      <c r="S24" s="15" t="s">
        <v>154</v>
      </c>
      <c r="T24" s="17" t="s">
        <v>154</v>
      </c>
      <c r="U24" s="15" t="s">
        <v>154</v>
      </c>
      <c r="V24" s="15" t="s">
        <v>195</v>
      </c>
      <c r="W24" s="28" t="s">
        <v>195</v>
      </c>
      <c r="X24" s="15" t="s">
        <v>195</v>
      </c>
      <c r="Y24" s="28" t="s">
        <v>195</v>
      </c>
      <c r="Z24" s="28" t="s">
        <v>195</v>
      </c>
      <c r="AA24" s="28" t="s">
        <v>195</v>
      </c>
      <c r="AB24" s="94" t="s">
        <v>195</v>
      </c>
      <c r="AC24" s="90" t="s">
        <v>195</v>
      </c>
      <c r="AD24" s="97" t="s">
        <v>195</v>
      </c>
      <c r="AE24" s="97" t="s">
        <v>195</v>
      </c>
      <c r="AF24" s="140" t="s">
        <v>195</v>
      </c>
      <c r="AG24" s="140" t="s">
        <v>195</v>
      </c>
      <c r="AH24" s="79" t="s">
        <v>195</v>
      </c>
      <c r="AI24" s="97" t="s">
        <v>195</v>
      </c>
      <c r="AJ24" s="79" t="s">
        <v>195</v>
      </c>
      <c r="AK24" s="97" t="s">
        <v>195</v>
      </c>
    </row>
    <row r="25" spans="1:37" x14ac:dyDescent="0.25">
      <c r="A25" s="21" t="s">
        <v>89</v>
      </c>
      <c r="B25" s="5" t="s">
        <v>23</v>
      </c>
      <c r="C25" s="76" t="s">
        <v>24</v>
      </c>
      <c r="D25" s="26" t="s">
        <v>91</v>
      </c>
      <c r="E25" s="26" t="s">
        <v>191</v>
      </c>
      <c r="F25" s="21" t="s">
        <v>146</v>
      </c>
      <c r="G25" s="21" t="s">
        <v>156</v>
      </c>
      <c r="H25" s="26" t="s">
        <v>487</v>
      </c>
      <c r="I25" s="11" t="s">
        <v>488</v>
      </c>
      <c r="J25" s="14" t="s">
        <v>154</v>
      </c>
      <c r="K25" s="14" t="s">
        <v>154</v>
      </c>
      <c r="L25" s="14" t="s">
        <v>154</v>
      </c>
      <c r="M25" s="15" t="s">
        <v>154</v>
      </c>
      <c r="N25" s="14" t="s">
        <v>154</v>
      </c>
      <c r="O25" s="14" t="s">
        <v>154</v>
      </c>
      <c r="P25" s="14" t="s">
        <v>154</v>
      </c>
      <c r="Q25" s="14" t="s">
        <v>154</v>
      </c>
      <c r="R25" s="17" t="s">
        <v>154</v>
      </c>
      <c r="S25" s="15" t="s">
        <v>154</v>
      </c>
      <c r="T25" s="17" t="s">
        <v>154</v>
      </c>
      <c r="U25" s="15" t="s">
        <v>154</v>
      </c>
      <c r="V25" s="15" t="s">
        <v>195</v>
      </c>
      <c r="W25" s="28" t="s">
        <v>195</v>
      </c>
      <c r="X25" s="15" t="s">
        <v>195</v>
      </c>
      <c r="Y25" s="28" t="s">
        <v>195</v>
      </c>
      <c r="Z25" s="28" t="s">
        <v>195</v>
      </c>
      <c r="AA25" s="28" t="s">
        <v>195</v>
      </c>
      <c r="AB25" s="94" t="s">
        <v>195</v>
      </c>
      <c r="AC25" s="90" t="s">
        <v>195</v>
      </c>
      <c r="AD25" s="97" t="s">
        <v>195</v>
      </c>
      <c r="AE25" s="97" t="s">
        <v>195</v>
      </c>
      <c r="AF25" s="140" t="s">
        <v>195</v>
      </c>
      <c r="AG25" s="140" t="s">
        <v>195</v>
      </c>
      <c r="AH25" s="79" t="s">
        <v>195</v>
      </c>
      <c r="AI25" s="97" t="s">
        <v>195</v>
      </c>
      <c r="AJ25" s="79" t="s">
        <v>195</v>
      </c>
      <c r="AK25" s="97" t="s">
        <v>195</v>
      </c>
    </row>
    <row r="26" spans="1:37" x14ac:dyDescent="0.25">
      <c r="A26" s="21" t="s">
        <v>89</v>
      </c>
      <c r="B26" s="5" t="s">
        <v>23</v>
      </c>
      <c r="C26" s="76" t="s">
        <v>24</v>
      </c>
      <c r="D26" s="26" t="s">
        <v>91</v>
      </c>
      <c r="E26" s="26" t="s">
        <v>191</v>
      </c>
      <c r="F26" s="21" t="s">
        <v>146</v>
      </c>
      <c r="G26" s="21" t="s">
        <v>156</v>
      </c>
      <c r="H26" s="26" t="s">
        <v>489</v>
      </c>
      <c r="I26" s="11">
        <v>0.87</v>
      </c>
      <c r="J26" s="14" t="s">
        <v>154</v>
      </c>
      <c r="K26" s="14" t="s">
        <v>154</v>
      </c>
      <c r="L26" s="14" t="s">
        <v>154</v>
      </c>
      <c r="M26" s="15" t="s">
        <v>154</v>
      </c>
      <c r="N26" s="14" t="s">
        <v>154</v>
      </c>
      <c r="O26" s="14" t="s">
        <v>154</v>
      </c>
      <c r="P26" s="14" t="s">
        <v>154</v>
      </c>
      <c r="Q26" s="14" t="s">
        <v>154</v>
      </c>
      <c r="R26" s="17" t="s">
        <v>154</v>
      </c>
      <c r="S26" s="15" t="s">
        <v>154</v>
      </c>
      <c r="T26" s="17" t="s">
        <v>154</v>
      </c>
      <c r="U26" s="15" t="s">
        <v>154</v>
      </c>
      <c r="V26" s="15" t="s">
        <v>195</v>
      </c>
      <c r="W26" s="28" t="s">
        <v>195</v>
      </c>
      <c r="X26" s="15" t="s">
        <v>195</v>
      </c>
      <c r="Y26" s="28" t="s">
        <v>195</v>
      </c>
      <c r="Z26" s="28" t="s">
        <v>195</v>
      </c>
      <c r="AA26" s="28" t="s">
        <v>195</v>
      </c>
      <c r="AB26" s="94" t="s">
        <v>195</v>
      </c>
      <c r="AC26" s="90" t="s">
        <v>195</v>
      </c>
      <c r="AD26" s="97" t="s">
        <v>195</v>
      </c>
      <c r="AE26" s="97" t="s">
        <v>195</v>
      </c>
      <c r="AF26" s="140" t="s">
        <v>195</v>
      </c>
      <c r="AG26" s="140" t="s">
        <v>195</v>
      </c>
      <c r="AH26" s="79" t="s">
        <v>195</v>
      </c>
      <c r="AI26" s="97" t="s">
        <v>195</v>
      </c>
      <c r="AJ26" s="79" t="s">
        <v>195</v>
      </c>
      <c r="AK26" s="97" t="s">
        <v>195</v>
      </c>
    </row>
    <row r="27" spans="1:37" x14ac:dyDescent="0.25">
      <c r="A27" s="21" t="s">
        <v>89</v>
      </c>
      <c r="B27" s="5" t="s">
        <v>23</v>
      </c>
      <c r="C27" s="76" t="s">
        <v>24</v>
      </c>
      <c r="D27" s="26" t="s">
        <v>91</v>
      </c>
      <c r="E27" s="26" t="s">
        <v>191</v>
      </c>
      <c r="F27" s="21" t="s">
        <v>146</v>
      </c>
      <c r="G27" s="21" t="s">
        <v>156</v>
      </c>
      <c r="H27" s="26" t="s">
        <v>301</v>
      </c>
      <c r="I27" s="11">
        <v>0.85</v>
      </c>
      <c r="J27" s="14" t="s">
        <v>154</v>
      </c>
      <c r="K27" s="14" t="s">
        <v>154</v>
      </c>
      <c r="L27" s="14" t="s">
        <v>154</v>
      </c>
      <c r="M27" s="15" t="s">
        <v>154</v>
      </c>
      <c r="N27" s="14" t="s">
        <v>154</v>
      </c>
      <c r="O27" s="14" t="s">
        <v>154</v>
      </c>
      <c r="P27" s="14" t="s">
        <v>154</v>
      </c>
      <c r="Q27" s="14" t="s">
        <v>154</v>
      </c>
      <c r="R27" s="17" t="s">
        <v>154</v>
      </c>
      <c r="S27" s="15" t="s">
        <v>154</v>
      </c>
      <c r="T27" s="17" t="s">
        <v>154</v>
      </c>
      <c r="U27" s="15" t="s">
        <v>154</v>
      </c>
      <c r="V27" s="15" t="s">
        <v>195</v>
      </c>
      <c r="W27" s="28" t="s">
        <v>195</v>
      </c>
      <c r="X27" s="15" t="s">
        <v>195</v>
      </c>
      <c r="Y27" s="28" t="s">
        <v>195</v>
      </c>
      <c r="Z27" s="28" t="s">
        <v>195</v>
      </c>
      <c r="AA27" s="28" t="s">
        <v>195</v>
      </c>
      <c r="AB27" s="94" t="s">
        <v>195</v>
      </c>
      <c r="AC27" s="90" t="s">
        <v>195</v>
      </c>
      <c r="AD27" s="97" t="s">
        <v>195</v>
      </c>
      <c r="AE27" s="97" t="s">
        <v>195</v>
      </c>
      <c r="AF27" s="140" t="s">
        <v>195</v>
      </c>
      <c r="AG27" s="140" t="s">
        <v>195</v>
      </c>
      <c r="AH27" s="79" t="s">
        <v>195</v>
      </c>
      <c r="AI27" s="97" t="s">
        <v>195</v>
      </c>
      <c r="AJ27" s="79" t="s">
        <v>195</v>
      </c>
      <c r="AK27" s="97" t="s">
        <v>195</v>
      </c>
    </row>
    <row r="28" spans="1:37" x14ac:dyDescent="0.25">
      <c r="A28" s="21" t="s">
        <v>89</v>
      </c>
      <c r="B28" s="5" t="s">
        <v>23</v>
      </c>
      <c r="C28" s="76" t="s">
        <v>24</v>
      </c>
      <c r="D28" s="26" t="s">
        <v>91</v>
      </c>
      <c r="E28" s="26" t="s">
        <v>191</v>
      </c>
      <c r="F28" s="21" t="s">
        <v>179</v>
      </c>
      <c r="G28" s="21" t="s">
        <v>147</v>
      </c>
      <c r="H28" s="26" t="s">
        <v>490</v>
      </c>
      <c r="I28" s="11" t="s">
        <v>187</v>
      </c>
      <c r="J28" s="14" t="s">
        <v>154</v>
      </c>
      <c r="K28" s="14" t="s">
        <v>154</v>
      </c>
      <c r="L28" s="14" t="s">
        <v>154</v>
      </c>
      <c r="M28" s="15" t="s">
        <v>154</v>
      </c>
      <c r="N28" s="14" t="s">
        <v>154</v>
      </c>
      <c r="O28" s="14" t="s">
        <v>154</v>
      </c>
      <c r="P28" s="14" t="s">
        <v>154</v>
      </c>
      <c r="Q28" s="14" t="s">
        <v>154</v>
      </c>
      <c r="R28" s="17" t="s">
        <v>154</v>
      </c>
      <c r="S28" s="15" t="s">
        <v>154</v>
      </c>
      <c r="T28" s="17" t="s">
        <v>154</v>
      </c>
      <c r="U28" s="15" t="s">
        <v>154</v>
      </c>
      <c r="V28" s="15" t="s">
        <v>195</v>
      </c>
      <c r="W28" s="28" t="s">
        <v>195</v>
      </c>
      <c r="X28" s="15" t="s">
        <v>195</v>
      </c>
      <c r="Y28" s="28" t="s">
        <v>195</v>
      </c>
      <c r="Z28" s="28" t="s">
        <v>195</v>
      </c>
      <c r="AA28" s="28" t="s">
        <v>195</v>
      </c>
      <c r="AB28" s="94" t="s">
        <v>195</v>
      </c>
      <c r="AC28" s="90" t="s">
        <v>195</v>
      </c>
      <c r="AD28" s="97" t="s">
        <v>195</v>
      </c>
      <c r="AE28" s="97" t="s">
        <v>195</v>
      </c>
      <c r="AF28" s="140" t="s">
        <v>195</v>
      </c>
      <c r="AG28" s="140" t="s">
        <v>195</v>
      </c>
      <c r="AH28" s="79" t="s">
        <v>195</v>
      </c>
      <c r="AI28" s="97" t="s">
        <v>195</v>
      </c>
      <c r="AJ28" s="79" t="s">
        <v>195</v>
      </c>
      <c r="AK28" s="97" t="s">
        <v>195</v>
      </c>
    </row>
    <row r="29" spans="1:37" x14ac:dyDescent="0.25">
      <c r="A29" s="21" t="s">
        <v>89</v>
      </c>
      <c r="B29" s="5" t="s">
        <v>23</v>
      </c>
      <c r="C29" s="76" t="s">
        <v>24</v>
      </c>
      <c r="D29" s="26" t="s">
        <v>91</v>
      </c>
      <c r="E29" s="26" t="s">
        <v>191</v>
      </c>
      <c r="F29" s="21" t="s">
        <v>179</v>
      </c>
      <c r="G29" s="21" t="s">
        <v>147</v>
      </c>
      <c r="H29" s="26" t="s">
        <v>174</v>
      </c>
      <c r="I29" s="11" t="s">
        <v>187</v>
      </c>
      <c r="J29" s="14" t="s">
        <v>154</v>
      </c>
      <c r="K29" s="14" t="s">
        <v>154</v>
      </c>
      <c r="L29" s="14" t="s">
        <v>154</v>
      </c>
      <c r="M29" s="15" t="s">
        <v>154</v>
      </c>
      <c r="N29" s="14" t="s">
        <v>154</v>
      </c>
      <c r="O29" s="14" t="s">
        <v>154</v>
      </c>
      <c r="P29" s="14" t="s">
        <v>154</v>
      </c>
      <c r="Q29" s="14" t="s">
        <v>154</v>
      </c>
      <c r="R29" s="17" t="s">
        <v>154</v>
      </c>
      <c r="S29" s="15" t="s">
        <v>154</v>
      </c>
      <c r="T29" s="17" t="s">
        <v>154</v>
      </c>
      <c r="U29" s="15" t="s">
        <v>154</v>
      </c>
      <c r="V29" s="15" t="s">
        <v>195</v>
      </c>
      <c r="W29" s="28" t="s">
        <v>195</v>
      </c>
      <c r="X29" s="15" t="s">
        <v>195</v>
      </c>
      <c r="Y29" s="28" t="s">
        <v>195</v>
      </c>
      <c r="Z29" s="28" t="s">
        <v>195</v>
      </c>
      <c r="AA29" s="28" t="s">
        <v>195</v>
      </c>
      <c r="AB29" s="94" t="s">
        <v>195</v>
      </c>
      <c r="AC29" s="90" t="s">
        <v>195</v>
      </c>
      <c r="AD29" s="97" t="s">
        <v>195</v>
      </c>
      <c r="AE29" s="97" t="s">
        <v>195</v>
      </c>
      <c r="AF29" s="140" t="s">
        <v>195</v>
      </c>
      <c r="AG29" s="140" t="s">
        <v>195</v>
      </c>
      <c r="AH29" s="79" t="s">
        <v>195</v>
      </c>
      <c r="AI29" s="97" t="s">
        <v>195</v>
      </c>
      <c r="AJ29" s="79" t="s">
        <v>195</v>
      </c>
      <c r="AK29" s="97" t="s">
        <v>195</v>
      </c>
    </row>
    <row r="30" spans="1:37" x14ac:dyDescent="0.25">
      <c r="A30" s="21" t="s">
        <v>89</v>
      </c>
      <c r="B30" s="5" t="s">
        <v>23</v>
      </c>
      <c r="C30" s="76" t="s">
        <v>24</v>
      </c>
      <c r="D30" s="26" t="s">
        <v>91</v>
      </c>
      <c r="E30" s="26" t="s">
        <v>191</v>
      </c>
      <c r="F30" s="21" t="s">
        <v>179</v>
      </c>
      <c r="G30" s="21" t="s">
        <v>147</v>
      </c>
      <c r="H30" s="26" t="s">
        <v>207</v>
      </c>
      <c r="I30" s="11" t="s">
        <v>187</v>
      </c>
      <c r="J30" s="14" t="s">
        <v>154</v>
      </c>
      <c r="K30" s="14" t="s">
        <v>154</v>
      </c>
      <c r="L30" s="14" t="s">
        <v>154</v>
      </c>
      <c r="M30" s="15" t="s">
        <v>154</v>
      </c>
      <c r="N30" s="14" t="s">
        <v>154</v>
      </c>
      <c r="O30" s="14" t="s">
        <v>154</v>
      </c>
      <c r="P30" s="14" t="s">
        <v>154</v>
      </c>
      <c r="Q30" s="14" t="s">
        <v>154</v>
      </c>
      <c r="R30" s="17" t="s">
        <v>154</v>
      </c>
      <c r="S30" s="15" t="s">
        <v>154</v>
      </c>
      <c r="T30" s="17" t="s">
        <v>154</v>
      </c>
      <c r="U30" s="15" t="s">
        <v>154</v>
      </c>
      <c r="V30" s="15" t="s">
        <v>195</v>
      </c>
      <c r="W30" s="28" t="s">
        <v>195</v>
      </c>
      <c r="X30" s="15" t="s">
        <v>195</v>
      </c>
      <c r="Y30" s="28" t="s">
        <v>195</v>
      </c>
      <c r="Z30" s="28" t="s">
        <v>195</v>
      </c>
      <c r="AA30" s="28" t="s">
        <v>195</v>
      </c>
      <c r="AB30" s="94" t="s">
        <v>195</v>
      </c>
      <c r="AC30" s="90" t="s">
        <v>195</v>
      </c>
      <c r="AD30" s="97" t="s">
        <v>195</v>
      </c>
      <c r="AE30" s="127" t="s">
        <v>195</v>
      </c>
      <c r="AF30" s="140" t="s">
        <v>195</v>
      </c>
      <c r="AG30" s="140" t="s">
        <v>195</v>
      </c>
      <c r="AH30" s="79" t="s">
        <v>195</v>
      </c>
      <c r="AI30" s="271" t="s">
        <v>195</v>
      </c>
      <c r="AJ30" s="79" t="s">
        <v>195</v>
      </c>
      <c r="AK30" s="271" t="s">
        <v>195</v>
      </c>
    </row>
    <row r="31" spans="1:37" x14ac:dyDescent="0.25">
      <c r="A31" s="21" t="s">
        <v>89</v>
      </c>
      <c r="B31" s="5" t="s">
        <v>23</v>
      </c>
      <c r="C31" s="76" t="s">
        <v>24</v>
      </c>
      <c r="D31" s="26" t="s">
        <v>91</v>
      </c>
      <c r="E31" s="26" t="s">
        <v>191</v>
      </c>
      <c r="F31" s="21" t="s">
        <v>179</v>
      </c>
      <c r="G31" s="21" t="s">
        <v>147</v>
      </c>
      <c r="H31" s="26" t="s">
        <v>202</v>
      </c>
      <c r="I31" s="11" t="s">
        <v>187</v>
      </c>
      <c r="J31" s="14" t="s">
        <v>154</v>
      </c>
      <c r="K31" s="14" t="s">
        <v>154</v>
      </c>
      <c r="L31" s="14" t="s">
        <v>154</v>
      </c>
      <c r="M31" s="15" t="s">
        <v>154</v>
      </c>
      <c r="N31" s="14" t="s">
        <v>154</v>
      </c>
      <c r="O31" s="14" t="s">
        <v>154</v>
      </c>
      <c r="P31" s="14" t="s">
        <v>154</v>
      </c>
      <c r="Q31" s="14" t="s">
        <v>154</v>
      </c>
      <c r="R31" s="17" t="s">
        <v>154</v>
      </c>
      <c r="S31" s="15" t="s">
        <v>154</v>
      </c>
      <c r="T31" s="17" t="s">
        <v>154</v>
      </c>
      <c r="U31" s="15" t="s">
        <v>154</v>
      </c>
      <c r="V31" s="15" t="s">
        <v>195</v>
      </c>
      <c r="W31" s="28" t="s">
        <v>195</v>
      </c>
      <c r="X31" s="15" t="s">
        <v>195</v>
      </c>
      <c r="Y31" s="28" t="s">
        <v>195</v>
      </c>
      <c r="Z31" s="28" t="s">
        <v>195</v>
      </c>
      <c r="AA31" s="28" t="s">
        <v>195</v>
      </c>
      <c r="AB31" s="94" t="s">
        <v>195</v>
      </c>
      <c r="AC31" s="90" t="s">
        <v>195</v>
      </c>
      <c r="AD31" s="97" t="s">
        <v>195</v>
      </c>
      <c r="AE31" s="97" t="s">
        <v>195</v>
      </c>
      <c r="AF31" s="140" t="s">
        <v>195</v>
      </c>
      <c r="AG31" s="140" t="s">
        <v>195</v>
      </c>
      <c r="AH31" s="79" t="s">
        <v>195</v>
      </c>
      <c r="AI31" s="97" t="s">
        <v>195</v>
      </c>
      <c r="AJ31" s="79" t="s">
        <v>195</v>
      </c>
      <c r="AK31" s="97" t="s">
        <v>195</v>
      </c>
    </row>
    <row r="32" spans="1:37" x14ac:dyDescent="0.25">
      <c r="A32" s="21" t="s">
        <v>89</v>
      </c>
      <c r="B32" s="5" t="s">
        <v>23</v>
      </c>
      <c r="C32" s="76" t="s">
        <v>24</v>
      </c>
      <c r="D32" s="26" t="s">
        <v>91</v>
      </c>
      <c r="E32" s="26" t="s">
        <v>191</v>
      </c>
      <c r="F32" s="21" t="s">
        <v>179</v>
      </c>
      <c r="G32" s="21" t="s">
        <v>147</v>
      </c>
      <c r="H32" s="26" t="s">
        <v>491</v>
      </c>
      <c r="I32" s="11" t="s">
        <v>187</v>
      </c>
      <c r="J32" s="14" t="s">
        <v>154</v>
      </c>
      <c r="K32" s="14" t="s">
        <v>154</v>
      </c>
      <c r="L32" s="14" t="s">
        <v>154</v>
      </c>
      <c r="M32" s="15" t="s">
        <v>154</v>
      </c>
      <c r="N32" s="14" t="s">
        <v>154</v>
      </c>
      <c r="O32" s="14" t="s">
        <v>154</v>
      </c>
      <c r="P32" s="14" t="s">
        <v>154</v>
      </c>
      <c r="Q32" s="14" t="s">
        <v>154</v>
      </c>
      <c r="R32" s="17" t="s">
        <v>154</v>
      </c>
      <c r="S32" s="15" t="s">
        <v>154</v>
      </c>
      <c r="T32" s="17" t="s">
        <v>154</v>
      </c>
      <c r="U32" s="15" t="s">
        <v>154</v>
      </c>
      <c r="V32" s="15" t="s">
        <v>195</v>
      </c>
      <c r="W32" s="28" t="s">
        <v>195</v>
      </c>
      <c r="X32" s="15" t="s">
        <v>195</v>
      </c>
      <c r="Y32" s="28" t="s">
        <v>195</v>
      </c>
      <c r="Z32" s="28" t="s">
        <v>195</v>
      </c>
      <c r="AA32" s="28" t="s">
        <v>195</v>
      </c>
      <c r="AB32" s="94" t="s">
        <v>195</v>
      </c>
      <c r="AC32" s="90" t="s">
        <v>195</v>
      </c>
      <c r="AD32" s="97" t="s">
        <v>195</v>
      </c>
      <c r="AE32" s="97" t="s">
        <v>195</v>
      </c>
      <c r="AF32" s="140" t="s">
        <v>195</v>
      </c>
      <c r="AG32" s="140" t="s">
        <v>195</v>
      </c>
      <c r="AH32" s="79" t="s">
        <v>195</v>
      </c>
      <c r="AI32" s="97" t="s">
        <v>195</v>
      </c>
      <c r="AJ32" s="79" t="s">
        <v>195</v>
      </c>
      <c r="AK32" s="97" t="s">
        <v>195</v>
      </c>
    </row>
    <row r="33" spans="1:37" x14ac:dyDescent="0.25">
      <c r="A33" s="201" t="s">
        <v>86</v>
      </c>
      <c r="B33" s="202" t="s">
        <v>31</v>
      </c>
      <c r="C33" s="265" t="s">
        <v>90</v>
      </c>
      <c r="D33" s="203" t="s">
        <v>91</v>
      </c>
      <c r="E33" s="203" t="s">
        <v>191</v>
      </c>
      <c r="F33" s="201" t="s">
        <v>179</v>
      </c>
      <c r="G33" s="201" t="s">
        <v>147</v>
      </c>
      <c r="H33" s="203" t="s">
        <v>428</v>
      </c>
      <c r="I33" s="204" t="s">
        <v>293</v>
      </c>
      <c r="J33" s="205">
        <v>115</v>
      </c>
      <c r="K33" s="199" t="s">
        <v>194</v>
      </c>
      <c r="L33" s="205">
        <v>98</v>
      </c>
      <c r="M33" s="199" t="s">
        <v>150</v>
      </c>
      <c r="N33" s="199">
        <v>80</v>
      </c>
      <c r="O33" s="199" t="s">
        <v>150</v>
      </c>
      <c r="P33" s="205">
        <v>97</v>
      </c>
      <c r="Q33" s="199" t="s">
        <v>150</v>
      </c>
      <c r="R33" s="199">
        <v>68</v>
      </c>
      <c r="S33" s="199" t="s">
        <v>150</v>
      </c>
      <c r="T33" s="199">
        <v>56</v>
      </c>
      <c r="U33" s="199" t="s">
        <v>150</v>
      </c>
      <c r="V33" s="199">
        <v>35</v>
      </c>
      <c r="W33" s="199" t="s">
        <v>150</v>
      </c>
      <c r="X33" s="199" t="s">
        <v>195</v>
      </c>
      <c r="Y33" s="199" t="s">
        <v>195</v>
      </c>
      <c r="Z33" s="199">
        <v>82</v>
      </c>
      <c r="AA33" s="199" t="s">
        <v>150</v>
      </c>
      <c r="AB33" s="206">
        <v>52</v>
      </c>
      <c r="AC33" s="199" t="s">
        <v>150</v>
      </c>
      <c r="AD33" s="160">
        <v>91</v>
      </c>
      <c r="AE33" s="199" t="s">
        <v>150</v>
      </c>
      <c r="AF33" s="95">
        <v>60</v>
      </c>
      <c r="AG33" s="199" t="s">
        <v>150</v>
      </c>
      <c r="AH33" s="97">
        <v>86</v>
      </c>
      <c r="AI33" s="199" t="s">
        <v>150</v>
      </c>
      <c r="AJ33" s="115">
        <v>74</v>
      </c>
      <c r="AK33" s="199" t="s">
        <v>150</v>
      </c>
    </row>
    <row r="34" spans="1:37" x14ac:dyDescent="0.25">
      <c r="A34" s="21" t="s">
        <v>86</v>
      </c>
      <c r="B34" s="5" t="s">
        <v>31</v>
      </c>
      <c r="C34" s="76" t="s">
        <v>90</v>
      </c>
      <c r="D34" s="26" t="s">
        <v>91</v>
      </c>
      <c r="E34" s="26" t="s">
        <v>191</v>
      </c>
      <c r="F34" s="21" t="s">
        <v>179</v>
      </c>
      <c r="G34" s="21" t="s">
        <v>147</v>
      </c>
      <c r="H34" s="26" t="s">
        <v>429</v>
      </c>
      <c r="I34" s="11" t="s">
        <v>293</v>
      </c>
      <c r="J34" s="68">
        <v>194</v>
      </c>
      <c r="K34" s="28" t="s">
        <v>194</v>
      </c>
      <c r="L34" s="68">
        <v>136</v>
      </c>
      <c r="M34" s="28" t="s">
        <v>194</v>
      </c>
      <c r="N34" s="28">
        <v>77</v>
      </c>
      <c r="O34" s="28" t="s">
        <v>150</v>
      </c>
      <c r="P34" s="68">
        <v>135</v>
      </c>
      <c r="Q34" s="28" t="s">
        <v>194</v>
      </c>
      <c r="R34" s="28">
        <v>164</v>
      </c>
      <c r="S34" s="28" t="s">
        <v>194</v>
      </c>
      <c r="T34" s="28">
        <v>71</v>
      </c>
      <c r="U34" s="28" t="s">
        <v>150</v>
      </c>
      <c r="V34" s="28">
        <v>86</v>
      </c>
      <c r="W34" s="28" t="s">
        <v>150</v>
      </c>
      <c r="X34" s="28" t="s">
        <v>195</v>
      </c>
      <c r="Y34" s="28" t="s">
        <v>195</v>
      </c>
      <c r="Z34" s="28" t="s">
        <v>154</v>
      </c>
      <c r="AA34" s="15" t="s">
        <v>154</v>
      </c>
      <c r="AB34" s="90">
        <v>207</v>
      </c>
      <c r="AC34" s="28" t="s">
        <v>194</v>
      </c>
      <c r="AD34" s="97">
        <v>73</v>
      </c>
      <c r="AE34" s="28" t="s">
        <v>150</v>
      </c>
      <c r="AF34" s="95">
        <v>94</v>
      </c>
      <c r="AG34" s="199" t="s">
        <v>150</v>
      </c>
      <c r="AH34" s="97">
        <v>116</v>
      </c>
      <c r="AI34" s="28" t="s">
        <v>194</v>
      </c>
      <c r="AJ34" s="115">
        <v>121</v>
      </c>
      <c r="AK34" s="28" t="s">
        <v>194</v>
      </c>
    </row>
    <row r="35" spans="1:37" x14ac:dyDescent="0.25">
      <c r="A35" s="21" t="s">
        <v>86</v>
      </c>
      <c r="B35" s="5" t="s">
        <v>31</v>
      </c>
      <c r="C35" s="76" t="s">
        <v>90</v>
      </c>
      <c r="D35" s="26" t="s">
        <v>91</v>
      </c>
      <c r="E35" s="26" t="s">
        <v>191</v>
      </c>
      <c r="F35" s="21" t="s">
        <v>179</v>
      </c>
      <c r="G35" s="21" t="s">
        <v>147</v>
      </c>
      <c r="H35" s="26" t="s">
        <v>430</v>
      </c>
      <c r="I35" s="11" t="s">
        <v>216</v>
      </c>
      <c r="J35" s="69">
        <v>49</v>
      </c>
      <c r="K35" s="28" t="s">
        <v>194</v>
      </c>
      <c r="L35" s="69">
        <v>55</v>
      </c>
      <c r="M35" s="28" t="s">
        <v>194</v>
      </c>
      <c r="N35" s="28">
        <v>64</v>
      </c>
      <c r="O35" s="28" t="s">
        <v>194</v>
      </c>
      <c r="P35" s="69">
        <v>56</v>
      </c>
      <c r="Q35" s="28" t="s">
        <v>194</v>
      </c>
      <c r="R35" s="28">
        <v>41</v>
      </c>
      <c r="S35" s="28" t="s">
        <v>150</v>
      </c>
      <c r="T35" s="28" t="s">
        <v>154</v>
      </c>
      <c r="U35" s="28" t="s">
        <v>154</v>
      </c>
      <c r="V35" s="28">
        <v>79</v>
      </c>
      <c r="W35" s="28" t="s">
        <v>194</v>
      </c>
      <c r="X35" s="28" t="s">
        <v>195</v>
      </c>
      <c r="Y35" s="28" t="s">
        <v>195</v>
      </c>
      <c r="Z35" s="28">
        <v>49</v>
      </c>
      <c r="AA35" s="28" t="s">
        <v>194</v>
      </c>
      <c r="AB35" s="95">
        <v>27</v>
      </c>
      <c r="AC35" s="28" t="s">
        <v>150</v>
      </c>
      <c r="AD35" s="97">
        <v>71</v>
      </c>
      <c r="AE35" s="28" t="s">
        <v>194</v>
      </c>
      <c r="AF35" s="95">
        <v>40</v>
      </c>
      <c r="AG35" s="199" t="s">
        <v>150</v>
      </c>
      <c r="AH35" s="97">
        <v>52</v>
      </c>
      <c r="AI35" s="28" t="s">
        <v>194</v>
      </c>
      <c r="AJ35" s="259">
        <v>53</v>
      </c>
      <c r="AK35" s="28" t="s">
        <v>194</v>
      </c>
    </row>
    <row r="36" spans="1:37" x14ac:dyDescent="0.25">
      <c r="A36" s="21" t="s">
        <v>86</v>
      </c>
      <c r="B36" s="5" t="s">
        <v>31</v>
      </c>
      <c r="C36" s="76" t="s">
        <v>90</v>
      </c>
      <c r="D36" s="26" t="s">
        <v>91</v>
      </c>
      <c r="E36" s="26" t="s">
        <v>191</v>
      </c>
      <c r="F36" s="21" t="s">
        <v>179</v>
      </c>
      <c r="G36" s="21" t="s">
        <v>147</v>
      </c>
      <c r="H36" s="26" t="s">
        <v>431</v>
      </c>
      <c r="I36" s="11" t="s">
        <v>293</v>
      </c>
      <c r="J36" s="68">
        <v>47</v>
      </c>
      <c r="K36" s="28" t="s">
        <v>150</v>
      </c>
      <c r="L36" s="36" t="s">
        <v>154</v>
      </c>
      <c r="M36" s="15" t="s">
        <v>154</v>
      </c>
      <c r="N36" s="15" t="s">
        <v>154</v>
      </c>
      <c r="O36" s="15" t="s">
        <v>154</v>
      </c>
      <c r="P36" s="68">
        <v>47</v>
      </c>
      <c r="Q36" s="28" t="s">
        <v>150</v>
      </c>
      <c r="R36" s="17" t="s">
        <v>154</v>
      </c>
      <c r="S36" s="15" t="s">
        <v>154</v>
      </c>
      <c r="T36" s="17" t="s">
        <v>154</v>
      </c>
      <c r="U36" s="28" t="s">
        <v>154</v>
      </c>
      <c r="V36" s="17" t="s">
        <v>154</v>
      </c>
      <c r="W36" s="15" t="s">
        <v>154</v>
      </c>
      <c r="X36" s="28" t="s">
        <v>195</v>
      </c>
      <c r="Y36" s="28" t="s">
        <v>195</v>
      </c>
      <c r="Z36" s="15" t="s">
        <v>154</v>
      </c>
      <c r="AA36" s="15" t="s">
        <v>154</v>
      </c>
      <c r="AB36" s="95">
        <v>54</v>
      </c>
      <c r="AC36" s="28" t="s">
        <v>150</v>
      </c>
      <c r="AD36" s="97">
        <v>84</v>
      </c>
      <c r="AE36" s="28" t="s">
        <v>150</v>
      </c>
      <c r="AF36" s="95">
        <v>104</v>
      </c>
      <c r="AG36" s="28" t="s">
        <v>194</v>
      </c>
      <c r="AH36" s="97" t="s">
        <v>154</v>
      </c>
      <c r="AI36" s="97" t="s">
        <v>154</v>
      </c>
      <c r="AJ36" s="115">
        <v>72</v>
      </c>
      <c r="AK36" s="199" t="s">
        <v>150</v>
      </c>
    </row>
    <row r="37" spans="1:37" x14ac:dyDescent="0.25">
      <c r="A37" s="21" t="s">
        <v>86</v>
      </c>
      <c r="B37" s="5" t="s">
        <v>31</v>
      </c>
      <c r="C37" s="76" t="s">
        <v>90</v>
      </c>
      <c r="D37" s="26" t="s">
        <v>91</v>
      </c>
      <c r="E37" s="26" t="s">
        <v>191</v>
      </c>
      <c r="F37" s="21" t="s">
        <v>179</v>
      </c>
      <c r="G37" s="21" t="s">
        <v>147</v>
      </c>
      <c r="H37" s="26" t="s">
        <v>432</v>
      </c>
      <c r="I37" s="11" t="s">
        <v>305</v>
      </c>
      <c r="J37" s="36" t="s">
        <v>154</v>
      </c>
      <c r="K37" s="36" t="s">
        <v>154</v>
      </c>
      <c r="L37" s="36" t="s">
        <v>154</v>
      </c>
      <c r="M37" s="15" t="s">
        <v>154</v>
      </c>
      <c r="N37" s="15" t="s">
        <v>154</v>
      </c>
      <c r="O37" s="15" t="s">
        <v>154</v>
      </c>
      <c r="P37" s="36" t="s">
        <v>154</v>
      </c>
      <c r="Q37" s="15" t="s">
        <v>154</v>
      </c>
      <c r="R37" s="17" t="s">
        <v>154</v>
      </c>
      <c r="S37" s="15" t="s">
        <v>154</v>
      </c>
      <c r="T37" s="17" t="s">
        <v>154</v>
      </c>
      <c r="U37" s="28" t="s">
        <v>154</v>
      </c>
      <c r="V37" s="17">
        <v>47</v>
      </c>
      <c r="W37" s="28" t="s">
        <v>150</v>
      </c>
      <c r="X37" s="28" t="s">
        <v>195</v>
      </c>
      <c r="Y37" s="28" t="s">
        <v>195</v>
      </c>
      <c r="Z37" s="15" t="s">
        <v>154</v>
      </c>
      <c r="AA37" s="15" t="s">
        <v>154</v>
      </c>
      <c r="AB37" s="95" t="s">
        <v>154</v>
      </c>
      <c r="AC37" s="15" t="s">
        <v>154</v>
      </c>
      <c r="AD37" s="97">
        <v>104</v>
      </c>
      <c r="AE37" s="28" t="s">
        <v>194</v>
      </c>
      <c r="AF37" s="95" t="s">
        <v>154</v>
      </c>
      <c r="AG37" s="97" t="s">
        <v>154</v>
      </c>
      <c r="AH37" s="97">
        <v>80</v>
      </c>
      <c r="AI37" s="199" t="s">
        <v>150</v>
      </c>
      <c r="AJ37" s="259">
        <v>77</v>
      </c>
      <c r="AK37" s="199" t="s">
        <v>150</v>
      </c>
    </row>
    <row r="38" spans="1:37" x14ac:dyDescent="0.25">
      <c r="A38" s="21" t="s">
        <v>86</v>
      </c>
      <c r="B38" s="5" t="s">
        <v>31</v>
      </c>
      <c r="C38" s="76" t="s">
        <v>90</v>
      </c>
      <c r="D38" s="26" t="s">
        <v>91</v>
      </c>
      <c r="E38" s="26" t="s">
        <v>191</v>
      </c>
      <c r="F38" s="21" t="s">
        <v>179</v>
      </c>
      <c r="G38" s="21" t="s">
        <v>147</v>
      </c>
      <c r="H38" s="26" t="s">
        <v>433</v>
      </c>
      <c r="I38" s="11" t="s">
        <v>293</v>
      </c>
      <c r="J38" s="68">
        <v>51</v>
      </c>
      <c r="K38" s="28" t="s">
        <v>150</v>
      </c>
      <c r="L38" s="36" t="s">
        <v>154</v>
      </c>
      <c r="M38" s="15" t="s">
        <v>154</v>
      </c>
      <c r="N38" s="42">
        <v>13</v>
      </c>
      <c r="O38" s="28" t="s">
        <v>150</v>
      </c>
      <c r="P38" s="68">
        <v>48</v>
      </c>
      <c r="Q38" s="28" t="s">
        <v>150</v>
      </c>
      <c r="R38" s="42">
        <v>117</v>
      </c>
      <c r="S38" s="28" t="s">
        <v>194</v>
      </c>
      <c r="T38" s="42" t="s">
        <v>154</v>
      </c>
      <c r="U38" s="28" t="s">
        <v>154</v>
      </c>
      <c r="V38" s="42">
        <v>75</v>
      </c>
      <c r="W38" s="28" t="s">
        <v>150</v>
      </c>
      <c r="X38" s="28" t="s">
        <v>195</v>
      </c>
      <c r="Y38" s="28" t="s">
        <v>195</v>
      </c>
      <c r="Z38" s="42">
        <v>117</v>
      </c>
      <c r="AA38" s="28" t="s">
        <v>194</v>
      </c>
      <c r="AB38" s="95" t="s">
        <v>154</v>
      </c>
      <c r="AC38" s="15" t="s">
        <v>154</v>
      </c>
      <c r="AD38" s="97">
        <v>113</v>
      </c>
      <c r="AE38" s="28" t="s">
        <v>194</v>
      </c>
      <c r="AF38" s="95">
        <v>63</v>
      </c>
      <c r="AG38" s="199" t="s">
        <v>150</v>
      </c>
      <c r="AH38" s="97" t="s">
        <v>154</v>
      </c>
      <c r="AI38" s="97" t="s">
        <v>154</v>
      </c>
      <c r="AJ38" s="115">
        <v>83</v>
      </c>
      <c r="AK38" s="199" t="s">
        <v>150</v>
      </c>
    </row>
    <row r="39" spans="1:37" x14ac:dyDescent="0.25">
      <c r="A39" s="21" t="s">
        <v>86</v>
      </c>
      <c r="B39" s="5" t="s">
        <v>31</v>
      </c>
      <c r="C39" s="76" t="s">
        <v>90</v>
      </c>
      <c r="D39" s="26" t="s">
        <v>91</v>
      </c>
      <c r="E39" s="26" t="s">
        <v>191</v>
      </c>
      <c r="F39" s="21" t="s">
        <v>179</v>
      </c>
      <c r="G39" s="21" t="s">
        <v>147</v>
      </c>
      <c r="H39" s="26" t="s">
        <v>434</v>
      </c>
      <c r="I39" s="11" t="s">
        <v>293</v>
      </c>
      <c r="J39" s="36" t="s">
        <v>154</v>
      </c>
      <c r="K39" s="36" t="s">
        <v>154</v>
      </c>
      <c r="L39" s="36" t="s">
        <v>154</v>
      </c>
      <c r="M39" s="15" t="s">
        <v>154</v>
      </c>
      <c r="N39" s="15" t="s">
        <v>154</v>
      </c>
      <c r="O39" s="15" t="s">
        <v>154</v>
      </c>
      <c r="P39" s="36" t="s">
        <v>154</v>
      </c>
      <c r="Q39" s="15" t="s">
        <v>154</v>
      </c>
      <c r="R39" s="17" t="s">
        <v>154</v>
      </c>
      <c r="S39" s="15" t="s">
        <v>154</v>
      </c>
      <c r="T39" s="17">
        <v>251</v>
      </c>
      <c r="U39" s="28" t="s">
        <v>194</v>
      </c>
      <c r="V39" s="17" t="s">
        <v>154</v>
      </c>
      <c r="W39" s="15" t="s">
        <v>154</v>
      </c>
      <c r="X39" s="28" t="s">
        <v>195</v>
      </c>
      <c r="Y39" s="28" t="s">
        <v>195</v>
      </c>
      <c r="Z39" s="8">
        <v>31</v>
      </c>
      <c r="AA39" s="28" t="s">
        <v>150</v>
      </c>
      <c r="AB39" s="95">
        <v>47</v>
      </c>
      <c r="AC39" s="28" t="s">
        <v>150</v>
      </c>
      <c r="AD39" s="97">
        <v>70</v>
      </c>
      <c r="AE39" s="28" t="s">
        <v>150</v>
      </c>
      <c r="AF39" s="95" t="s">
        <v>154</v>
      </c>
      <c r="AG39" s="97" t="s">
        <v>154</v>
      </c>
      <c r="AH39" s="97">
        <v>62</v>
      </c>
      <c r="AI39" s="199" t="s">
        <v>150</v>
      </c>
      <c r="AJ39" s="259">
        <v>92</v>
      </c>
      <c r="AK39" s="199" t="s">
        <v>150</v>
      </c>
    </row>
    <row r="40" spans="1:37" x14ac:dyDescent="0.25">
      <c r="A40" s="21" t="s">
        <v>86</v>
      </c>
      <c r="B40" s="5" t="s">
        <v>31</v>
      </c>
      <c r="C40" s="76" t="s">
        <v>90</v>
      </c>
      <c r="D40" s="26" t="s">
        <v>91</v>
      </c>
      <c r="E40" s="26" t="s">
        <v>191</v>
      </c>
      <c r="F40" s="21" t="s">
        <v>179</v>
      </c>
      <c r="G40" s="21" t="s">
        <v>147</v>
      </c>
      <c r="H40" s="26" t="s">
        <v>435</v>
      </c>
      <c r="I40" s="11" t="s">
        <v>311</v>
      </c>
      <c r="J40" s="68">
        <v>64</v>
      </c>
      <c r="K40" s="28" t="s">
        <v>194</v>
      </c>
      <c r="L40" s="68">
        <v>50</v>
      </c>
      <c r="M40" s="28" t="s">
        <v>194</v>
      </c>
      <c r="N40" s="28">
        <v>61</v>
      </c>
      <c r="O40" s="28" t="s">
        <v>194</v>
      </c>
      <c r="P40" s="68">
        <v>58</v>
      </c>
      <c r="Q40" s="28" t="s">
        <v>194</v>
      </c>
      <c r="R40" s="28">
        <v>25</v>
      </c>
      <c r="S40" s="28" t="s">
        <v>150</v>
      </c>
      <c r="T40" s="28">
        <v>27</v>
      </c>
      <c r="U40" s="28" t="s">
        <v>150</v>
      </c>
      <c r="V40" s="28">
        <v>42</v>
      </c>
      <c r="W40" s="28" t="s">
        <v>194</v>
      </c>
      <c r="X40" s="28" t="s">
        <v>195</v>
      </c>
      <c r="Y40" s="28" t="s">
        <v>195</v>
      </c>
      <c r="Z40" s="28">
        <v>44</v>
      </c>
      <c r="AA40" s="28" t="s">
        <v>194</v>
      </c>
      <c r="AB40" s="95">
        <v>40</v>
      </c>
      <c r="AC40" s="28" t="s">
        <v>150</v>
      </c>
      <c r="AD40" s="97">
        <v>26</v>
      </c>
      <c r="AE40" s="28" t="s">
        <v>150</v>
      </c>
      <c r="AF40" s="95">
        <v>37</v>
      </c>
      <c r="AG40" s="199" t="s">
        <v>150</v>
      </c>
      <c r="AH40" s="97">
        <v>60</v>
      </c>
      <c r="AI40" s="28" t="s">
        <v>194</v>
      </c>
      <c r="AJ40" s="115">
        <v>43</v>
      </c>
      <c r="AK40" s="28" t="s">
        <v>194</v>
      </c>
    </row>
    <row r="41" spans="1:37" x14ac:dyDescent="0.25">
      <c r="A41" s="21" t="s">
        <v>86</v>
      </c>
      <c r="B41" s="5" t="s">
        <v>31</v>
      </c>
      <c r="C41" s="76" t="s">
        <v>90</v>
      </c>
      <c r="D41" s="26" t="s">
        <v>91</v>
      </c>
      <c r="E41" s="26" t="s">
        <v>191</v>
      </c>
      <c r="F41" s="21" t="s">
        <v>179</v>
      </c>
      <c r="G41" s="21" t="s">
        <v>147</v>
      </c>
      <c r="H41" s="26" t="s">
        <v>436</v>
      </c>
      <c r="I41" s="11" t="s">
        <v>311</v>
      </c>
      <c r="J41" s="68">
        <v>89</v>
      </c>
      <c r="K41" s="28" t="s">
        <v>194</v>
      </c>
      <c r="L41" s="68">
        <v>49</v>
      </c>
      <c r="M41" s="28" t="s">
        <v>194</v>
      </c>
      <c r="N41" s="28">
        <v>71</v>
      </c>
      <c r="O41" s="28" t="s">
        <v>194</v>
      </c>
      <c r="P41" s="68">
        <v>69</v>
      </c>
      <c r="Q41" s="28" t="s">
        <v>194</v>
      </c>
      <c r="R41" s="28">
        <v>81</v>
      </c>
      <c r="S41" s="28" t="s">
        <v>194</v>
      </c>
      <c r="T41" s="28">
        <v>234</v>
      </c>
      <c r="U41" s="28" t="s">
        <v>194</v>
      </c>
      <c r="V41" s="28">
        <v>218</v>
      </c>
      <c r="W41" s="28" t="s">
        <v>194</v>
      </c>
      <c r="X41" s="28" t="s">
        <v>195</v>
      </c>
      <c r="Y41" s="28" t="s">
        <v>195</v>
      </c>
      <c r="Z41" s="28">
        <v>44</v>
      </c>
      <c r="AA41" s="28" t="s">
        <v>194</v>
      </c>
      <c r="AB41" s="95">
        <v>34</v>
      </c>
      <c r="AC41" s="28" t="s">
        <v>150</v>
      </c>
      <c r="AD41" s="97">
        <v>44</v>
      </c>
      <c r="AE41" s="28" t="s">
        <v>194</v>
      </c>
      <c r="AF41" s="95">
        <v>79</v>
      </c>
      <c r="AG41" s="28" t="s">
        <v>194</v>
      </c>
      <c r="AH41" s="97">
        <v>25</v>
      </c>
      <c r="AI41" s="199" t="s">
        <v>150</v>
      </c>
      <c r="AJ41" s="115">
        <v>88</v>
      </c>
      <c r="AK41" s="28" t="s">
        <v>194</v>
      </c>
    </row>
    <row r="42" spans="1:37" x14ac:dyDescent="0.25">
      <c r="A42" s="21" t="s">
        <v>86</v>
      </c>
      <c r="B42" s="5" t="s">
        <v>31</v>
      </c>
      <c r="C42" s="76" t="s">
        <v>90</v>
      </c>
      <c r="D42" s="26" t="s">
        <v>91</v>
      </c>
      <c r="E42" s="26" t="s">
        <v>191</v>
      </c>
      <c r="F42" s="21" t="s">
        <v>179</v>
      </c>
      <c r="G42" s="21" t="s">
        <v>147</v>
      </c>
      <c r="H42" s="26" t="s">
        <v>437</v>
      </c>
      <c r="I42" s="11" t="s">
        <v>412</v>
      </c>
      <c r="J42" s="69">
        <v>27</v>
      </c>
      <c r="K42" s="28" t="s">
        <v>194</v>
      </c>
      <c r="L42" s="69">
        <v>30</v>
      </c>
      <c r="M42" s="28" t="s">
        <v>194</v>
      </c>
      <c r="N42" s="28">
        <v>30</v>
      </c>
      <c r="O42" s="28" t="s">
        <v>194</v>
      </c>
      <c r="P42" s="69">
        <v>29</v>
      </c>
      <c r="Q42" s="28" t="s">
        <v>194</v>
      </c>
      <c r="R42" s="28">
        <v>29</v>
      </c>
      <c r="S42" s="28" t="s">
        <v>194</v>
      </c>
      <c r="T42" s="28">
        <v>23</v>
      </c>
      <c r="U42" s="28" t="s">
        <v>150</v>
      </c>
      <c r="V42" s="28" t="s">
        <v>154</v>
      </c>
      <c r="W42" s="15" t="s">
        <v>154</v>
      </c>
      <c r="X42" s="28" t="s">
        <v>195</v>
      </c>
      <c r="Y42" s="28" t="s">
        <v>195</v>
      </c>
      <c r="Z42" s="28">
        <v>42</v>
      </c>
      <c r="AA42" s="28" t="s">
        <v>194</v>
      </c>
      <c r="AB42" s="95">
        <v>41</v>
      </c>
      <c r="AC42" s="28" t="s">
        <v>194</v>
      </c>
      <c r="AD42" s="97">
        <v>24</v>
      </c>
      <c r="AE42" s="28" t="s">
        <v>150</v>
      </c>
      <c r="AF42" s="95">
        <v>30</v>
      </c>
      <c r="AG42" s="28" t="s">
        <v>194</v>
      </c>
      <c r="AH42" s="97" t="s">
        <v>154</v>
      </c>
      <c r="AI42" s="97" t="s">
        <v>154</v>
      </c>
      <c r="AJ42" s="259">
        <v>28</v>
      </c>
      <c r="AK42" s="28" t="s">
        <v>194</v>
      </c>
    </row>
    <row r="43" spans="1:37" x14ac:dyDescent="0.25">
      <c r="A43" s="21" t="s">
        <v>86</v>
      </c>
      <c r="B43" s="5" t="s">
        <v>31</v>
      </c>
      <c r="C43" s="76" t="s">
        <v>90</v>
      </c>
      <c r="D43" s="26" t="s">
        <v>91</v>
      </c>
      <c r="E43" s="26" t="s">
        <v>191</v>
      </c>
      <c r="F43" s="21" t="s">
        <v>179</v>
      </c>
      <c r="G43" s="21" t="s">
        <v>147</v>
      </c>
      <c r="H43" s="26" t="s">
        <v>438</v>
      </c>
      <c r="I43" s="11" t="s">
        <v>311</v>
      </c>
      <c r="J43" s="68">
        <v>15</v>
      </c>
      <c r="K43" s="28" t="s">
        <v>150</v>
      </c>
      <c r="L43" s="36" t="s">
        <v>154</v>
      </c>
      <c r="M43" s="15" t="s">
        <v>154</v>
      </c>
      <c r="N43" s="15" t="s">
        <v>154</v>
      </c>
      <c r="O43" s="15" t="s">
        <v>154</v>
      </c>
      <c r="P43" s="68">
        <v>15</v>
      </c>
      <c r="Q43" s="28" t="s">
        <v>150</v>
      </c>
      <c r="R43" s="17" t="s">
        <v>154</v>
      </c>
      <c r="S43" s="15" t="s">
        <v>154</v>
      </c>
      <c r="T43" s="17" t="s">
        <v>154</v>
      </c>
      <c r="U43" s="28" t="s">
        <v>154</v>
      </c>
      <c r="V43" s="17" t="s">
        <v>154</v>
      </c>
      <c r="W43" s="15" t="s">
        <v>154</v>
      </c>
      <c r="X43" s="28" t="s">
        <v>195</v>
      </c>
      <c r="Y43" s="28" t="s">
        <v>195</v>
      </c>
      <c r="Z43" s="15" t="s">
        <v>154</v>
      </c>
      <c r="AA43" s="15" t="s">
        <v>154</v>
      </c>
      <c r="AB43" s="95">
        <v>41</v>
      </c>
      <c r="AC43" s="28" t="s">
        <v>194</v>
      </c>
      <c r="AD43" s="97">
        <v>58</v>
      </c>
      <c r="AE43" s="28" t="s">
        <v>194</v>
      </c>
      <c r="AF43" s="95" t="s">
        <v>154</v>
      </c>
      <c r="AG43" s="97" t="s">
        <v>154</v>
      </c>
      <c r="AH43" s="97" t="s">
        <v>154</v>
      </c>
      <c r="AI43" s="97" t="s">
        <v>154</v>
      </c>
      <c r="AJ43" s="115">
        <v>38</v>
      </c>
      <c r="AK43" s="199" t="s">
        <v>150</v>
      </c>
    </row>
    <row r="44" spans="1:37" x14ac:dyDescent="0.25">
      <c r="A44" s="21" t="s">
        <v>86</v>
      </c>
      <c r="B44" s="5" t="s">
        <v>31</v>
      </c>
      <c r="C44" s="76" t="s">
        <v>90</v>
      </c>
      <c r="D44" s="26" t="s">
        <v>91</v>
      </c>
      <c r="E44" s="26" t="s">
        <v>191</v>
      </c>
      <c r="F44" s="21" t="s">
        <v>179</v>
      </c>
      <c r="G44" s="21" t="s">
        <v>147</v>
      </c>
      <c r="H44" s="26" t="s">
        <v>439</v>
      </c>
      <c r="I44" s="11" t="s">
        <v>412</v>
      </c>
      <c r="J44" s="36" t="s">
        <v>154</v>
      </c>
      <c r="K44" s="36" t="s">
        <v>154</v>
      </c>
      <c r="L44" s="36" t="s">
        <v>154</v>
      </c>
      <c r="M44" s="15" t="s">
        <v>154</v>
      </c>
      <c r="N44" s="15" t="s">
        <v>154</v>
      </c>
      <c r="O44" s="15" t="s">
        <v>154</v>
      </c>
      <c r="P44" s="36" t="s">
        <v>154</v>
      </c>
      <c r="Q44" s="15" t="s">
        <v>154</v>
      </c>
      <c r="R44" s="17" t="s">
        <v>154</v>
      </c>
      <c r="S44" s="15" t="s">
        <v>154</v>
      </c>
      <c r="T44" s="17">
        <v>14</v>
      </c>
      <c r="U44" s="28" t="s">
        <v>150</v>
      </c>
      <c r="V44" s="17">
        <v>41</v>
      </c>
      <c r="W44" s="28" t="s">
        <v>194</v>
      </c>
      <c r="X44" s="28" t="s">
        <v>195</v>
      </c>
      <c r="Y44" s="28" t="s">
        <v>195</v>
      </c>
      <c r="Z44" s="15" t="s">
        <v>154</v>
      </c>
      <c r="AA44" s="15" t="s">
        <v>154</v>
      </c>
      <c r="AB44" s="95" t="s">
        <v>154</v>
      </c>
      <c r="AC44" s="15" t="s">
        <v>154</v>
      </c>
      <c r="AD44" s="97" t="s">
        <v>154</v>
      </c>
      <c r="AE44" s="97" t="s">
        <v>154</v>
      </c>
      <c r="AF44" s="95">
        <v>49</v>
      </c>
      <c r="AG44" s="28" t="s">
        <v>194</v>
      </c>
      <c r="AH44" s="97">
        <v>69</v>
      </c>
      <c r="AI44" s="28" t="s">
        <v>194</v>
      </c>
      <c r="AJ44" s="259">
        <v>43</v>
      </c>
      <c r="AK44" s="28" t="s">
        <v>194</v>
      </c>
    </row>
    <row r="45" spans="1:37" x14ac:dyDescent="0.25">
      <c r="A45" s="21" t="s">
        <v>86</v>
      </c>
      <c r="B45" s="5" t="s">
        <v>31</v>
      </c>
      <c r="C45" s="76" t="s">
        <v>90</v>
      </c>
      <c r="D45" s="26" t="s">
        <v>91</v>
      </c>
      <c r="E45" s="26" t="s">
        <v>191</v>
      </c>
      <c r="F45" s="21" t="s">
        <v>179</v>
      </c>
      <c r="G45" s="21" t="s">
        <v>147</v>
      </c>
      <c r="H45" s="26" t="s">
        <v>440</v>
      </c>
      <c r="I45" s="11" t="s">
        <v>311</v>
      </c>
      <c r="J45" s="68">
        <v>53</v>
      </c>
      <c r="K45" s="28" t="s">
        <v>194</v>
      </c>
      <c r="L45" s="68">
        <v>13</v>
      </c>
      <c r="M45" s="28" t="s">
        <v>150</v>
      </c>
      <c r="N45" s="28">
        <v>13</v>
      </c>
      <c r="O45" s="28" t="s">
        <v>150</v>
      </c>
      <c r="P45" s="68">
        <v>26</v>
      </c>
      <c r="Q45" s="28" t="s">
        <v>150</v>
      </c>
      <c r="R45" s="28">
        <v>21</v>
      </c>
      <c r="S45" s="28" t="s">
        <v>150</v>
      </c>
      <c r="T45" s="28">
        <v>41</v>
      </c>
      <c r="U45" s="28" t="s">
        <v>194</v>
      </c>
      <c r="V45" s="28">
        <v>34</v>
      </c>
      <c r="W45" s="28" t="s">
        <v>150</v>
      </c>
      <c r="X45" s="28" t="s">
        <v>195</v>
      </c>
      <c r="Y45" s="28" t="s">
        <v>195</v>
      </c>
      <c r="Z45" s="15" t="s">
        <v>154</v>
      </c>
      <c r="AA45" s="15" t="s">
        <v>154</v>
      </c>
      <c r="AB45" s="95">
        <v>26</v>
      </c>
      <c r="AC45" s="28" t="s">
        <v>150</v>
      </c>
      <c r="AD45" s="97" t="s">
        <v>154</v>
      </c>
      <c r="AE45" s="97" t="s">
        <v>154</v>
      </c>
      <c r="AF45" s="95">
        <v>96</v>
      </c>
      <c r="AG45" s="28" t="s">
        <v>194</v>
      </c>
      <c r="AH45" s="97" t="s">
        <v>154</v>
      </c>
      <c r="AI45" s="97" t="s">
        <v>154</v>
      </c>
      <c r="AJ45" s="114">
        <v>37</v>
      </c>
      <c r="AK45" s="199" t="s">
        <v>150</v>
      </c>
    </row>
    <row r="46" spans="1:37" x14ac:dyDescent="0.25">
      <c r="A46" s="21" t="s">
        <v>86</v>
      </c>
      <c r="B46" s="5" t="s">
        <v>31</v>
      </c>
      <c r="C46" s="76" t="s">
        <v>90</v>
      </c>
      <c r="D46" s="26" t="s">
        <v>91</v>
      </c>
      <c r="E46" s="26" t="s">
        <v>191</v>
      </c>
      <c r="F46" s="21" t="s">
        <v>179</v>
      </c>
      <c r="G46" s="21" t="s">
        <v>147</v>
      </c>
      <c r="H46" s="26" t="s">
        <v>441</v>
      </c>
      <c r="I46" s="11" t="s">
        <v>311</v>
      </c>
      <c r="J46" s="68">
        <v>127</v>
      </c>
      <c r="K46" s="28" t="s">
        <v>194</v>
      </c>
      <c r="L46" s="36" t="s">
        <v>154</v>
      </c>
      <c r="M46" s="15" t="s">
        <v>154</v>
      </c>
      <c r="N46" s="15" t="s">
        <v>154</v>
      </c>
      <c r="O46" s="15" t="s">
        <v>154</v>
      </c>
      <c r="P46" s="68">
        <v>127</v>
      </c>
      <c r="Q46" s="28" t="s">
        <v>194</v>
      </c>
      <c r="R46" s="17" t="s">
        <v>154</v>
      </c>
      <c r="S46" s="15" t="s">
        <v>154</v>
      </c>
      <c r="T46" s="17" t="s">
        <v>154</v>
      </c>
      <c r="U46" s="28" t="s">
        <v>154</v>
      </c>
      <c r="V46" s="17">
        <v>10</v>
      </c>
      <c r="W46" s="28" t="s">
        <v>150</v>
      </c>
      <c r="X46" s="28" t="s">
        <v>195</v>
      </c>
      <c r="Y46" s="28" t="s">
        <v>195</v>
      </c>
      <c r="Z46" s="8">
        <v>29</v>
      </c>
      <c r="AA46" s="28" t="s">
        <v>150</v>
      </c>
      <c r="AB46" s="95" t="s">
        <v>154</v>
      </c>
      <c r="AC46" s="15" t="s">
        <v>154</v>
      </c>
      <c r="AD46" s="97" t="s">
        <v>154</v>
      </c>
      <c r="AE46" s="97" t="s">
        <v>154</v>
      </c>
      <c r="AF46" s="95">
        <v>29</v>
      </c>
      <c r="AG46" s="199" t="s">
        <v>150</v>
      </c>
      <c r="AH46" s="97" t="s">
        <v>154</v>
      </c>
      <c r="AI46" s="97" t="s">
        <v>154</v>
      </c>
      <c r="AJ46" s="115">
        <v>49</v>
      </c>
      <c r="AK46" s="28" t="s">
        <v>194</v>
      </c>
    </row>
    <row r="47" spans="1:37" x14ac:dyDescent="0.25">
      <c r="A47" s="21" t="s">
        <v>86</v>
      </c>
      <c r="B47" s="5" t="s">
        <v>31</v>
      </c>
      <c r="C47" s="76" t="s">
        <v>90</v>
      </c>
      <c r="D47" s="26" t="s">
        <v>91</v>
      </c>
      <c r="E47" s="26" t="s">
        <v>191</v>
      </c>
      <c r="F47" s="21" t="s">
        <v>179</v>
      </c>
      <c r="G47" s="21" t="s">
        <v>147</v>
      </c>
      <c r="H47" s="26" t="s">
        <v>442</v>
      </c>
      <c r="I47" s="11">
        <v>0.1</v>
      </c>
      <c r="J47" s="11">
        <v>0.11</v>
      </c>
      <c r="K47" s="28" t="s">
        <v>194</v>
      </c>
      <c r="L47" s="11">
        <v>0.44</v>
      </c>
      <c r="M47" s="28" t="s">
        <v>194</v>
      </c>
      <c r="N47" s="29">
        <v>7.0000000000000007E-2</v>
      </c>
      <c r="O47" s="28" t="s">
        <v>150</v>
      </c>
      <c r="P47" s="11">
        <v>0.18</v>
      </c>
      <c r="Q47" s="28" t="s">
        <v>194</v>
      </c>
      <c r="R47" s="29">
        <v>0</v>
      </c>
      <c r="S47" s="28" t="s">
        <v>150</v>
      </c>
      <c r="T47" s="29">
        <v>0.08</v>
      </c>
      <c r="U47" s="28" t="s">
        <v>150</v>
      </c>
      <c r="V47" s="29">
        <v>0</v>
      </c>
      <c r="W47" s="28" t="s">
        <v>150</v>
      </c>
      <c r="X47" s="28" t="s">
        <v>195</v>
      </c>
      <c r="Y47" s="28" t="s">
        <v>195</v>
      </c>
      <c r="Z47" s="29">
        <v>0</v>
      </c>
      <c r="AA47" s="28" t="s">
        <v>150</v>
      </c>
      <c r="AB47" s="83">
        <v>0</v>
      </c>
      <c r="AC47" s="28" t="s">
        <v>150</v>
      </c>
      <c r="AD47" s="128">
        <v>7.0000000000000007E-2</v>
      </c>
      <c r="AE47" s="28" t="s">
        <v>150</v>
      </c>
      <c r="AF47" s="102">
        <v>0.22</v>
      </c>
      <c r="AG47" s="28" t="s">
        <v>194</v>
      </c>
      <c r="AH47" s="102">
        <v>0.09</v>
      </c>
      <c r="AI47" s="199" t="s">
        <v>150</v>
      </c>
      <c r="AJ47" s="272">
        <v>0.09</v>
      </c>
      <c r="AK47" s="199" t="s">
        <v>150</v>
      </c>
    </row>
    <row r="48" spans="1:37" x14ac:dyDescent="0.25">
      <c r="A48" s="21" t="s">
        <v>86</v>
      </c>
      <c r="B48" s="5" t="s">
        <v>31</v>
      </c>
      <c r="C48" s="76" t="s">
        <v>90</v>
      </c>
      <c r="D48" s="26" t="s">
        <v>91</v>
      </c>
      <c r="E48" s="26" t="s">
        <v>191</v>
      </c>
      <c r="F48" s="21" t="s">
        <v>179</v>
      </c>
      <c r="G48" s="21" t="s">
        <v>147</v>
      </c>
      <c r="H48" s="26" t="s">
        <v>443</v>
      </c>
      <c r="I48" s="11">
        <v>0.1</v>
      </c>
      <c r="J48" s="11">
        <v>0.38</v>
      </c>
      <c r="K48" s="28" t="s">
        <v>194</v>
      </c>
      <c r="L48" s="11">
        <v>0.28999999999999998</v>
      </c>
      <c r="M48" s="28" t="s">
        <v>194</v>
      </c>
      <c r="N48" s="29">
        <v>0.46</v>
      </c>
      <c r="O48" s="28" t="s">
        <v>194</v>
      </c>
      <c r="P48" s="11">
        <v>0.38</v>
      </c>
      <c r="Q48" s="28" t="s">
        <v>194</v>
      </c>
      <c r="R48" s="29">
        <v>0.2</v>
      </c>
      <c r="S48" s="28" t="s">
        <v>194</v>
      </c>
      <c r="T48" s="29">
        <v>0.63</v>
      </c>
      <c r="U48" s="28" t="s">
        <v>194</v>
      </c>
      <c r="V48" s="29">
        <v>7.0000000000000007E-2</v>
      </c>
      <c r="W48" s="28" t="s">
        <v>150</v>
      </c>
      <c r="X48" s="28" t="s">
        <v>195</v>
      </c>
      <c r="Y48" s="28" t="s">
        <v>195</v>
      </c>
      <c r="Z48" s="29">
        <v>0.05</v>
      </c>
      <c r="AA48" s="28" t="s">
        <v>150</v>
      </c>
      <c r="AB48" s="83">
        <v>0</v>
      </c>
      <c r="AC48" s="28" t="s">
        <v>150</v>
      </c>
      <c r="AD48" s="128">
        <v>0.17</v>
      </c>
      <c r="AE48" s="28" t="s">
        <v>194</v>
      </c>
      <c r="AF48" s="102">
        <v>0.18</v>
      </c>
      <c r="AG48" s="28" t="s">
        <v>194</v>
      </c>
      <c r="AH48" s="102">
        <v>0.23</v>
      </c>
      <c r="AI48" s="28" t="s">
        <v>194</v>
      </c>
      <c r="AJ48" s="272">
        <v>0.18</v>
      </c>
      <c r="AK48" s="28" t="s">
        <v>194</v>
      </c>
    </row>
    <row r="49" spans="1:37" x14ac:dyDescent="0.25">
      <c r="A49" s="21" t="s">
        <v>86</v>
      </c>
      <c r="B49" s="5" t="s">
        <v>31</v>
      </c>
      <c r="C49" s="76" t="s">
        <v>90</v>
      </c>
      <c r="D49" s="26" t="s">
        <v>91</v>
      </c>
      <c r="E49" s="26" t="s">
        <v>191</v>
      </c>
      <c r="F49" s="21" t="s">
        <v>179</v>
      </c>
      <c r="G49" s="21" t="s">
        <v>147</v>
      </c>
      <c r="H49" s="26" t="s">
        <v>444</v>
      </c>
      <c r="I49" s="11">
        <v>0.1</v>
      </c>
      <c r="J49" s="11">
        <v>0</v>
      </c>
      <c r="K49" s="28" t="s">
        <v>150</v>
      </c>
      <c r="L49" s="11">
        <v>0</v>
      </c>
      <c r="M49" s="28" t="s">
        <v>150</v>
      </c>
      <c r="N49" s="29">
        <v>0</v>
      </c>
      <c r="O49" s="28" t="s">
        <v>150</v>
      </c>
      <c r="P49" s="11">
        <v>0</v>
      </c>
      <c r="Q49" s="28" t="s">
        <v>150</v>
      </c>
      <c r="R49" s="29">
        <v>0</v>
      </c>
      <c r="S49" s="28" t="s">
        <v>150</v>
      </c>
      <c r="T49" s="29">
        <v>0</v>
      </c>
      <c r="U49" s="28" t="s">
        <v>150</v>
      </c>
      <c r="V49" s="29">
        <v>0.5</v>
      </c>
      <c r="W49" s="28" t="s">
        <v>194</v>
      </c>
      <c r="X49" s="28" t="s">
        <v>195</v>
      </c>
      <c r="Y49" s="28" t="s">
        <v>195</v>
      </c>
      <c r="Z49" s="29">
        <v>0</v>
      </c>
      <c r="AA49" s="28" t="s">
        <v>150</v>
      </c>
      <c r="AB49" s="83">
        <v>0</v>
      </c>
      <c r="AC49" s="28" t="s">
        <v>150</v>
      </c>
      <c r="AD49" s="128">
        <v>0</v>
      </c>
      <c r="AE49" s="28" t="s">
        <v>150</v>
      </c>
      <c r="AF49" s="102">
        <v>0</v>
      </c>
      <c r="AG49" s="199" t="s">
        <v>150</v>
      </c>
      <c r="AH49" s="102" t="s">
        <v>154</v>
      </c>
      <c r="AI49" s="271" t="s">
        <v>154</v>
      </c>
      <c r="AJ49" s="272" t="s">
        <v>154</v>
      </c>
      <c r="AK49" s="271" t="s">
        <v>154</v>
      </c>
    </row>
    <row r="50" spans="1:37" x14ac:dyDescent="0.25">
      <c r="A50" s="21" t="s">
        <v>86</v>
      </c>
      <c r="B50" s="5" t="s">
        <v>31</v>
      </c>
      <c r="C50" s="76" t="s">
        <v>90</v>
      </c>
      <c r="D50" s="26" t="s">
        <v>91</v>
      </c>
      <c r="E50" s="26" t="s">
        <v>191</v>
      </c>
      <c r="F50" s="21" t="s">
        <v>179</v>
      </c>
      <c r="G50" s="21" t="s">
        <v>147</v>
      </c>
      <c r="H50" s="26" t="s">
        <v>445</v>
      </c>
      <c r="I50" s="11">
        <v>0.1</v>
      </c>
      <c r="J50" s="11">
        <v>0</v>
      </c>
      <c r="K50" s="28" t="s">
        <v>150</v>
      </c>
      <c r="L50" s="36" t="s">
        <v>154</v>
      </c>
      <c r="M50" s="15" t="s">
        <v>154</v>
      </c>
      <c r="N50" s="15" t="s">
        <v>154</v>
      </c>
      <c r="O50" s="15" t="s">
        <v>154</v>
      </c>
      <c r="P50" s="36" t="s">
        <v>154</v>
      </c>
      <c r="Q50" s="15" t="s">
        <v>154</v>
      </c>
      <c r="R50" s="17" t="s">
        <v>154</v>
      </c>
      <c r="S50" s="15" t="s">
        <v>154</v>
      </c>
      <c r="T50" s="18">
        <v>0</v>
      </c>
      <c r="U50" s="28" t="s">
        <v>150</v>
      </c>
      <c r="V50" s="18">
        <v>0</v>
      </c>
      <c r="W50" s="28" t="s">
        <v>150</v>
      </c>
      <c r="X50" s="28" t="s">
        <v>195</v>
      </c>
      <c r="Y50" s="28" t="s">
        <v>195</v>
      </c>
      <c r="Z50" s="15">
        <v>0</v>
      </c>
      <c r="AA50" s="28" t="s">
        <v>150</v>
      </c>
      <c r="AB50" s="83">
        <v>0</v>
      </c>
      <c r="AC50" s="28" t="s">
        <v>150</v>
      </c>
      <c r="AD50" s="128">
        <v>0</v>
      </c>
      <c r="AE50" s="28" t="s">
        <v>150</v>
      </c>
      <c r="AF50" s="102">
        <v>0</v>
      </c>
      <c r="AG50" s="199" t="s">
        <v>150</v>
      </c>
      <c r="AH50" s="102" t="s">
        <v>154</v>
      </c>
      <c r="AI50" s="271" t="s">
        <v>154</v>
      </c>
      <c r="AJ50" s="272" t="s">
        <v>154</v>
      </c>
      <c r="AK50" s="271" t="s">
        <v>154</v>
      </c>
    </row>
    <row r="51" spans="1:37" x14ac:dyDescent="0.25">
      <c r="A51" s="21" t="s">
        <v>86</v>
      </c>
      <c r="B51" s="5" t="s">
        <v>31</v>
      </c>
      <c r="C51" s="76" t="s">
        <v>90</v>
      </c>
      <c r="D51" s="26" t="s">
        <v>91</v>
      </c>
      <c r="E51" s="26" t="s">
        <v>191</v>
      </c>
      <c r="F51" s="21" t="s">
        <v>179</v>
      </c>
      <c r="G51" s="21" t="s">
        <v>147</v>
      </c>
      <c r="H51" s="26" t="s">
        <v>446</v>
      </c>
      <c r="I51" s="11">
        <v>0.1</v>
      </c>
      <c r="J51" s="36" t="s">
        <v>154</v>
      </c>
      <c r="K51" s="15" t="s">
        <v>154</v>
      </c>
      <c r="L51" s="36" t="s">
        <v>154</v>
      </c>
      <c r="M51" s="15" t="s">
        <v>154</v>
      </c>
      <c r="N51" s="15" t="s">
        <v>154</v>
      </c>
      <c r="O51" s="15" t="s">
        <v>154</v>
      </c>
      <c r="P51" s="36" t="s">
        <v>154</v>
      </c>
      <c r="Q51" s="15" t="s">
        <v>154</v>
      </c>
      <c r="R51" s="17" t="s">
        <v>154</v>
      </c>
      <c r="S51" s="15" t="s">
        <v>154</v>
      </c>
      <c r="T51" s="18">
        <v>0</v>
      </c>
      <c r="U51" s="28" t="s">
        <v>150</v>
      </c>
      <c r="V51" s="18">
        <v>0</v>
      </c>
      <c r="W51" s="28" t="s">
        <v>150</v>
      </c>
      <c r="X51" s="28" t="s">
        <v>195</v>
      </c>
      <c r="Y51" s="28" t="s">
        <v>195</v>
      </c>
      <c r="Z51" s="15">
        <v>0</v>
      </c>
      <c r="AA51" s="28" t="s">
        <v>150</v>
      </c>
      <c r="AB51" s="95" t="s">
        <v>154</v>
      </c>
      <c r="AC51" s="15" t="s">
        <v>154</v>
      </c>
      <c r="AD51" s="128">
        <v>0.5</v>
      </c>
      <c r="AE51" s="28" t="s">
        <v>194</v>
      </c>
      <c r="AF51" s="102">
        <v>0.5</v>
      </c>
      <c r="AG51" s="28" t="s">
        <v>194</v>
      </c>
      <c r="AH51" s="102">
        <v>0</v>
      </c>
      <c r="AI51" s="199" t="s">
        <v>150</v>
      </c>
      <c r="AJ51" s="116">
        <v>0</v>
      </c>
      <c r="AK51" s="199" t="s">
        <v>150</v>
      </c>
    </row>
    <row r="52" spans="1:37" x14ac:dyDescent="0.25">
      <c r="A52" s="21" t="s">
        <v>86</v>
      </c>
      <c r="B52" s="5" t="s">
        <v>31</v>
      </c>
      <c r="C52" s="76" t="s">
        <v>90</v>
      </c>
      <c r="D52" s="26" t="s">
        <v>91</v>
      </c>
      <c r="E52" s="26" t="s">
        <v>191</v>
      </c>
      <c r="F52" s="21" t="s">
        <v>179</v>
      </c>
      <c r="G52" s="21" t="s">
        <v>147</v>
      </c>
      <c r="H52" s="26" t="s">
        <v>447</v>
      </c>
      <c r="I52" s="11">
        <v>0.1</v>
      </c>
      <c r="J52" s="11">
        <v>0</v>
      </c>
      <c r="K52" s="28" t="s">
        <v>150</v>
      </c>
      <c r="L52" s="11">
        <v>0</v>
      </c>
      <c r="M52" s="28" t="s">
        <v>150</v>
      </c>
      <c r="N52" s="29">
        <v>0</v>
      </c>
      <c r="O52" s="28" t="s">
        <v>150</v>
      </c>
      <c r="P52" s="11">
        <v>0</v>
      </c>
      <c r="Q52" s="28" t="s">
        <v>150</v>
      </c>
      <c r="R52" s="29">
        <v>0.08</v>
      </c>
      <c r="S52" s="28" t="s">
        <v>150</v>
      </c>
      <c r="T52" s="29">
        <v>0.5</v>
      </c>
      <c r="U52" s="28" t="s">
        <v>194</v>
      </c>
      <c r="V52" s="29">
        <v>0</v>
      </c>
      <c r="W52" s="28" t="s">
        <v>150</v>
      </c>
      <c r="X52" s="28" t="s">
        <v>195</v>
      </c>
      <c r="Y52" s="28" t="s">
        <v>195</v>
      </c>
      <c r="Z52" s="29">
        <v>0</v>
      </c>
      <c r="AA52" s="28" t="s">
        <v>150</v>
      </c>
      <c r="AB52" s="102">
        <v>0</v>
      </c>
      <c r="AC52" s="28" t="s">
        <v>150</v>
      </c>
      <c r="AD52" s="128">
        <v>0.5</v>
      </c>
      <c r="AE52" s="28" t="s">
        <v>194</v>
      </c>
      <c r="AF52" s="102">
        <v>0</v>
      </c>
      <c r="AG52" s="199" t="s">
        <v>150</v>
      </c>
      <c r="AH52" s="102">
        <v>0</v>
      </c>
      <c r="AI52" s="199" t="s">
        <v>150</v>
      </c>
      <c r="AJ52" s="272">
        <v>0</v>
      </c>
      <c r="AK52" s="199" t="s">
        <v>150</v>
      </c>
    </row>
    <row r="53" spans="1:37" x14ac:dyDescent="0.25">
      <c r="A53" s="21" t="s">
        <v>86</v>
      </c>
      <c r="B53" s="5" t="s">
        <v>31</v>
      </c>
      <c r="C53" s="76" t="s">
        <v>90</v>
      </c>
      <c r="D53" s="26" t="s">
        <v>91</v>
      </c>
      <c r="E53" s="26" t="s">
        <v>191</v>
      </c>
      <c r="F53" s="21" t="s">
        <v>179</v>
      </c>
      <c r="G53" s="21" t="s">
        <v>147</v>
      </c>
      <c r="H53" s="26" t="s">
        <v>448</v>
      </c>
      <c r="I53" s="11">
        <v>0.1</v>
      </c>
      <c r="J53" s="11">
        <v>0</v>
      </c>
      <c r="K53" s="28" t="s">
        <v>150</v>
      </c>
      <c r="L53" s="11">
        <v>0</v>
      </c>
      <c r="M53" s="28" t="s">
        <v>150</v>
      </c>
      <c r="N53" s="29">
        <v>0</v>
      </c>
      <c r="O53" s="28" t="s">
        <v>150</v>
      </c>
      <c r="P53" s="11">
        <v>0</v>
      </c>
      <c r="Q53" s="28" t="s">
        <v>150</v>
      </c>
      <c r="R53" s="29">
        <v>0</v>
      </c>
      <c r="S53" s="28" t="s">
        <v>150</v>
      </c>
      <c r="T53" s="29">
        <v>0</v>
      </c>
      <c r="U53" s="28" t="s">
        <v>150</v>
      </c>
      <c r="V53" s="29">
        <v>0</v>
      </c>
      <c r="W53" s="28" t="s">
        <v>150</v>
      </c>
      <c r="X53" s="28" t="s">
        <v>195</v>
      </c>
      <c r="Y53" s="28" t="s">
        <v>195</v>
      </c>
      <c r="Z53" s="29">
        <v>0</v>
      </c>
      <c r="AA53" s="28" t="s">
        <v>150</v>
      </c>
      <c r="AB53" s="83">
        <v>0</v>
      </c>
      <c r="AC53" s="28" t="s">
        <v>150</v>
      </c>
      <c r="AD53" s="128">
        <v>0</v>
      </c>
      <c r="AE53" s="28" t="s">
        <v>150</v>
      </c>
      <c r="AF53" s="102">
        <v>0</v>
      </c>
      <c r="AG53" s="199" t="s">
        <v>150</v>
      </c>
      <c r="AH53" s="102">
        <v>0.2</v>
      </c>
      <c r="AI53" s="28" t="s">
        <v>194</v>
      </c>
      <c r="AJ53" s="272">
        <v>0.2</v>
      </c>
      <c r="AK53" s="28" t="s">
        <v>194</v>
      </c>
    </row>
    <row r="54" spans="1:37" x14ac:dyDescent="0.25">
      <c r="A54" s="21" t="s">
        <v>86</v>
      </c>
      <c r="B54" s="5" t="s">
        <v>31</v>
      </c>
      <c r="C54" s="76" t="s">
        <v>90</v>
      </c>
      <c r="D54" s="26" t="s">
        <v>91</v>
      </c>
      <c r="E54" s="26" t="s">
        <v>191</v>
      </c>
      <c r="F54" s="21" t="s">
        <v>179</v>
      </c>
      <c r="G54" s="21" t="s">
        <v>147</v>
      </c>
      <c r="H54" s="26" t="s">
        <v>449</v>
      </c>
      <c r="I54" s="11">
        <v>0.6</v>
      </c>
      <c r="J54" s="11">
        <v>0.59</v>
      </c>
      <c r="K54" s="28" t="s">
        <v>194</v>
      </c>
      <c r="L54" s="11">
        <v>0.66</v>
      </c>
      <c r="M54" s="28" t="s">
        <v>150</v>
      </c>
      <c r="N54" s="29">
        <v>0.8</v>
      </c>
      <c r="O54" s="28" t="s">
        <v>150</v>
      </c>
      <c r="P54" s="11">
        <v>0.7</v>
      </c>
      <c r="Q54" s="28" t="s">
        <v>150</v>
      </c>
      <c r="R54" s="29">
        <v>0.61</v>
      </c>
      <c r="S54" s="28" t="s">
        <v>150</v>
      </c>
      <c r="T54" s="29">
        <v>0.63</v>
      </c>
      <c r="U54" s="28" t="s">
        <v>150</v>
      </c>
      <c r="V54" s="29">
        <v>0.9</v>
      </c>
      <c r="W54" s="28" t="s">
        <v>150</v>
      </c>
      <c r="X54" s="28" t="s">
        <v>195</v>
      </c>
      <c r="Y54" s="28" t="s">
        <v>195</v>
      </c>
      <c r="Z54" s="29">
        <v>0.57999999999999996</v>
      </c>
      <c r="AA54" s="28" t="s">
        <v>194</v>
      </c>
      <c r="AB54" s="108">
        <v>0.89</v>
      </c>
      <c r="AC54" s="28" t="s">
        <v>150</v>
      </c>
      <c r="AD54" s="126">
        <v>0.54</v>
      </c>
      <c r="AE54" s="28" t="s">
        <v>194</v>
      </c>
      <c r="AF54" s="102">
        <v>0.48</v>
      </c>
      <c r="AG54" s="28" t="s">
        <v>194</v>
      </c>
      <c r="AH54" s="102">
        <v>0.77</v>
      </c>
      <c r="AI54" s="199" t="s">
        <v>150</v>
      </c>
      <c r="AJ54" s="273">
        <v>0.67</v>
      </c>
      <c r="AK54" s="199" t="s">
        <v>150</v>
      </c>
    </row>
    <row r="55" spans="1:37" x14ac:dyDescent="0.25">
      <c r="A55" s="21" t="s">
        <v>86</v>
      </c>
      <c r="B55" s="5" t="s">
        <v>31</v>
      </c>
      <c r="C55" s="76" t="s">
        <v>90</v>
      </c>
      <c r="D55" s="26" t="s">
        <v>91</v>
      </c>
      <c r="E55" s="26" t="s">
        <v>191</v>
      </c>
      <c r="F55" s="21" t="s">
        <v>179</v>
      </c>
      <c r="G55" s="21" t="s">
        <v>147</v>
      </c>
      <c r="H55" s="26" t="s">
        <v>450</v>
      </c>
      <c r="I55" s="11">
        <v>0.6</v>
      </c>
      <c r="J55" s="11">
        <v>0.63</v>
      </c>
      <c r="K55" s="28" t="s">
        <v>150</v>
      </c>
      <c r="L55" s="11">
        <v>0.62</v>
      </c>
      <c r="M55" s="28" t="s">
        <v>150</v>
      </c>
      <c r="N55" s="29">
        <v>0.71</v>
      </c>
      <c r="O55" s="28" t="s">
        <v>150</v>
      </c>
      <c r="P55" s="11">
        <v>0.65</v>
      </c>
      <c r="Q55" s="28" t="s">
        <v>150</v>
      </c>
      <c r="R55" s="29">
        <v>0.78</v>
      </c>
      <c r="S55" s="28" t="s">
        <v>150</v>
      </c>
      <c r="T55" s="29">
        <v>0.66</v>
      </c>
      <c r="U55" s="28" t="s">
        <v>150</v>
      </c>
      <c r="V55" s="29">
        <v>0.59</v>
      </c>
      <c r="W55" s="28" t="s">
        <v>194</v>
      </c>
      <c r="X55" s="28" t="s">
        <v>195</v>
      </c>
      <c r="Y55" s="28" t="s">
        <v>195</v>
      </c>
      <c r="Z55" s="29">
        <v>0.67</v>
      </c>
      <c r="AA55" s="28" t="s">
        <v>150</v>
      </c>
      <c r="AB55" s="108">
        <v>0.72972972972972971</v>
      </c>
      <c r="AC55" s="28" t="s">
        <v>150</v>
      </c>
      <c r="AD55" s="126">
        <v>0.79</v>
      </c>
      <c r="AE55" s="28" t="s">
        <v>150</v>
      </c>
      <c r="AF55" s="102">
        <v>0.67</v>
      </c>
      <c r="AG55" s="199" t="s">
        <v>150</v>
      </c>
      <c r="AH55" s="102">
        <v>0.69</v>
      </c>
      <c r="AI55" s="199" t="s">
        <v>150</v>
      </c>
      <c r="AJ55" s="272">
        <v>0.68</v>
      </c>
      <c r="AK55" s="199" t="s">
        <v>150</v>
      </c>
    </row>
    <row r="56" spans="1:37" x14ac:dyDescent="0.25">
      <c r="A56" s="21" t="s">
        <v>86</v>
      </c>
      <c r="B56" s="5" t="s">
        <v>31</v>
      </c>
      <c r="C56" s="76" t="s">
        <v>90</v>
      </c>
      <c r="D56" s="26" t="s">
        <v>91</v>
      </c>
      <c r="E56" s="26" t="s">
        <v>191</v>
      </c>
      <c r="F56" s="21" t="s">
        <v>179</v>
      </c>
      <c r="G56" s="21" t="s">
        <v>147</v>
      </c>
      <c r="H56" s="26" t="s">
        <v>451</v>
      </c>
      <c r="I56" s="11">
        <v>0.6</v>
      </c>
      <c r="J56" s="11">
        <v>0.44</v>
      </c>
      <c r="K56" s="28" t="s">
        <v>194</v>
      </c>
      <c r="L56" s="11">
        <v>0.7</v>
      </c>
      <c r="M56" s="28" t="s">
        <v>150</v>
      </c>
      <c r="N56" s="29">
        <v>0.87</v>
      </c>
      <c r="O56" s="28" t="s">
        <v>150</v>
      </c>
      <c r="P56" s="11">
        <v>0.71</v>
      </c>
      <c r="Q56" s="28" t="s">
        <v>150</v>
      </c>
      <c r="R56" s="29">
        <v>0.86</v>
      </c>
      <c r="S56" s="28" t="s">
        <v>150</v>
      </c>
      <c r="T56" s="29">
        <v>0.79</v>
      </c>
      <c r="U56" s="28" t="s">
        <v>150</v>
      </c>
      <c r="V56" s="29">
        <v>0.79</v>
      </c>
      <c r="W56" s="28" t="s">
        <v>150</v>
      </c>
      <c r="X56" s="28" t="s">
        <v>195</v>
      </c>
      <c r="Y56" s="28" t="s">
        <v>195</v>
      </c>
      <c r="Z56" s="29">
        <v>1</v>
      </c>
      <c r="AA56" s="28" t="s">
        <v>150</v>
      </c>
      <c r="AB56" s="108">
        <v>0.88</v>
      </c>
      <c r="AC56" s="28" t="s">
        <v>150</v>
      </c>
      <c r="AD56" s="126">
        <v>1</v>
      </c>
      <c r="AE56" s="28" t="s">
        <v>150</v>
      </c>
      <c r="AF56" s="102">
        <v>0.91</v>
      </c>
      <c r="AG56" s="199" t="s">
        <v>150</v>
      </c>
      <c r="AH56" s="95" t="s">
        <v>154</v>
      </c>
      <c r="AI56" s="94" t="s">
        <v>154</v>
      </c>
      <c r="AJ56" s="272">
        <v>0.83</v>
      </c>
      <c r="AK56" s="199" t="s">
        <v>150</v>
      </c>
    </row>
    <row r="57" spans="1:37" x14ac:dyDescent="0.25">
      <c r="A57" s="21" t="s">
        <v>86</v>
      </c>
      <c r="B57" s="5" t="s">
        <v>31</v>
      </c>
      <c r="C57" s="76" t="s">
        <v>90</v>
      </c>
      <c r="D57" s="26" t="s">
        <v>91</v>
      </c>
      <c r="E57" s="26" t="s">
        <v>191</v>
      </c>
      <c r="F57" s="21" t="s">
        <v>179</v>
      </c>
      <c r="G57" s="21" t="s">
        <v>147</v>
      </c>
      <c r="H57" s="26" t="s">
        <v>452</v>
      </c>
      <c r="I57" s="11">
        <v>0.6</v>
      </c>
      <c r="J57" s="11">
        <v>0.75</v>
      </c>
      <c r="K57" s="28" t="s">
        <v>150</v>
      </c>
      <c r="L57" s="36" t="s">
        <v>154</v>
      </c>
      <c r="M57" s="15" t="s">
        <v>154</v>
      </c>
      <c r="N57" s="15" t="s">
        <v>154</v>
      </c>
      <c r="O57" s="15" t="s">
        <v>154</v>
      </c>
      <c r="P57" s="11">
        <v>0.75</v>
      </c>
      <c r="Q57" s="28" t="s">
        <v>150</v>
      </c>
      <c r="R57" s="17" t="s">
        <v>154</v>
      </c>
      <c r="S57" s="15" t="s">
        <v>154</v>
      </c>
      <c r="T57" s="29" t="s">
        <v>154</v>
      </c>
      <c r="U57" s="28" t="s">
        <v>154</v>
      </c>
      <c r="V57" s="17" t="s">
        <v>154</v>
      </c>
      <c r="W57" s="15" t="s">
        <v>154</v>
      </c>
      <c r="X57" s="28" t="s">
        <v>195</v>
      </c>
      <c r="Y57" s="28" t="s">
        <v>195</v>
      </c>
      <c r="Z57" s="15">
        <v>0.56000000000000005</v>
      </c>
      <c r="AA57" s="28" t="s">
        <v>194</v>
      </c>
      <c r="AB57" s="108">
        <v>0.88</v>
      </c>
      <c r="AC57" s="28" t="s">
        <v>150</v>
      </c>
      <c r="AD57" s="126" t="s">
        <v>154</v>
      </c>
      <c r="AE57" s="126" t="s">
        <v>154</v>
      </c>
      <c r="AF57" s="95" t="s">
        <v>154</v>
      </c>
      <c r="AG57" s="97" t="s">
        <v>154</v>
      </c>
      <c r="AH57" s="102">
        <v>0.75</v>
      </c>
      <c r="AI57" s="199" t="s">
        <v>150</v>
      </c>
      <c r="AJ57" s="272">
        <v>0.57999999999999996</v>
      </c>
      <c r="AK57" s="28" t="s">
        <v>194</v>
      </c>
    </row>
    <row r="58" spans="1:37" x14ac:dyDescent="0.25">
      <c r="A58" s="21" t="s">
        <v>86</v>
      </c>
      <c r="B58" s="5" t="s">
        <v>31</v>
      </c>
      <c r="C58" s="76" t="s">
        <v>90</v>
      </c>
      <c r="D58" s="26" t="s">
        <v>91</v>
      </c>
      <c r="E58" s="26" t="s">
        <v>191</v>
      </c>
      <c r="F58" s="21" t="s">
        <v>179</v>
      </c>
      <c r="G58" s="21" t="s">
        <v>147</v>
      </c>
      <c r="H58" s="26" t="s">
        <v>453</v>
      </c>
      <c r="I58" s="11">
        <v>0.6</v>
      </c>
      <c r="J58" s="36" t="s">
        <v>154</v>
      </c>
      <c r="K58" s="28" t="s">
        <v>154</v>
      </c>
      <c r="L58" s="36" t="s">
        <v>154</v>
      </c>
      <c r="M58" s="15" t="s">
        <v>154</v>
      </c>
      <c r="N58" s="15" t="s">
        <v>154</v>
      </c>
      <c r="O58" s="15" t="s">
        <v>154</v>
      </c>
      <c r="P58" s="36" t="s">
        <v>154</v>
      </c>
      <c r="Q58" s="15" t="s">
        <v>154</v>
      </c>
      <c r="R58" s="17" t="s">
        <v>154</v>
      </c>
      <c r="S58" s="15" t="s">
        <v>154</v>
      </c>
      <c r="T58" s="29">
        <v>0.74</v>
      </c>
      <c r="U58" s="28" t="s">
        <v>150</v>
      </c>
      <c r="V58" s="18">
        <v>1</v>
      </c>
      <c r="W58" s="28" t="s">
        <v>150</v>
      </c>
      <c r="X58" s="28" t="s">
        <v>195</v>
      </c>
      <c r="Y58" s="28" t="s">
        <v>195</v>
      </c>
      <c r="Z58" s="15" t="s">
        <v>154</v>
      </c>
      <c r="AA58" s="15" t="s">
        <v>154</v>
      </c>
      <c r="AB58" s="95" t="s">
        <v>154</v>
      </c>
      <c r="AC58" s="15" t="s">
        <v>154</v>
      </c>
      <c r="AD58" s="126">
        <v>0.82</v>
      </c>
      <c r="AE58" s="28" t="s">
        <v>150</v>
      </c>
      <c r="AF58" s="102">
        <v>0.25</v>
      </c>
      <c r="AG58" s="28" t="s">
        <v>194</v>
      </c>
      <c r="AH58" s="102" t="s">
        <v>154</v>
      </c>
      <c r="AI58" s="94" t="s">
        <v>154</v>
      </c>
      <c r="AJ58" s="116">
        <v>0.76</v>
      </c>
      <c r="AK58" s="199" t="s">
        <v>150</v>
      </c>
    </row>
    <row r="59" spans="1:37" x14ac:dyDescent="0.25">
      <c r="A59" s="21" t="s">
        <v>86</v>
      </c>
      <c r="B59" s="5" t="s">
        <v>31</v>
      </c>
      <c r="C59" s="76" t="s">
        <v>90</v>
      </c>
      <c r="D59" s="26" t="s">
        <v>91</v>
      </c>
      <c r="E59" s="26" t="s">
        <v>191</v>
      </c>
      <c r="F59" s="21" t="s">
        <v>179</v>
      </c>
      <c r="G59" s="21" t="s">
        <v>147</v>
      </c>
      <c r="H59" s="26" t="s">
        <v>454</v>
      </c>
      <c r="I59" s="11">
        <v>0.6</v>
      </c>
      <c r="J59" s="11">
        <v>0.85</v>
      </c>
      <c r="K59" s="28" t="s">
        <v>150</v>
      </c>
      <c r="L59" s="11">
        <v>0.71</v>
      </c>
      <c r="M59" s="28" t="s">
        <v>150</v>
      </c>
      <c r="N59" s="29">
        <v>0.47</v>
      </c>
      <c r="O59" s="28" t="s">
        <v>194</v>
      </c>
      <c r="P59" s="11">
        <v>0.69</v>
      </c>
      <c r="Q59" s="28" t="s">
        <v>150</v>
      </c>
      <c r="R59" s="29">
        <v>0.91</v>
      </c>
      <c r="S59" s="28" t="s">
        <v>150</v>
      </c>
      <c r="T59" s="29">
        <v>0.67</v>
      </c>
      <c r="U59" s="28" t="s">
        <v>150</v>
      </c>
      <c r="V59" s="29">
        <v>0.7</v>
      </c>
      <c r="W59" s="28" t="s">
        <v>150</v>
      </c>
      <c r="X59" s="28" t="s">
        <v>195</v>
      </c>
      <c r="Y59" s="28" t="s">
        <v>195</v>
      </c>
      <c r="Z59" s="29">
        <v>1</v>
      </c>
      <c r="AA59" s="28" t="s">
        <v>150</v>
      </c>
      <c r="AB59" s="95" t="s">
        <v>154</v>
      </c>
      <c r="AC59" s="15" t="s">
        <v>154</v>
      </c>
      <c r="AD59" s="126">
        <v>1</v>
      </c>
      <c r="AE59" s="28" t="s">
        <v>150</v>
      </c>
      <c r="AF59" s="102">
        <v>0.5</v>
      </c>
      <c r="AG59" s="28" t="s">
        <v>194</v>
      </c>
      <c r="AH59" s="102">
        <v>0.33</v>
      </c>
      <c r="AI59" s="28" t="s">
        <v>194</v>
      </c>
      <c r="AJ59" s="272">
        <v>0.72</v>
      </c>
      <c r="AK59" s="199" t="s">
        <v>150</v>
      </c>
    </row>
    <row r="60" spans="1:37" x14ac:dyDescent="0.25">
      <c r="A60" s="21" t="s">
        <v>86</v>
      </c>
      <c r="B60" s="5" t="s">
        <v>31</v>
      </c>
      <c r="C60" s="76" t="s">
        <v>90</v>
      </c>
      <c r="D60" s="26" t="s">
        <v>91</v>
      </c>
      <c r="E60" s="26" t="s">
        <v>191</v>
      </c>
      <c r="F60" s="21" t="s">
        <v>179</v>
      </c>
      <c r="G60" s="21" t="s">
        <v>147</v>
      </c>
      <c r="H60" s="26" t="s">
        <v>455</v>
      </c>
      <c r="I60" s="11">
        <v>0.6</v>
      </c>
      <c r="J60" s="11">
        <v>0.68</v>
      </c>
      <c r="K60" s="28" t="s">
        <v>150</v>
      </c>
      <c r="L60" s="36" t="s">
        <v>154</v>
      </c>
      <c r="M60" s="15" t="s">
        <v>154</v>
      </c>
      <c r="N60" s="15">
        <v>0.8</v>
      </c>
      <c r="O60" s="28" t="s">
        <v>150</v>
      </c>
      <c r="P60" s="11">
        <v>0.7</v>
      </c>
      <c r="Q60" s="28" t="s">
        <v>150</v>
      </c>
      <c r="R60" s="17" t="s">
        <v>154</v>
      </c>
      <c r="S60" s="15" t="s">
        <v>154</v>
      </c>
      <c r="T60" s="29">
        <v>0.5</v>
      </c>
      <c r="U60" s="28" t="s">
        <v>194</v>
      </c>
      <c r="V60" s="18">
        <v>0.73</v>
      </c>
      <c r="W60" s="28" t="s">
        <v>150</v>
      </c>
      <c r="X60" s="28" t="s">
        <v>195</v>
      </c>
      <c r="Y60" s="28" t="s">
        <v>195</v>
      </c>
      <c r="Z60" s="15">
        <v>0.83</v>
      </c>
      <c r="AA60" s="28" t="s">
        <v>150</v>
      </c>
      <c r="AB60" s="102">
        <v>0.88</v>
      </c>
      <c r="AC60" s="28" t="s">
        <v>150</v>
      </c>
      <c r="AD60" s="126">
        <v>0.8</v>
      </c>
      <c r="AE60" s="28" t="s">
        <v>150</v>
      </c>
      <c r="AF60" s="102">
        <v>0.76</v>
      </c>
      <c r="AG60" s="199" t="s">
        <v>150</v>
      </c>
      <c r="AH60" s="102">
        <v>0.63</v>
      </c>
      <c r="AI60" s="199" t="s">
        <v>150</v>
      </c>
      <c r="AJ60" s="272">
        <v>0.73</v>
      </c>
      <c r="AK60" s="199" t="s">
        <v>150</v>
      </c>
    </row>
    <row r="61" spans="1:37" x14ac:dyDescent="0.25">
      <c r="A61" s="21" t="s">
        <v>86</v>
      </c>
      <c r="B61" s="5" t="s">
        <v>31</v>
      </c>
      <c r="C61" s="76" t="s">
        <v>90</v>
      </c>
      <c r="D61" s="26" t="s">
        <v>91</v>
      </c>
      <c r="E61" s="26" t="s">
        <v>191</v>
      </c>
      <c r="F61" s="21" t="s">
        <v>179</v>
      </c>
      <c r="G61" s="21" t="s">
        <v>147</v>
      </c>
      <c r="H61" s="26" t="s">
        <v>456</v>
      </c>
      <c r="I61" s="11">
        <v>0.15</v>
      </c>
      <c r="J61" s="11">
        <v>0.05</v>
      </c>
      <c r="K61" s="28" t="s">
        <v>194</v>
      </c>
      <c r="L61" s="11">
        <v>0.06</v>
      </c>
      <c r="M61" s="28" t="s">
        <v>194</v>
      </c>
      <c r="N61" s="29">
        <v>0.15</v>
      </c>
      <c r="O61" s="28" t="s">
        <v>150</v>
      </c>
      <c r="P61" s="11">
        <v>0.1</v>
      </c>
      <c r="Q61" s="28" t="s">
        <v>194</v>
      </c>
      <c r="R61" s="29">
        <v>0.05</v>
      </c>
      <c r="S61" s="28" t="s">
        <v>194</v>
      </c>
      <c r="T61" s="29">
        <v>0.11</v>
      </c>
      <c r="U61" s="28" t="s">
        <v>194</v>
      </c>
      <c r="V61" s="29">
        <v>0.19</v>
      </c>
      <c r="W61" s="28" t="s">
        <v>150</v>
      </c>
      <c r="X61" s="28" t="s">
        <v>195</v>
      </c>
      <c r="Y61" s="28" t="s">
        <v>195</v>
      </c>
      <c r="Z61" s="29">
        <v>0.06</v>
      </c>
      <c r="AA61" s="28" t="s">
        <v>194</v>
      </c>
      <c r="AB61" s="108">
        <v>0.25</v>
      </c>
      <c r="AC61" s="28" t="s">
        <v>150</v>
      </c>
      <c r="AD61" s="126">
        <v>0.05</v>
      </c>
      <c r="AE61" s="28" t="s">
        <v>194</v>
      </c>
      <c r="AF61" s="102">
        <v>0.04</v>
      </c>
      <c r="AG61" s="28" t="s">
        <v>194</v>
      </c>
      <c r="AH61" s="102">
        <v>0.06</v>
      </c>
      <c r="AI61" s="28" t="s">
        <v>194</v>
      </c>
      <c r="AJ61" s="272">
        <v>0.09</v>
      </c>
      <c r="AK61" s="28" t="s">
        <v>194</v>
      </c>
    </row>
    <row r="62" spans="1:37" x14ac:dyDescent="0.25">
      <c r="A62" s="21" t="s">
        <v>86</v>
      </c>
      <c r="B62" s="5" t="s">
        <v>31</v>
      </c>
      <c r="C62" s="76" t="s">
        <v>90</v>
      </c>
      <c r="D62" s="26" t="s">
        <v>91</v>
      </c>
      <c r="E62" s="26" t="s">
        <v>191</v>
      </c>
      <c r="F62" s="21" t="s">
        <v>179</v>
      </c>
      <c r="G62" s="21" t="s">
        <v>147</v>
      </c>
      <c r="H62" s="26" t="s">
        <v>457</v>
      </c>
      <c r="I62" s="11">
        <v>0.15</v>
      </c>
      <c r="J62" s="11">
        <v>0</v>
      </c>
      <c r="K62" s="28" t="s">
        <v>194</v>
      </c>
      <c r="L62" s="11">
        <v>0.04</v>
      </c>
      <c r="M62" s="28" t="s">
        <v>194</v>
      </c>
      <c r="N62" s="29">
        <v>0.05</v>
      </c>
      <c r="O62" s="28" t="s">
        <v>194</v>
      </c>
      <c r="P62" s="11">
        <v>0.03</v>
      </c>
      <c r="Q62" s="28" t="s">
        <v>194</v>
      </c>
      <c r="R62" s="29">
        <v>0</v>
      </c>
      <c r="S62" s="28" t="s">
        <v>194</v>
      </c>
      <c r="T62" s="29">
        <v>0.06</v>
      </c>
      <c r="U62" s="28" t="s">
        <v>194</v>
      </c>
      <c r="V62" s="29">
        <v>0.01</v>
      </c>
      <c r="W62" s="28" t="s">
        <v>194</v>
      </c>
      <c r="X62" s="28" t="s">
        <v>195</v>
      </c>
      <c r="Y62" s="28" t="s">
        <v>195</v>
      </c>
      <c r="Z62" s="29">
        <v>0.06</v>
      </c>
      <c r="AA62" s="28" t="s">
        <v>194</v>
      </c>
      <c r="AB62" s="108">
        <v>5.4054054054054057E-2</v>
      </c>
      <c r="AC62" s="28" t="s">
        <v>194</v>
      </c>
      <c r="AD62" s="126">
        <v>0.01</v>
      </c>
      <c r="AE62" s="28" t="s">
        <v>194</v>
      </c>
      <c r="AF62" s="102">
        <v>0.05</v>
      </c>
      <c r="AG62" s="28" t="s">
        <v>194</v>
      </c>
      <c r="AH62" s="102">
        <v>0.04</v>
      </c>
      <c r="AI62" s="28" t="s">
        <v>194</v>
      </c>
      <c r="AJ62" s="272">
        <v>0.04</v>
      </c>
      <c r="AK62" s="28" t="s">
        <v>194</v>
      </c>
    </row>
    <row r="63" spans="1:37" x14ac:dyDescent="0.25">
      <c r="A63" s="21" t="s">
        <v>86</v>
      </c>
      <c r="B63" s="5" t="s">
        <v>31</v>
      </c>
      <c r="C63" s="76" t="s">
        <v>90</v>
      </c>
      <c r="D63" s="26" t="s">
        <v>91</v>
      </c>
      <c r="E63" s="26" t="s">
        <v>191</v>
      </c>
      <c r="F63" s="21" t="s">
        <v>179</v>
      </c>
      <c r="G63" s="21" t="s">
        <v>147</v>
      </c>
      <c r="H63" s="26" t="s">
        <v>458</v>
      </c>
      <c r="I63" s="11">
        <v>0.2</v>
      </c>
      <c r="J63" s="11">
        <v>7.0000000000000007E-2</v>
      </c>
      <c r="K63" s="28" t="s">
        <v>194</v>
      </c>
      <c r="L63" s="11">
        <v>0.2</v>
      </c>
      <c r="M63" s="28" t="s">
        <v>150</v>
      </c>
      <c r="N63" s="29">
        <v>0.09</v>
      </c>
      <c r="O63" s="28" t="s">
        <v>194</v>
      </c>
      <c r="P63" s="11">
        <v>0.1</v>
      </c>
      <c r="Q63" s="28" t="s">
        <v>194</v>
      </c>
      <c r="R63" s="29">
        <v>7.0000000000000007E-2</v>
      </c>
      <c r="S63" s="28" t="s">
        <v>194</v>
      </c>
      <c r="T63" s="29">
        <v>0.05</v>
      </c>
      <c r="U63" s="28" t="s">
        <v>194</v>
      </c>
      <c r="V63" s="29">
        <v>0.11</v>
      </c>
      <c r="W63" s="28" t="s">
        <v>194</v>
      </c>
      <c r="X63" s="28" t="s">
        <v>195</v>
      </c>
      <c r="Y63" s="28" t="s">
        <v>195</v>
      </c>
      <c r="Z63" s="29">
        <v>0</v>
      </c>
      <c r="AA63" s="28" t="s">
        <v>194</v>
      </c>
      <c r="AB63" s="108">
        <v>0.06</v>
      </c>
      <c r="AC63" s="28" t="s">
        <v>194</v>
      </c>
      <c r="AD63" s="126">
        <v>0.13</v>
      </c>
      <c r="AE63" s="28" t="s">
        <v>194</v>
      </c>
      <c r="AF63" s="102">
        <v>0.09</v>
      </c>
      <c r="AG63" s="28" t="s">
        <v>194</v>
      </c>
      <c r="AH63" s="102" t="s">
        <v>154</v>
      </c>
      <c r="AI63" s="94" t="s">
        <v>154</v>
      </c>
      <c r="AJ63" s="272">
        <v>0.08</v>
      </c>
      <c r="AK63" s="28" t="s">
        <v>194</v>
      </c>
    </row>
    <row r="64" spans="1:37" x14ac:dyDescent="0.25">
      <c r="A64" s="21" t="s">
        <v>86</v>
      </c>
      <c r="B64" s="5" t="s">
        <v>31</v>
      </c>
      <c r="C64" s="76" t="s">
        <v>90</v>
      </c>
      <c r="D64" s="26" t="s">
        <v>91</v>
      </c>
      <c r="E64" s="26" t="s">
        <v>191</v>
      </c>
      <c r="F64" s="21" t="s">
        <v>179</v>
      </c>
      <c r="G64" s="21" t="s">
        <v>147</v>
      </c>
      <c r="H64" s="26" t="s">
        <v>459</v>
      </c>
      <c r="I64" s="11">
        <v>0.15</v>
      </c>
      <c r="J64" s="11">
        <v>0.25</v>
      </c>
      <c r="K64" s="28" t="s">
        <v>150</v>
      </c>
      <c r="L64" s="36" t="s">
        <v>154</v>
      </c>
      <c r="M64" s="15" t="s">
        <v>154</v>
      </c>
      <c r="N64" s="15" t="s">
        <v>154</v>
      </c>
      <c r="O64" s="15" t="s">
        <v>154</v>
      </c>
      <c r="P64" s="11">
        <v>0.25</v>
      </c>
      <c r="Q64" s="28" t="s">
        <v>150</v>
      </c>
      <c r="R64" s="17" t="s">
        <v>154</v>
      </c>
      <c r="S64" s="15" t="s">
        <v>154</v>
      </c>
      <c r="T64" s="29" t="s">
        <v>154</v>
      </c>
      <c r="U64" s="28" t="s">
        <v>154</v>
      </c>
      <c r="V64" s="17" t="s">
        <v>154</v>
      </c>
      <c r="W64" s="15" t="s">
        <v>154</v>
      </c>
      <c r="X64" s="28" t="s">
        <v>195</v>
      </c>
      <c r="Y64" s="28" t="s">
        <v>195</v>
      </c>
      <c r="Z64" s="15">
        <v>0.17</v>
      </c>
      <c r="AA64" s="28" t="s">
        <v>150</v>
      </c>
      <c r="AB64" s="108">
        <v>0.06</v>
      </c>
      <c r="AC64" s="28" t="s">
        <v>194</v>
      </c>
      <c r="AD64" s="126" t="s">
        <v>154</v>
      </c>
      <c r="AE64" s="126" t="s">
        <v>154</v>
      </c>
      <c r="AF64" s="95" t="s">
        <v>154</v>
      </c>
      <c r="AG64" s="97" t="s">
        <v>154</v>
      </c>
      <c r="AH64" s="102">
        <v>0.25</v>
      </c>
      <c r="AI64" s="199" t="s">
        <v>150</v>
      </c>
      <c r="AJ64" s="272">
        <v>0.14000000000000001</v>
      </c>
      <c r="AK64" s="28" t="s">
        <v>194</v>
      </c>
    </row>
    <row r="65" spans="1:37" x14ac:dyDescent="0.25">
      <c r="A65" s="21" t="s">
        <v>86</v>
      </c>
      <c r="B65" s="5" t="s">
        <v>31</v>
      </c>
      <c r="C65" s="76" t="s">
        <v>90</v>
      </c>
      <c r="D65" s="26" t="s">
        <v>91</v>
      </c>
      <c r="E65" s="26" t="s">
        <v>191</v>
      </c>
      <c r="F65" s="21" t="s">
        <v>179</v>
      </c>
      <c r="G65" s="21" t="s">
        <v>147</v>
      </c>
      <c r="H65" s="26" t="s">
        <v>460</v>
      </c>
      <c r="I65" s="11">
        <v>0.2</v>
      </c>
      <c r="J65" s="36" t="s">
        <v>154</v>
      </c>
      <c r="K65" s="15" t="s">
        <v>154</v>
      </c>
      <c r="L65" s="36" t="s">
        <v>154</v>
      </c>
      <c r="M65" s="15" t="s">
        <v>154</v>
      </c>
      <c r="N65" s="15" t="s">
        <v>154</v>
      </c>
      <c r="O65" s="15" t="s">
        <v>154</v>
      </c>
      <c r="P65" s="36" t="s">
        <v>154</v>
      </c>
      <c r="Q65" s="15" t="s">
        <v>154</v>
      </c>
      <c r="R65" s="17" t="s">
        <v>154</v>
      </c>
      <c r="S65" s="15" t="s">
        <v>154</v>
      </c>
      <c r="T65" s="29">
        <v>0.05</v>
      </c>
      <c r="U65" s="28" t="s">
        <v>194</v>
      </c>
      <c r="V65" s="18">
        <v>0</v>
      </c>
      <c r="W65" s="28" t="s">
        <v>194</v>
      </c>
      <c r="X65" s="28" t="s">
        <v>195</v>
      </c>
      <c r="Y65" s="28" t="s">
        <v>195</v>
      </c>
      <c r="Z65" s="15" t="s">
        <v>154</v>
      </c>
      <c r="AA65" s="15" t="s">
        <v>154</v>
      </c>
      <c r="AB65" s="95" t="s">
        <v>154</v>
      </c>
      <c r="AC65" s="15" t="s">
        <v>154</v>
      </c>
      <c r="AD65" s="126">
        <v>0</v>
      </c>
      <c r="AE65" s="28" t="s">
        <v>194</v>
      </c>
      <c r="AF65" s="102">
        <v>0.25</v>
      </c>
      <c r="AG65" s="199" t="s">
        <v>150</v>
      </c>
      <c r="AH65" s="102" t="s">
        <v>154</v>
      </c>
      <c r="AI65" s="94" t="s">
        <v>154</v>
      </c>
      <c r="AJ65" s="116">
        <v>0.05</v>
      </c>
      <c r="AK65" s="28" t="s">
        <v>194</v>
      </c>
    </row>
    <row r="66" spans="1:37" x14ac:dyDescent="0.25">
      <c r="A66" s="21" t="s">
        <v>86</v>
      </c>
      <c r="B66" s="5" t="s">
        <v>31</v>
      </c>
      <c r="C66" s="76" t="s">
        <v>90</v>
      </c>
      <c r="D66" s="26" t="s">
        <v>91</v>
      </c>
      <c r="E66" s="26" t="s">
        <v>191</v>
      </c>
      <c r="F66" s="21" t="s">
        <v>179</v>
      </c>
      <c r="G66" s="21" t="s">
        <v>147</v>
      </c>
      <c r="H66" s="26" t="s">
        <v>461</v>
      </c>
      <c r="I66" s="11">
        <v>0.15</v>
      </c>
      <c r="J66" s="11">
        <v>0.02</v>
      </c>
      <c r="K66" s="28" t="s">
        <v>194</v>
      </c>
      <c r="L66" s="11">
        <v>0</v>
      </c>
      <c r="M66" s="28" t="s">
        <v>194</v>
      </c>
      <c r="N66" s="29">
        <v>0.12</v>
      </c>
      <c r="O66" s="28" t="s">
        <v>194</v>
      </c>
      <c r="P66" s="11">
        <v>0.05</v>
      </c>
      <c r="Q66" s="28" t="s">
        <v>194</v>
      </c>
      <c r="R66" s="29">
        <v>0.09</v>
      </c>
      <c r="S66" s="28" t="s">
        <v>194</v>
      </c>
      <c r="T66" s="29">
        <v>0.15</v>
      </c>
      <c r="U66" s="28" t="s">
        <v>150</v>
      </c>
      <c r="V66" s="29">
        <v>0.2</v>
      </c>
      <c r="W66" s="28" t="s">
        <v>150</v>
      </c>
      <c r="X66" s="28" t="s">
        <v>195</v>
      </c>
      <c r="Y66" s="28" t="s">
        <v>195</v>
      </c>
      <c r="Z66" s="29">
        <v>0</v>
      </c>
      <c r="AA66" s="28" t="s">
        <v>194</v>
      </c>
      <c r="AB66" s="95" t="s">
        <v>154</v>
      </c>
      <c r="AC66" s="15" t="s">
        <v>154</v>
      </c>
      <c r="AD66" s="126">
        <v>0</v>
      </c>
      <c r="AE66" s="28" t="s">
        <v>194</v>
      </c>
      <c r="AF66" s="102">
        <v>7.0000000000000007E-2</v>
      </c>
      <c r="AG66" s="28" t="s">
        <v>194</v>
      </c>
      <c r="AH66" s="102">
        <v>0</v>
      </c>
      <c r="AI66" s="28" t="s">
        <v>194</v>
      </c>
      <c r="AJ66" s="272">
        <v>0.08</v>
      </c>
      <c r="AK66" s="28" t="s">
        <v>194</v>
      </c>
    </row>
    <row r="67" spans="1:37" x14ac:dyDescent="0.25">
      <c r="A67" s="21" t="s">
        <v>86</v>
      </c>
      <c r="B67" s="5" t="s">
        <v>31</v>
      </c>
      <c r="C67" s="76" t="s">
        <v>90</v>
      </c>
      <c r="D67" s="26" t="s">
        <v>91</v>
      </c>
      <c r="E67" s="26" t="s">
        <v>191</v>
      </c>
      <c r="F67" s="21" t="s">
        <v>179</v>
      </c>
      <c r="G67" s="21" t="s">
        <v>147</v>
      </c>
      <c r="H67" s="26" t="s">
        <v>462</v>
      </c>
      <c r="I67" s="11">
        <v>0.15</v>
      </c>
      <c r="J67" s="11">
        <v>0.08</v>
      </c>
      <c r="K67" s="28" t="s">
        <v>194</v>
      </c>
      <c r="L67" s="36" t="s">
        <v>154</v>
      </c>
      <c r="M67" s="15" t="s">
        <v>154</v>
      </c>
      <c r="N67" s="15">
        <v>0.2</v>
      </c>
      <c r="O67" s="28" t="s">
        <v>150</v>
      </c>
      <c r="P67" s="11">
        <v>0.1</v>
      </c>
      <c r="Q67" s="28" t="s">
        <v>194</v>
      </c>
      <c r="R67" s="17" t="s">
        <v>154</v>
      </c>
      <c r="S67" s="15" t="s">
        <v>154</v>
      </c>
      <c r="T67" s="29">
        <v>0</v>
      </c>
      <c r="U67" s="28" t="s">
        <v>194</v>
      </c>
      <c r="V67" s="17">
        <v>27</v>
      </c>
      <c r="W67" s="28" t="s">
        <v>150</v>
      </c>
      <c r="X67" s="28" t="s">
        <v>195</v>
      </c>
      <c r="Y67" s="28" t="s">
        <v>195</v>
      </c>
      <c r="Z67" s="15">
        <v>0.17</v>
      </c>
      <c r="AA67" s="28" t="s">
        <v>150</v>
      </c>
      <c r="AB67" s="83">
        <v>0</v>
      </c>
      <c r="AC67" s="28" t="s">
        <v>194</v>
      </c>
      <c r="AD67" s="126">
        <v>0</v>
      </c>
      <c r="AE67" s="28" t="s">
        <v>194</v>
      </c>
      <c r="AF67" s="102">
        <v>0.05</v>
      </c>
      <c r="AG67" s="28" t="s">
        <v>194</v>
      </c>
      <c r="AH67" s="102">
        <v>0</v>
      </c>
      <c r="AI67" s="28" t="s">
        <v>194</v>
      </c>
      <c r="AJ67" s="272">
        <v>7.0000000000000007E-2</v>
      </c>
      <c r="AK67" s="28" t="s">
        <v>194</v>
      </c>
    </row>
    <row r="68" spans="1:37" x14ac:dyDescent="0.25">
      <c r="A68" s="21" t="s">
        <v>86</v>
      </c>
      <c r="B68" s="5" t="s">
        <v>31</v>
      </c>
      <c r="C68" s="76" t="s">
        <v>90</v>
      </c>
      <c r="D68" s="26" t="s">
        <v>91</v>
      </c>
      <c r="E68" s="26" t="s">
        <v>191</v>
      </c>
      <c r="F68" s="21" t="s">
        <v>179</v>
      </c>
      <c r="G68" s="21" t="s">
        <v>147</v>
      </c>
      <c r="H68" s="26" t="s">
        <v>463</v>
      </c>
      <c r="I68" s="11">
        <v>0.1</v>
      </c>
      <c r="J68" s="11">
        <v>0</v>
      </c>
      <c r="K68" s="28" t="s">
        <v>150</v>
      </c>
      <c r="L68" s="11">
        <v>0.5</v>
      </c>
      <c r="M68" s="28" t="s">
        <v>194</v>
      </c>
      <c r="N68" s="29">
        <v>0.25</v>
      </c>
      <c r="O68" s="28" t="s">
        <v>194</v>
      </c>
      <c r="P68" s="11">
        <v>0.27</v>
      </c>
      <c r="Q68" s="28" t="s">
        <v>194</v>
      </c>
      <c r="R68" s="29">
        <v>0.25</v>
      </c>
      <c r="S68" s="28" t="s">
        <v>194</v>
      </c>
      <c r="T68" s="29">
        <v>0.25</v>
      </c>
      <c r="U68" s="28" t="s">
        <v>194</v>
      </c>
      <c r="V68" s="29">
        <v>0.1</v>
      </c>
      <c r="W68" s="28" t="s">
        <v>150</v>
      </c>
      <c r="X68" s="28" t="s">
        <v>195</v>
      </c>
      <c r="Y68" s="28" t="s">
        <v>195</v>
      </c>
      <c r="Z68" s="29">
        <v>0.5</v>
      </c>
      <c r="AA68" s="28" t="s">
        <v>194</v>
      </c>
      <c r="AB68" s="102">
        <v>0.2</v>
      </c>
      <c r="AC68" s="28" t="s">
        <v>194</v>
      </c>
      <c r="AD68" s="126">
        <v>0.14000000000000001</v>
      </c>
      <c r="AE68" s="28" t="s">
        <v>194</v>
      </c>
      <c r="AF68" s="102">
        <v>0.17</v>
      </c>
      <c r="AG68" s="28" t="s">
        <v>194</v>
      </c>
      <c r="AH68" s="102">
        <v>0</v>
      </c>
      <c r="AI68" s="199" t="s">
        <v>150</v>
      </c>
      <c r="AJ68" s="272">
        <v>0.18</v>
      </c>
      <c r="AK68" s="28" t="s">
        <v>194</v>
      </c>
    </row>
    <row r="69" spans="1:37" x14ac:dyDescent="0.25">
      <c r="A69" s="21" t="s">
        <v>86</v>
      </c>
      <c r="B69" s="5" t="s">
        <v>31</v>
      </c>
      <c r="C69" s="76" t="s">
        <v>90</v>
      </c>
      <c r="D69" s="26" t="s">
        <v>91</v>
      </c>
      <c r="E69" s="26" t="s">
        <v>191</v>
      </c>
      <c r="F69" s="21" t="s">
        <v>179</v>
      </c>
      <c r="G69" s="21" t="s">
        <v>147</v>
      </c>
      <c r="H69" s="26" t="s">
        <v>464</v>
      </c>
      <c r="I69" s="11">
        <v>0.1</v>
      </c>
      <c r="J69" s="11">
        <v>0.67</v>
      </c>
      <c r="K69" s="28" t="s">
        <v>194</v>
      </c>
      <c r="L69" s="11">
        <v>1</v>
      </c>
      <c r="M69" s="28" t="s">
        <v>194</v>
      </c>
      <c r="N69" s="29">
        <v>0.25</v>
      </c>
      <c r="O69" s="28" t="s">
        <v>194</v>
      </c>
      <c r="P69" s="11">
        <v>0.63</v>
      </c>
      <c r="Q69" s="28" t="s">
        <v>194</v>
      </c>
      <c r="R69" s="29">
        <v>0.2</v>
      </c>
      <c r="S69" s="28" t="s">
        <v>194</v>
      </c>
      <c r="T69" s="29">
        <v>2</v>
      </c>
      <c r="U69" s="28" t="s">
        <v>194</v>
      </c>
      <c r="V69" s="29">
        <v>0</v>
      </c>
      <c r="W69" s="28" t="s">
        <v>150</v>
      </c>
      <c r="X69" s="28" t="s">
        <v>195</v>
      </c>
      <c r="Y69" s="28" t="s">
        <v>195</v>
      </c>
      <c r="Z69" s="29">
        <v>0</v>
      </c>
      <c r="AA69" s="28" t="s">
        <v>150</v>
      </c>
      <c r="AB69" s="108">
        <v>0.14285714285714285</v>
      </c>
      <c r="AC69" s="28" t="s">
        <v>194</v>
      </c>
      <c r="AD69" s="126">
        <v>1</v>
      </c>
      <c r="AE69" s="28" t="s">
        <v>194</v>
      </c>
      <c r="AF69" s="102">
        <v>0</v>
      </c>
      <c r="AG69" s="199" t="s">
        <v>150</v>
      </c>
      <c r="AH69" s="102">
        <v>0.38</v>
      </c>
      <c r="AI69" s="28" t="s">
        <v>194</v>
      </c>
      <c r="AJ69" s="272">
        <v>0.37</v>
      </c>
      <c r="AK69" s="28" t="s">
        <v>194</v>
      </c>
    </row>
    <row r="70" spans="1:37" x14ac:dyDescent="0.25">
      <c r="A70" s="21" t="s">
        <v>86</v>
      </c>
      <c r="B70" s="5" t="s">
        <v>31</v>
      </c>
      <c r="C70" s="76" t="s">
        <v>90</v>
      </c>
      <c r="D70" s="26" t="s">
        <v>91</v>
      </c>
      <c r="E70" s="26" t="s">
        <v>191</v>
      </c>
      <c r="F70" s="21" t="s">
        <v>179</v>
      </c>
      <c r="G70" s="21" t="s">
        <v>147</v>
      </c>
      <c r="H70" s="26" t="s">
        <v>465</v>
      </c>
      <c r="I70" s="11">
        <v>0.1</v>
      </c>
      <c r="J70" s="11">
        <v>0</v>
      </c>
      <c r="K70" s="28" t="s">
        <v>150</v>
      </c>
      <c r="L70" s="11">
        <v>0.25</v>
      </c>
      <c r="M70" s="28" t="s">
        <v>194</v>
      </c>
      <c r="N70" s="29">
        <v>0</v>
      </c>
      <c r="O70" s="28" t="s">
        <v>150</v>
      </c>
      <c r="P70" s="11">
        <v>0.38</v>
      </c>
      <c r="Q70" s="28" t="s">
        <v>194</v>
      </c>
      <c r="R70" s="29">
        <v>0</v>
      </c>
      <c r="S70" s="28" t="s">
        <v>150</v>
      </c>
      <c r="T70" s="29">
        <v>0</v>
      </c>
      <c r="U70" s="28" t="s">
        <v>150</v>
      </c>
      <c r="V70" s="29">
        <v>0</v>
      </c>
      <c r="W70" s="28" t="s">
        <v>150</v>
      </c>
      <c r="X70" s="28" t="s">
        <v>195</v>
      </c>
      <c r="Y70" s="28" t="s">
        <v>195</v>
      </c>
      <c r="Z70" s="29">
        <v>0</v>
      </c>
      <c r="AA70" s="28" t="s">
        <v>150</v>
      </c>
      <c r="AB70" s="83">
        <v>0</v>
      </c>
      <c r="AC70" s="28" t="s">
        <v>150</v>
      </c>
      <c r="AD70" s="126">
        <v>0</v>
      </c>
      <c r="AE70" s="28" t="s">
        <v>150</v>
      </c>
      <c r="AF70" s="95" t="s">
        <v>154</v>
      </c>
      <c r="AG70" s="97" t="s">
        <v>154</v>
      </c>
      <c r="AH70" s="95" t="s">
        <v>154</v>
      </c>
      <c r="AI70" s="94" t="s">
        <v>154</v>
      </c>
      <c r="AJ70" s="272">
        <v>0.16</v>
      </c>
      <c r="AK70" s="28" t="s">
        <v>194</v>
      </c>
    </row>
    <row r="71" spans="1:37" x14ac:dyDescent="0.25">
      <c r="A71" s="21" t="s">
        <v>86</v>
      </c>
      <c r="B71" s="5" t="s">
        <v>31</v>
      </c>
      <c r="C71" s="76" t="s">
        <v>90</v>
      </c>
      <c r="D71" s="26" t="s">
        <v>91</v>
      </c>
      <c r="E71" s="26" t="s">
        <v>191</v>
      </c>
      <c r="F71" s="21" t="s">
        <v>179</v>
      </c>
      <c r="G71" s="21" t="s">
        <v>147</v>
      </c>
      <c r="H71" s="26" t="s">
        <v>466</v>
      </c>
      <c r="I71" s="11">
        <v>0.1</v>
      </c>
      <c r="J71" s="11">
        <v>0</v>
      </c>
      <c r="K71" s="28" t="s">
        <v>150</v>
      </c>
      <c r="L71" s="36" t="s">
        <v>154</v>
      </c>
      <c r="M71" s="15" t="s">
        <v>154</v>
      </c>
      <c r="N71" s="15" t="s">
        <v>154</v>
      </c>
      <c r="O71" s="15" t="s">
        <v>154</v>
      </c>
      <c r="P71" s="11">
        <v>0</v>
      </c>
      <c r="Q71" s="28" t="s">
        <v>150</v>
      </c>
      <c r="R71" s="17" t="s">
        <v>154</v>
      </c>
      <c r="S71" s="15" t="s">
        <v>154</v>
      </c>
      <c r="T71" s="17" t="s">
        <v>154</v>
      </c>
      <c r="U71" s="28" t="s">
        <v>154</v>
      </c>
      <c r="V71" s="17" t="s">
        <v>154</v>
      </c>
      <c r="W71" s="15" t="s">
        <v>154</v>
      </c>
      <c r="X71" s="28" t="s">
        <v>195</v>
      </c>
      <c r="Y71" s="28" t="s">
        <v>195</v>
      </c>
      <c r="Z71" s="15" t="s">
        <v>154</v>
      </c>
      <c r="AA71" s="15" t="s">
        <v>154</v>
      </c>
      <c r="AB71" s="83">
        <v>0</v>
      </c>
      <c r="AC71" s="28" t="s">
        <v>150</v>
      </c>
      <c r="AD71" s="126">
        <v>0</v>
      </c>
      <c r="AE71" s="28" t="s">
        <v>150</v>
      </c>
      <c r="AF71" s="102">
        <v>0</v>
      </c>
      <c r="AG71" s="199" t="s">
        <v>150</v>
      </c>
      <c r="AH71" s="102" t="s">
        <v>154</v>
      </c>
      <c r="AI71" s="94" t="s">
        <v>154</v>
      </c>
      <c r="AJ71" s="272">
        <v>0</v>
      </c>
      <c r="AK71" s="199" t="s">
        <v>150</v>
      </c>
    </row>
    <row r="72" spans="1:37" x14ac:dyDescent="0.25">
      <c r="A72" s="21" t="s">
        <v>86</v>
      </c>
      <c r="B72" s="5" t="s">
        <v>31</v>
      </c>
      <c r="C72" s="76" t="s">
        <v>90</v>
      </c>
      <c r="D72" s="26" t="s">
        <v>91</v>
      </c>
      <c r="E72" s="26" t="s">
        <v>191</v>
      </c>
      <c r="F72" s="21" t="s">
        <v>179</v>
      </c>
      <c r="G72" s="21" t="s">
        <v>147</v>
      </c>
      <c r="H72" s="26" t="s">
        <v>467</v>
      </c>
      <c r="I72" s="11">
        <v>0.1</v>
      </c>
      <c r="J72" s="36" t="s">
        <v>154</v>
      </c>
      <c r="K72" s="15" t="s">
        <v>154</v>
      </c>
      <c r="L72" s="11">
        <v>0</v>
      </c>
      <c r="M72" s="28" t="s">
        <v>150</v>
      </c>
      <c r="N72" s="28" t="s">
        <v>154</v>
      </c>
      <c r="O72" s="28" t="s">
        <v>154</v>
      </c>
      <c r="P72" s="36" t="s">
        <v>154</v>
      </c>
      <c r="Q72" s="15" t="s">
        <v>154</v>
      </c>
      <c r="R72" s="17" t="s">
        <v>154</v>
      </c>
      <c r="S72" s="15" t="s">
        <v>154</v>
      </c>
      <c r="T72" s="18">
        <v>0</v>
      </c>
      <c r="U72" s="28" t="s">
        <v>150</v>
      </c>
      <c r="V72" s="17">
        <v>0</v>
      </c>
      <c r="W72" s="28" t="s">
        <v>150</v>
      </c>
      <c r="X72" s="28" t="s">
        <v>195</v>
      </c>
      <c r="Y72" s="28" t="s">
        <v>195</v>
      </c>
      <c r="Z72" s="28" t="s">
        <v>154</v>
      </c>
      <c r="AA72" s="15" t="s">
        <v>154</v>
      </c>
      <c r="AB72" s="95" t="s">
        <v>154</v>
      </c>
      <c r="AC72" s="15" t="s">
        <v>154</v>
      </c>
      <c r="AD72" s="126" t="s">
        <v>154</v>
      </c>
      <c r="AE72" s="126" t="s">
        <v>154</v>
      </c>
      <c r="AF72" s="102">
        <v>0</v>
      </c>
      <c r="AG72" s="199" t="s">
        <v>150</v>
      </c>
      <c r="AH72" s="102">
        <v>0</v>
      </c>
      <c r="AI72" s="199" t="s">
        <v>150</v>
      </c>
      <c r="AJ72" s="116">
        <v>0</v>
      </c>
      <c r="AK72" s="199" t="s">
        <v>150</v>
      </c>
    </row>
    <row r="73" spans="1:37" x14ac:dyDescent="0.25">
      <c r="A73" s="21" t="s">
        <v>86</v>
      </c>
      <c r="B73" s="5" t="s">
        <v>31</v>
      </c>
      <c r="C73" s="76" t="s">
        <v>90</v>
      </c>
      <c r="D73" s="26" t="s">
        <v>91</v>
      </c>
      <c r="E73" s="26" t="s">
        <v>191</v>
      </c>
      <c r="F73" s="21" t="s">
        <v>179</v>
      </c>
      <c r="G73" s="21" t="s">
        <v>147</v>
      </c>
      <c r="H73" s="26" t="s">
        <v>468</v>
      </c>
      <c r="I73" s="11">
        <v>0.1</v>
      </c>
      <c r="J73" s="11">
        <v>0</v>
      </c>
      <c r="K73" s="28" t="s">
        <v>150</v>
      </c>
      <c r="L73" s="36" t="s">
        <v>154</v>
      </c>
      <c r="M73" s="15" t="s">
        <v>154</v>
      </c>
      <c r="N73" s="15">
        <v>0</v>
      </c>
      <c r="O73" s="28" t="s">
        <v>150</v>
      </c>
      <c r="P73" s="11">
        <v>0</v>
      </c>
      <c r="Q73" s="28" t="s">
        <v>150</v>
      </c>
      <c r="R73" s="15">
        <v>0.67</v>
      </c>
      <c r="S73" s="28" t="s">
        <v>194</v>
      </c>
      <c r="T73" s="15">
        <v>0.2</v>
      </c>
      <c r="U73" s="28" t="s">
        <v>194</v>
      </c>
      <c r="V73" s="15">
        <v>0</v>
      </c>
      <c r="W73" s="28" t="s">
        <v>150</v>
      </c>
      <c r="X73" s="28" t="s">
        <v>195</v>
      </c>
      <c r="Y73" s="28" t="s">
        <v>195</v>
      </c>
      <c r="Z73" s="15" t="s">
        <v>154</v>
      </c>
      <c r="AA73" s="15" t="s">
        <v>154</v>
      </c>
      <c r="AB73" s="83">
        <v>0</v>
      </c>
      <c r="AC73" s="28" t="s">
        <v>150</v>
      </c>
      <c r="AD73" s="126" t="s">
        <v>154</v>
      </c>
      <c r="AE73" s="126" t="s">
        <v>154</v>
      </c>
      <c r="AF73" s="102">
        <v>0</v>
      </c>
      <c r="AG73" s="199" t="s">
        <v>150</v>
      </c>
      <c r="AH73" s="102" t="s">
        <v>154</v>
      </c>
      <c r="AI73" s="94" t="s">
        <v>154</v>
      </c>
      <c r="AJ73" s="272">
        <v>0.23</v>
      </c>
      <c r="AK73" s="28" t="s">
        <v>194</v>
      </c>
    </row>
    <row r="74" spans="1:37" x14ac:dyDescent="0.25">
      <c r="A74" s="21" t="s">
        <v>86</v>
      </c>
      <c r="B74" s="5" t="s">
        <v>31</v>
      </c>
      <c r="C74" s="76" t="s">
        <v>90</v>
      </c>
      <c r="D74" s="26" t="s">
        <v>91</v>
      </c>
      <c r="E74" s="26" t="s">
        <v>191</v>
      </c>
      <c r="F74" s="21" t="s">
        <v>179</v>
      </c>
      <c r="G74" s="21" t="s">
        <v>147</v>
      </c>
      <c r="H74" s="26" t="s">
        <v>469</v>
      </c>
      <c r="I74" s="11">
        <v>0.1</v>
      </c>
      <c r="J74" s="11">
        <v>1</v>
      </c>
      <c r="K74" s="28" t="s">
        <v>194</v>
      </c>
      <c r="L74" s="11">
        <v>0</v>
      </c>
      <c r="M74" s="28" t="s">
        <v>150</v>
      </c>
      <c r="N74" s="28" t="s">
        <v>154</v>
      </c>
      <c r="O74" s="28" t="s">
        <v>154</v>
      </c>
      <c r="P74" s="11">
        <v>1</v>
      </c>
      <c r="Q74" s="28" t="s">
        <v>194</v>
      </c>
      <c r="R74" s="29">
        <v>0</v>
      </c>
      <c r="S74" s="28" t="s">
        <v>150</v>
      </c>
      <c r="T74" s="29" t="s">
        <v>154</v>
      </c>
      <c r="U74" s="28" t="s">
        <v>154</v>
      </c>
      <c r="V74" s="29">
        <v>0</v>
      </c>
      <c r="W74" s="28" t="s">
        <v>150</v>
      </c>
      <c r="X74" s="28" t="s">
        <v>195</v>
      </c>
      <c r="Y74" s="28" t="s">
        <v>195</v>
      </c>
      <c r="Z74" s="29">
        <v>0</v>
      </c>
      <c r="AA74" s="28" t="s">
        <v>150</v>
      </c>
      <c r="AB74" s="95" t="s">
        <v>154</v>
      </c>
      <c r="AC74" s="15" t="s">
        <v>154</v>
      </c>
      <c r="AD74" s="126" t="s">
        <v>154</v>
      </c>
      <c r="AE74" s="126" t="s">
        <v>154</v>
      </c>
      <c r="AF74" s="102">
        <v>0</v>
      </c>
      <c r="AG74" s="199" t="s">
        <v>150</v>
      </c>
      <c r="AH74" s="102" t="s">
        <v>154</v>
      </c>
      <c r="AI74" s="94" t="s">
        <v>154</v>
      </c>
      <c r="AJ74" s="272">
        <v>0.17</v>
      </c>
      <c r="AK74" s="28" t="s">
        <v>194</v>
      </c>
    </row>
    <row r="75" spans="1:37" x14ac:dyDescent="0.25">
      <c r="A75" s="21" t="s">
        <v>86</v>
      </c>
      <c r="B75" s="5" t="s">
        <v>31</v>
      </c>
      <c r="C75" s="76" t="s">
        <v>90</v>
      </c>
      <c r="D75" s="26" t="s">
        <v>91</v>
      </c>
      <c r="E75" s="26" t="s">
        <v>191</v>
      </c>
      <c r="F75" s="21" t="s">
        <v>179</v>
      </c>
      <c r="G75" s="21" t="s">
        <v>147</v>
      </c>
      <c r="H75" s="26" t="s">
        <v>470</v>
      </c>
      <c r="I75" s="11">
        <v>0.1</v>
      </c>
      <c r="J75" s="11">
        <v>0.33</v>
      </c>
      <c r="K75" s="28" t="s">
        <v>150</v>
      </c>
      <c r="L75" s="11">
        <v>0</v>
      </c>
      <c r="M75" s="28" t="s">
        <v>194</v>
      </c>
      <c r="N75" s="29">
        <v>0</v>
      </c>
      <c r="O75" s="28" t="s">
        <v>194</v>
      </c>
      <c r="P75" s="11">
        <v>0.11</v>
      </c>
      <c r="Q75" s="28" t="s">
        <v>150</v>
      </c>
      <c r="R75" s="29">
        <v>0</v>
      </c>
      <c r="S75" s="28" t="s">
        <v>194</v>
      </c>
      <c r="T75" s="29">
        <v>0</v>
      </c>
      <c r="U75" s="28" t="s">
        <v>194</v>
      </c>
      <c r="V75" s="29">
        <v>0</v>
      </c>
      <c r="W75" s="28" t="s">
        <v>194</v>
      </c>
      <c r="X75" s="28" t="s">
        <v>195</v>
      </c>
      <c r="Y75" s="28" t="s">
        <v>195</v>
      </c>
      <c r="Z75" s="29">
        <v>0</v>
      </c>
      <c r="AA75" s="28" t="s">
        <v>194</v>
      </c>
      <c r="AB75" s="83">
        <v>0</v>
      </c>
      <c r="AC75" s="28" t="s">
        <v>194</v>
      </c>
      <c r="AD75" s="98">
        <v>0</v>
      </c>
      <c r="AE75" s="28" t="s">
        <v>194</v>
      </c>
      <c r="AF75" s="102">
        <v>0</v>
      </c>
      <c r="AG75" s="28" t="s">
        <v>194</v>
      </c>
      <c r="AH75" s="102">
        <v>0.14000000000000001</v>
      </c>
      <c r="AI75" s="199" t="s">
        <v>150</v>
      </c>
      <c r="AJ75" s="272">
        <v>0.04</v>
      </c>
      <c r="AK75" s="28" t="s">
        <v>194</v>
      </c>
    </row>
    <row r="76" spans="1:37" x14ac:dyDescent="0.25">
      <c r="A76" s="21" t="s">
        <v>86</v>
      </c>
      <c r="B76" s="5" t="s">
        <v>31</v>
      </c>
      <c r="C76" s="76" t="s">
        <v>90</v>
      </c>
      <c r="D76" s="26" t="s">
        <v>91</v>
      </c>
      <c r="E76" s="26" t="s">
        <v>191</v>
      </c>
      <c r="F76" s="21" t="s">
        <v>179</v>
      </c>
      <c r="G76" s="21" t="s">
        <v>147</v>
      </c>
      <c r="H76" s="26" t="s">
        <v>471</v>
      </c>
      <c r="I76" s="11">
        <v>0.1</v>
      </c>
      <c r="J76" s="11">
        <v>0</v>
      </c>
      <c r="K76" s="28" t="s">
        <v>194</v>
      </c>
      <c r="L76" s="11">
        <v>0</v>
      </c>
      <c r="M76" s="28" t="s">
        <v>194</v>
      </c>
      <c r="N76" s="29">
        <v>0</v>
      </c>
      <c r="O76" s="28" t="s">
        <v>194</v>
      </c>
      <c r="P76" s="11">
        <v>0</v>
      </c>
      <c r="Q76" s="28" t="s">
        <v>194</v>
      </c>
      <c r="R76" s="29">
        <v>0</v>
      </c>
      <c r="S76" s="28" t="s">
        <v>194</v>
      </c>
      <c r="T76" s="29">
        <v>0</v>
      </c>
      <c r="U76" s="28" t="s">
        <v>194</v>
      </c>
      <c r="V76" s="29">
        <v>0</v>
      </c>
      <c r="W76" s="28" t="s">
        <v>194</v>
      </c>
      <c r="X76" s="28" t="s">
        <v>195</v>
      </c>
      <c r="Y76" s="28" t="s">
        <v>195</v>
      </c>
      <c r="Z76" s="29" t="s">
        <v>154</v>
      </c>
      <c r="AA76" s="15" t="s">
        <v>154</v>
      </c>
      <c r="AB76" s="83">
        <v>0</v>
      </c>
      <c r="AC76" s="28" t="s">
        <v>194</v>
      </c>
      <c r="AD76" s="98">
        <v>0</v>
      </c>
      <c r="AE76" s="28" t="s">
        <v>194</v>
      </c>
      <c r="AF76" s="102">
        <v>0</v>
      </c>
      <c r="AG76" s="28" t="s">
        <v>194</v>
      </c>
      <c r="AH76" s="102">
        <v>0</v>
      </c>
      <c r="AI76" s="28" t="s">
        <v>194</v>
      </c>
      <c r="AJ76" s="272">
        <v>0</v>
      </c>
      <c r="AK76" s="28" t="s">
        <v>194</v>
      </c>
    </row>
    <row r="77" spans="1:37" x14ac:dyDescent="0.25">
      <c r="A77" s="21" t="s">
        <v>86</v>
      </c>
      <c r="B77" s="5" t="s">
        <v>31</v>
      </c>
      <c r="C77" s="76" t="s">
        <v>90</v>
      </c>
      <c r="D77" s="26" t="s">
        <v>91</v>
      </c>
      <c r="E77" s="26" t="s">
        <v>191</v>
      </c>
      <c r="F77" s="21" t="s">
        <v>179</v>
      </c>
      <c r="G77" s="21" t="s">
        <v>147</v>
      </c>
      <c r="H77" s="26" t="s">
        <v>472</v>
      </c>
      <c r="I77" s="11">
        <v>0</v>
      </c>
      <c r="J77" s="11">
        <v>0</v>
      </c>
      <c r="K77" s="28" t="s">
        <v>150</v>
      </c>
      <c r="L77" s="11">
        <v>0</v>
      </c>
      <c r="M77" s="28" t="s">
        <v>150</v>
      </c>
      <c r="N77" s="29">
        <v>0</v>
      </c>
      <c r="O77" s="28" t="s">
        <v>150</v>
      </c>
      <c r="P77" s="11">
        <v>0</v>
      </c>
      <c r="Q77" s="28" t="s">
        <v>150</v>
      </c>
      <c r="R77" s="29">
        <v>0</v>
      </c>
      <c r="S77" s="28" t="s">
        <v>150</v>
      </c>
      <c r="T77" s="29" t="s">
        <v>154</v>
      </c>
      <c r="U77" s="28" t="s">
        <v>154</v>
      </c>
      <c r="V77" s="29">
        <v>0</v>
      </c>
      <c r="W77" s="28" t="s">
        <v>150</v>
      </c>
      <c r="X77" s="28" t="s">
        <v>195</v>
      </c>
      <c r="Y77" s="28" t="s">
        <v>195</v>
      </c>
      <c r="Z77" s="29">
        <v>0</v>
      </c>
      <c r="AA77" s="28" t="s">
        <v>150</v>
      </c>
      <c r="AB77" s="83">
        <v>1</v>
      </c>
      <c r="AC77" s="28" t="s">
        <v>150</v>
      </c>
      <c r="AD77" s="98">
        <v>0</v>
      </c>
      <c r="AE77" s="28" t="s">
        <v>150</v>
      </c>
      <c r="AF77" s="102">
        <v>0</v>
      </c>
      <c r="AG77" s="199" t="s">
        <v>150</v>
      </c>
      <c r="AH77" s="102">
        <v>0</v>
      </c>
      <c r="AI77" s="199" t="s">
        <v>150</v>
      </c>
      <c r="AJ77" s="272">
        <v>0</v>
      </c>
      <c r="AK77" s="199" t="s">
        <v>150</v>
      </c>
    </row>
    <row r="78" spans="1:37" x14ac:dyDescent="0.25">
      <c r="A78" s="21" t="s">
        <v>86</v>
      </c>
      <c r="B78" s="5" t="s">
        <v>31</v>
      </c>
      <c r="C78" s="76" t="s">
        <v>90</v>
      </c>
      <c r="D78" s="26" t="s">
        <v>91</v>
      </c>
      <c r="E78" s="26" t="s">
        <v>191</v>
      </c>
      <c r="F78" s="21" t="s">
        <v>179</v>
      </c>
      <c r="G78" s="21" t="s">
        <v>147</v>
      </c>
      <c r="H78" s="26" t="s">
        <v>473</v>
      </c>
      <c r="I78" s="11">
        <v>0.1</v>
      </c>
      <c r="J78" s="11">
        <v>0.33</v>
      </c>
      <c r="K78" s="28" t="s">
        <v>150</v>
      </c>
      <c r="L78" s="36" t="s">
        <v>154</v>
      </c>
      <c r="M78" s="15" t="s">
        <v>154</v>
      </c>
      <c r="N78" s="15" t="s">
        <v>154</v>
      </c>
      <c r="O78" s="28" t="s">
        <v>154</v>
      </c>
      <c r="P78" s="11">
        <v>0.33</v>
      </c>
      <c r="Q78" s="28" t="s">
        <v>150</v>
      </c>
      <c r="R78" s="17" t="s">
        <v>154</v>
      </c>
      <c r="S78" s="15" t="s">
        <v>154</v>
      </c>
      <c r="T78" s="17" t="s">
        <v>154</v>
      </c>
      <c r="U78" s="28" t="s">
        <v>154</v>
      </c>
      <c r="V78" s="17" t="s">
        <v>154</v>
      </c>
      <c r="W78" s="15" t="s">
        <v>154</v>
      </c>
      <c r="X78" s="28" t="s">
        <v>195</v>
      </c>
      <c r="Y78" s="28" t="s">
        <v>195</v>
      </c>
      <c r="Z78" s="15" t="s">
        <v>154</v>
      </c>
      <c r="AA78" s="15" t="s">
        <v>154</v>
      </c>
      <c r="AB78" s="83">
        <v>1</v>
      </c>
      <c r="AC78" s="28" t="s">
        <v>150</v>
      </c>
      <c r="AD78" s="98">
        <v>0</v>
      </c>
      <c r="AE78" s="28" t="s">
        <v>194</v>
      </c>
      <c r="AF78" s="102">
        <v>0</v>
      </c>
      <c r="AG78" s="28" t="s">
        <v>194</v>
      </c>
      <c r="AH78" s="102" t="s">
        <v>154</v>
      </c>
      <c r="AI78" s="97" t="s">
        <v>154</v>
      </c>
      <c r="AJ78" s="272">
        <v>0.33</v>
      </c>
      <c r="AK78" s="199" t="s">
        <v>150</v>
      </c>
    </row>
    <row r="79" spans="1:37" x14ac:dyDescent="0.25">
      <c r="A79" s="21" t="s">
        <v>86</v>
      </c>
      <c r="B79" s="5" t="s">
        <v>31</v>
      </c>
      <c r="C79" s="76" t="s">
        <v>90</v>
      </c>
      <c r="D79" s="26" t="s">
        <v>91</v>
      </c>
      <c r="E79" s="26" t="s">
        <v>191</v>
      </c>
      <c r="F79" s="21" t="s">
        <v>179</v>
      </c>
      <c r="G79" s="21" t="s">
        <v>147</v>
      </c>
      <c r="H79" s="26" t="s">
        <v>474</v>
      </c>
      <c r="I79" s="11">
        <v>0</v>
      </c>
      <c r="J79" s="11" t="s">
        <v>154</v>
      </c>
      <c r="K79" s="11" t="s">
        <v>154</v>
      </c>
      <c r="L79" s="36" t="s">
        <v>154</v>
      </c>
      <c r="M79" s="15" t="s">
        <v>154</v>
      </c>
      <c r="N79" s="15" t="s">
        <v>154</v>
      </c>
      <c r="O79" s="28" t="s">
        <v>154</v>
      </c>
      <c r="P79" s="11" t="s">
        <v>154</v>
      </c>
      <c r="Q79" s="15" t="s">
        <v>154</v>
      </c>
      <c r="R79" s="17" t="s">
        <v>154</v>
      </c>
      <c r="S79" s="15" t="s">
        <v>154</v>
      </c>
      <c r="T79" s="17" t="s">
        <v>154</v>
      </c>
      <c r="U79" s="28" t="s">
        <v>154</v>
      </c>
      <c r="V79" s="18">
        <v>0</v>
      </c>
      <c r="W79" s="28" t="s">
        <v>150</v>
      </c>
      <c r="X79" s="28" t="s">
        <v>195</v>
      </c>
      <c r="Y79" s="28" t="s">
        <v>195</v>
      </c>
      <c r="Z79" s="15" t="s">
        <v>154</v>
      </c>
      <c r="AA79" s="15" t="s">
        <v>154</v>
      </c>
      <c r="AB79" s="95" t="s">
        <v>154</v>
      </c>
      <c r="AC79" s="15" t="s">
        <v>154</v>
      </c>
      <c r="AD79" s="98">
        <v>0</v>
      </c>
      <c r="AE79" s="28" t="s">
        <v>150</v>
      </c>
      <c r="AF79" s="95" t="s">
        <v>154</v>
      </c>
      <c r="AG79" s="97" t="s">
        <v>154</v>
      </c>
      <c r="AH79" s="102">
        <v>0</v>
      </c>
      <c r="AI79" s="199" t="s">
        <v>150</v>
      </c>
      <c r="AJ79" s="272">
        <v>0</v>
      </c>
      <c r="AK79" s="199" t="s">
        <v>150</v>
      </c>
    </row>
    <row r="80" spans="1:37" x14ac:dyDescent="0.25">
      <c r="A80" s="21" t="s">
        <v>86</v>
      </c>
      <c r="B80" s="5" t="s">
        <v>31</v>
      </c>
      <c r="C80" s="76" t="s">
        <v>90</v>
      </c>
      <c r="D80" s="26" t="s">
        <v>91</v>
      </c>
      <c r="E80" s="26" t="s">
        <v>191</v>
      </c>
      <c r="F80" s="21" t="s">
        <v>179</v>
      </c>
      <c r="G80" s="21" t="s">
        <v>147</v>
      </c>
      <c r="H80" s="26" t="s">
        <v>475</v>
      </c>
      <c r="I80" s="11">
        <v>0.1</v>
      </c>
      <c r="J80" s="11">
        <v>0</v>
      </c>
      <c r="K80" s="28" t="s">
        <v>194</v>
      </c>
      <c r="L80" s="36" t="s">
        <v>154</v>
      </c>
      <c r="M80" s="15" t="s">
        <v>154</v>
      </c>
      <c r="N80" s="15">
        <v>0</v>
      </c>
      <c r="O80" s="28" t="s">
        <v>194</v>
      </c>
      <c r="P80" s="11">
        <v>0</v>
      </c>
      <c r="Q80" s="28" t="s">
        <v>194</v>
      </c>
      <c r="R80" s="15">
        <v>0</v>
      </c>
      <c r="S80" s="28" t="s">
        <v>194</v>
      </c>
      <c r="T80" s="15" t="s">
        <v>476</v>
      </c>
      <c r="U80" s="28" t="s">
        <v>154</v>
      </c>
      <c r="V80" s="15">
        <v>0</v>
      </c>
      <c r="W80" s="28" t="s">
        <v>194</v>
      </c>
      <c r="X80" s="28" t="s">
        <v>195</v>
      </c>
      <c r="Y80" s="28" t="s">
        <v>195</v>
      </c>
      <c r="Z80" s="15">
        <v>0</v>
      </c>
      <c r="AA80" s="28" t="s">
        <v>194</v>
      </c>
      <c r="AB80" s="95" t="s">
        <v>154</v>
      </c>
      <c r="AC80" s="15" t="s">
        <v>154</v>
      </c>
      <c r="AD80" s="98">
        <v>0</v>
      </c>
      <c r="AE80" s="28" t="s">
        <v>194</v>
      </c>
      <c r="AF80" s="102">
        <v>0</v>
      </c>
      <c r="AG80" s="28" t="s">
        <v>194</v>
      </c>
      <c r="AH80" s="102" t="s">
        <v>154</v>
      </c>
      <c r="AI80" s="97" t="s">
        <v>154</v>
      </c>
      <c r="AJ80" s="272">
        <v>0</v>
      </c>
      <c r="AK80" s="28" t="s">
        <v>194</v>
      </c>
    </row>
    <row r="81" spans="1:37" x14ac:dyDescent="0.25">
      <c r="A81" s="21" t="s">
        <v>86</v>
      </c>
      <c r="B81" s="5" t="s">
        <v>31</v>
      </c>
      <c r="C81" s="76" t="s">
        <v>90</v>
      </c>
      <c r="D81" s="26" t="s">
        <v>91</v>
      </c>
      <c r="E81" s="26" t="s">
        <v>191</v>
      </c>
      <c r="F81" s="21" t="s">
        <v>179</v>
      </c>
      <c r="G81" s="21" t="s">
        <v>147</v>
      </c>
      <c r="H81" s="26" t="s">
        <v>477</v>
      </c>
      <c r="I81" s="11">
        <v>0.1</v>
      </c>
      <c r="J81" s="11" t="s">
        <v>154</v>
      </c>
      <c r="K81" s="11" t="s">
        <v>154</v>
      </c>
      <c r="L81" s="36" t="s">
        <v>154</v>
      </c>
      <c r="M81" s="15" t="s">
        <v>154</v>
      </c>
      <c r="N81" s="15" t="s">
        <v>154</v>
      </c>
      <c r="O81" s="28" t="s">
        <v>154</v>
      </c>
      <c r="P81" s="11" t="s">
        <v>154</v>
      </c>
      <c r="Q81" s="15" t="s">
        <v>154</v>
      </c>
      <c r="R81" s="17" t="s">
        <v>154</v>
      </c>
      <c r="S81" s="15" t="s">
        <v>154</v>
      </c>
      <c r="T81" s="18">
        <v>0</v>
      </c>
      <c r="U81" s="28" t="s">
        <v>194</v>
      </c>
      <c r="V81" s="17" t="s">
        <v>154</v>
      </c>
      <c r="W81" s="15" t="s">
        <v>154</v>
      </c>
      <c r="X81" s="28" t="s">
        <v>195</v>
      </c>
      <c r="Y81" s="28" t="s">
        <v>195</v>
      </c>
      <c r="Z81" s="15">
        <v>0</v>
      </c>
      <c r="AA81" s="28" t="s">
        <v>194</v>
      </c>
      <c r="AB81" s="83">
        <v>0</v>
      </c>
      <c r="AC81" s="28" t="s">
        <v>194</v>
      </c>
      <c r="AD81" s="98">
        <v>0</v>
      </c>
      <c r="AE81" s="28" t="s">
        <v>194</v>
      </c>
      <c r="AF81" s="95" t="s">
        <v>154</v>
      </c>
      <c r="AG81" s="97" t="s">
        <v>154</v>
      </c>
      <c r="AH81" s="102">
        <v>0</v>
      </c>
      <c r="AI81" s="28" t="s">
        <v>194</v>
      </c>
      <c r="AJ81" s="272">
        <v>0</v>
      </c>
      <c r="AK81" s="28" t="s">
        <v>194</v>
      </c>
    </row>
    <row r="82" spans="1:37" x14ac:dyDescent="0.25">
      <c r="A82" s="21" t="s">
        <v>56</v>
      </c>
      <c r="B82" s="5" t="s">
        <v>31</v>
      </c>
      <c r="C82" s="76" t="s">
        <v>90</v>
      </c>
      <c r="D82" s="26" t="s">
        <v>36</v>
      </c>
      <c r="E82" s="26" t="s">
        <v>191</v>
      </c>
      <c r="F82" s="26" t="s">
        <v>146</v>
      </c>
      <c r="G82" s="21" t="s">
        <v>147</v>
      </c>
      <c r="H82" s="21" t="s">
        <v>213</v>
      </c>
      <c r="I82" s="11">
        <v>0.9</v>
      </c>
      <c r="J82" s="28" t="s">
        <v>195</v>
      </c>
      <c r="K82" s="28" t="s">
        <v>195</v>
      </c>
      <c r="L82" s="28" t="s">
        <v>195</v>
      </c>
      <c r="M82" s="28" t="s">
        <v>195</v>
      </c>
      <c r="N82" s="28" t="s">
        <v>195</v>
      </c>
      <c r="O82" s="28" t="s">
        <v>195</v>
      </c>
      <c r="P82" s="28" t="s">
        <v>195</v>
      </c>
      <c r="Q82" s="28" t="s">
        <v>195</v>
      </c>
      <c r="R82" s="28" t="s">
        <v>195</v>
      </c>
      <c r="S82" s="28" t="s">
        <v>196</v>
      </c>
      <c r="T82" s="28" t="s">
        <v>195</v>
      </c>
      <c r="U82" s="28" t="s">
        <v>195</v>
      </c>
      <c r="V82" s="28" t="s">
        <v>195</v>
      </c>
      <c r="W82" s="28" t="s">
        <v>195</v>
      </c>
      <c r="X82" s="28" t="s">
        <v>195</v>
      </c>
      <c r="Y82" s="28" t="s">
        <v>195</v>
      </c>
      <c r="Z82" s="28" t="s">
        <v>195</v>
      </c>
      <c r="AA82" s="28" t="s">
        <v>195</v>
      </c>
      <c r="AB82" s="94">
        <v>0.35</v>
      </c>
      <c r="AC82" s="28" t="s">
        <v>194</v>
      </c>
      <c r="AD82" s="126">
        <v>0.43</v>
      </c>
      <c r="AE82" s="28" t="s">
        <v>194</v>
      </c>
      <c r="AF82" s="102">
        <v>0.34</v>
      </c>
      <c r="AG82" s="28" t="s">
        <v>194</v>
      </c>
      <c r="AH82" s="102">
        <v>0.3</v>
      </c>
      <c r="AI82" s="28" t="s">
        <v>194</v>
      </c>
      <c r="AJ82" s="102">
        <v>0.54</v>
      </c>
      <c r="AK82" s="28" t="s">
        <v>194</v>
      </c>
    </row>
    <row r="83" spans="1:37" x14ac:dyDescent="0.25">
      <c r="A83" s="21" t="s">
        <v>56</v>
      </c>
      <c r="B83" s="5" t="s">
        <v>31</v>
      </c>
      <c r="C83" s="76" t="s">
        <v>90</v>
      </c>
      <c r="D83" s="26" t="s">
        <v>36</v>
      </c>
      <c r="E83" s="26" t="s">
        <v>191</v>
      </c>
      <c r="F83" s="26" t="s">
        <v>146</v>
      </c>
      <c r="G83" s="21" t="s">
        <v>147</v>
      </c>
      <c r="H83" s="21" t="s">
        <v>214</v>
      </c>
      <c r="I83" s="11">
        <v>0.9</v>
      </c>
      <c r="J83" s="28" t="s">
        <v>195</v>
      </c>
      <c r="K83" s="28" t="s">
        <v>195</v>
      </c>
      <c r="L83" s="28" t="s">
        <v>195</v>
      </c>
      <c r="M83" s="28" t="s">
        <v>195</v>
      </c>
      <c r="N83" s="28" t="s">
        <v>195</v>
      </c>
      <c r="O83" s="28" t="s">
        <v>195</v>
      </c>
      <c r="P83" s="28" t="s">
        <v>195</v>
      </c>
      <c r="Q83" s="28" t="s">
        <v>195</v>
      </c>
      <c r="R83" s="28" t="s">
        <v>195</v>
      </c>
      <c r="S83" s="28" t="s">
        <v>196</v>
      </c>
      <c r="T83" s="28" t="s">
        <v>195</v>
      </c>
      <c r="U83" s="28" t="s">
        <v>195</v>
      </c>
      <c r="V83" s="28" t="s">
        <v>195</v>
      </c>
      <c r="W83" s="28" t="s">
        <v>195</v>
      </c>
      <c r="X83" s="28" t="s">
        <v>195</v>
      </c>
      <c r="Y83" s="28" t="s">
        <v>195</v>
      </c>
      <c r="Z83" s="28" t="s">
        <v>195</v>
      </c>
      <c r="AA83" s="28" t="s">
        <v>195</v>
      </c>
      <c r="AB83" s="98">
        <v>1.33</v>
      </c>
      <c r="AC83" s="28" t="s">
        <v>150</v>
      </c>
      <c r="AD83" s="126">
        <v>0.96</v>
      </c>
      <c r="AE83" s="28" t="s">
        <v>150</v>
      </c>
      <c r="AF83" s="102">
        <v>0.84</v>
      </c>
      <c r="AG83" s="28" t="s">
        <v>194</v>
      </c>
      <c r="AH83" s="102">
        <v>0.79</v>
      </c>
      <c r="AI83" s="28" t="s">
        <v>194</v>
      </c>
      <c r="AJ83" s="102">
        <v>0.86</v>
      </c>
      <c r="AK83" s="28" t="s">
        <v>194</v>
      </c>
    </row>
    <row r="84" spans="1:37" x14ac:dyDescent="0.25">
      <c r="A84" s="21" t="s">
        <v>56</v>
      </c>
      <c r="B84" s="5" t="s">
        <v>31</v>
      </c>
      <c r="C84" s="76" t="s">
        <v>90</v>
      </c>
      <c r="D84" s="26" t="s">
        <v>36</v>
      </c>
      <c r="E84" s="26" t="s">
        <v>191</v>
      </c>
      <c r="F84" s="21" t="s">
        <v>179</v>
      </c>
      <c r="G84" s="21" t="s">
        <v>147</v>
      </c>
      <c r="H84" s="27" t="s">
        <v>197</v>
      </c>
      <c r="I84" s="14" t="s">
        <v>216</v>
      </c>
      <c r="J84" s="28" t="s">
        <v>195</v>
      </c>
      <c r="K84" s="28" t="s">
        <v>195</v>
      </c>
      <c r="L84" s="28" t="s">
        <v>195</v>
      </c>
      <c r="M84" s="28" t="s">
        <v>195</v>
      </c>
      <c r="N84" s="28" t="s">
        <v>195</v>
      </c>
      <c r="O84" s="28" t="s">
        <v>195</v>
      </c>
      <c r="P84" s="28" t="s">
        <v>195</v>
      </c>
      <c r="Q84" s="28" t="s">
        <v>195</v>
      </c>
      <c r="R84" s="28" t="s">
        <v>195</v>
      </c>
      <c r="S84" s="28" t="s">
        <v>196</v>
      </c>
      <c r="T84" s="28" t="s">
        <v>195</v>
      </c>
      <c r="U84" s="28" t="s">
        <v>195</v>
      </c>
      <c r="V84" s="28" t="s">
        <v>195</v>
      </c>
      <c r="W84" s="28" t="s">
        <v>195</v>
      </c>
      <c r="X84" s="28" t="s">
        <v>195</v>
      </c>
      <c r="Y84" s="28" t="s">
        <v>195</v>
      </c>
      <c r="Z84" s="14" t="s">
        <v>311</v>
      </c>
      <c r="AA84" s="28" t="s">
        <v>150</v>
      </c>
      <c r="AB84" s="97">
        <v>42</v>
      </c>
      <c r="AC84" s="28" t="s">
        <v>150</v>
      </c>
      <c r="AD84" s="97">
        <v>43</v>
      </c>
      <c r="AE84" s="28" t="s">
        <v>150</v>
      </c>
      <c r="AF84" s="95">
        <v>42</v>
      </c>
      <c r="AG84" s="199" t="s">
        <v>150</v>
      </c>
      <c r="AH84" s="95">
        <v>54</v>
      </c>
      <c r="AI84" s="28" t="s">
        <v>194</v>
      </c>
      <c r="AJ84" s="274">
        <v>41</v>
      </c>
      <c r="AK84" s="199" t="s">
        <v>150</v>
      </c>
    </row>
    <row r="85" spans="1:37" x14ac:dyDescent="0.25">
      <c r="A85" s="21" t="s">
        <v>56</v>
      </c>
      <c r="B85" s="5" t="s">
        <v>31</v>
      </c>
      <c r="C85" s="76" t="s">
        <v>90</v>
      </c>
      <c r="D85" s="26" t="s">
        <v>36</v>
      </c>
      <c r="E85" s="26" t="s">
        <v>191</v>
      </c>
      <c r="F85" s="21" t="s">
        <v>179</v>
      </c>
      <c r="G85" s="21" t="s">
        <v>147</v>
      </c>
      <c r="H85" s="27" t="s">
        <v>180</v>
      </c>
      <c r="I85" s="14" t="s">
        <v>218</v>
      </c>
      <c r="J85" s="28" t="s">
        <v>195</v>
      </c>
      <c r="K85" s="28" t="s">
        <v>195</v>
      </c>
      <c r="L85" s="28" t="s">
        <v>195</v>
      </c>
      <c r="M85" s="28" t="s">
        <v>195</v>
      </c>
      <c r="N85" s="28" t="s">
        <v>195</v>
      </c>
      <c r="O85" s="28" t="s">
        <v>195</v>
      </c>
      <c r="P85" s="28" t="s">
        <v>195</v>
      </c>
      <c r="Q85" s="28" t="s">
        <v>195</v>
      </c>
      <c r="R85" s="28" t="s">
        <v>195</v>
      </c>
      <c r="S85" s="28" t="s">
        <v>196</v>
      </c>
      <c r="T85" s="28" t="s">
        <v>195</v>
      </c>
      <c r="U85" s="28" t="s">
        <v>195</v>
      </c>
      <c r="V85" s="28" t="s">
        <v>195</v>
      </c>
      <c r="W85" s="28" t="s">
        <v>195</v>
      </c>
      <c r="X85" s="28" t="s">
        <v>195</v>
      </c>
      <c r="Y85" s="28" t="s">
        <v>195</v>
      </c>
      <c r="Z85" s="14" t="s">
        <v>300</v>
      </c>
      <c r="AA85" s="28" t="s">
        <v>150</v>
      </c>
      <c r="AB85" s="97">
        <v>60</v>
      </c>
      <c r="AC85" s="28" t="s">
        <v>150</v>
      </c>
      <c r="AD85" s="97">
        <v>60</v>
      </c>
      <c r="AE85" s="28" t="s">
        <v>150</v>
      </c>
      <c r="AF85" s="95">
        <v>75</v>
      </c>
      <c r="AG85" s="199" t="s">
        <v>150</v>
      </c>
      <c r="AH85" s="95">
        <v>79</v>
      </c>
      <c r="AI85" s="199" t="s">
        <v>150</v>
      </c>
      <c r="AJ85" s="274">
        <v>71</v>
      </c>
      <c r="AK85" s="199" t="s">
        <v>150</v>
      </c>
    </row>
    <row r="86" spans="1:37" x14ac:dyDescent="0.25">
      <c r="A86" s="21" t="s">
        <v>56</v>
      </c>
      <c r="B86" s="5" t="s">
        <v>31</v>
      </c>
      <c r="C86" s="76" t="s">
        <v>90</v>
      </c>
      <c r="D86" s="26" t="s">
        <v>36</v>
      </c>
      <c r="E86" s="26" t="s">
        <v>191</v>
      </c>
      <c r="F86" s="21" t="s">
        <v>179</v>
      </c>
      <c r="G86" s="21" t="s">
        <v>147</v>
      </c>
      <c r="H86" s="27" t="s">
        <v>188</v>
      </c>
      <c r="I86" s="11">
        <v>0.35</v>
      </c>
      <c r="J86" s="28" t="s">
        <v>195</v>
      </c>
      <c r="K86" s="28" t="s">
        <v>195</v>
      </c>
      <c r="L86" s="28" t="s">
        <v>195</v>
      </c>
      <c r="M86" s="28" t="s">
        <v>195</v>
      </c>
      <c r="N86" s="28" t="s">
        <v>195</v>
      </c>
      <c r="O86" s="28" t="s">
        <v>195</v>
      </c>
      <c r="P86" s="28" t="s">
        <v>195</v>
      </c>
      <c r="Q86" s="28" t="s">
        <v>195</v>
      </c>
      <c r="R86" s="28" t="s">
        <v>195</v>
      </c>
      <c r="S86" s="28" t="s">
        <v>196</v>
      </c>
      <c r="T86" s="28" t="s">
        <v>195</v>
      </c>
      <c r="U86" s="28" t="s">
        <v>195</v>
      </c>
      <c r="V86" s="28" t="s">
        <v>195</v>
      </c>
      <c r="W86" s="28" t="s">
        <v>195</v>
      </c>
      <c r="X86" s="28" t="s">
        <v>195</v>
      </c>
      <c r="Y86" s="28" t="s">
        <v>195</v>
      </c>
      <c r="Z86" s="11">
        <v>0.23</v>
      </c>
      <c r="AA86" s="28" t="s">
        <v>194</v>
      </c>
      <c r="AB86" s="94">
        <v>0.22</v>
      </c>
      <c r="AC86" s="28" t="s">
        <v>194</v>
      </c>
      <c r="AD86" s="126">
        <v>0.22</v>
      </c>
      <c r="AE86" s="28" t="s">
        <v>194</v>
      </c>
      <c r="AF86" s="102">
        <v>0.2</v>
      </c>
      <c r="AG86" s="28" t="s">
        <v>194</v>
      </c>
      <c r="AH86" s="102">
        <v>0.15</v>
      </c>
      <c r="AI86" s="28" t="s">
        <v>194</v>
      </c>
      <c r="AJ86" s="272">
        <v>0.26</v>
      </c>
      <c r="AK86" s="28" t="s">
        <v>194</v>
      </c>
    </row>
    <row r="87" spans="1:37" x14ac:dyDescent="0.25">
      <c r="A87" s="21" t="s">
        <v>56</v>
      </c>
      <c r="B87" s="5" t="s">
        <v>31</v>
      </c>
      <c r="C87" s="76" t="s">
        <v>90</v>
      </c>
      <c r="D87" s="26" t="s">
        <v>36</v>
      </c>
      <c r="E87" s="26" t="s">
        <v>191</v>
      </c>
      <c r="F87" s="21" t="s">
        <v>179</v>
      </c>
      <c r="G87" s="21" t="s">
        <v>147</v>
      </c>
      <c r="H87" s="21" t="s">
        <v>189</v>
      </c>
      <c r="I87" s="11">
        <v>0.1</v>
      </c>
      <c r="J87" s="28" t="s">
        <v>195</v>
      </c>
      <c r="K87" s="28" t="s">
        <v>195</v>
      </c>
      <c r="L87" s="28" t="s">
        <v>195</v>
      </c>
      <c r="M87" s="28" t="s">
        <v>195</v>
      </c>
      <c r="N87" s="28" t="s">
        <v>195</v>
      </c>
      <c r="O87" s="28" t="s">
        <v>195</v>
      </c>
      <c r="P87" s="28" t="s">
        <v>195</v>
      </c>
      <c r="Q87" s="28" t="s">
        <v>195</v>
      </c>
      <c r="R87" s="28" t="s">
        <v>195</v>
      </c>
      <c r="S87" s="28" t="s">
        <v>196</v>
      </c>
      <c r="T87" s="28" t="s">
        <v>195</v>
      </c>
      <c r="U87" s="28" t="s">
        <v>195</v>
      </c>
      <c r="V87" s="28" t="s">
        <v>195</v>
      </c>
      <c r="W87" s="28" t="s">
        <v>195</v>
      </c>
      <c r="X87" s="28" t="s">
        <v>195</v>
      </c>
      <c r="Y87" s="28" t="s">
        <v>195</v>
      </c>
      <c r="Z87" s="11">
        <v>0.05</v>
      </c>
      <c r="AA87" s="28" t="s">
        <v>150</v>
      </c>
      <c r="AB87" s="94">
        <v>0.18</v>
      </c>
      <c r="AC87" s="28" t="s">
        <v>194</v>
      </c>
      <c r="AD87" s="126">
        <v>0.14000000000000001</v>
      </c>
      <c r="AE87" s="28" t="s">
        <v>194</v>
      </c>
      <c r="AF87" s="102">
        <v>0.19</v>
      </c>
      <c r="AG87" s="28" t="s">
        <v>194</v>
      </c>
      <c r="AH87" s="102">
        <v>0.09</v>
      </c>
      <c r="AI87" s="199" t="s">
        <v>150</v>
      </c>
      <c r="AJ87" s="102">
        <v>0.09</v>
      </c>
      <c r="AK87" s="199" t="s">
        <v>150</v>
      </c>
    </row>
    <row r="88" spans="1:37" x14ac:dyDescent="0.25">
      <c r="A88" s="21" t="s">
        <v>56</v>
      </c>
      <c r="B88" s="5" t="s">
        <v>31</v>
      </c>
      <c r="C88" s="76" t="s">
        <v>90</v>
      </c>
      <c r="D88" s="26" t="s">
        <v>36</v>
      </c>
      <c r="E88" s="26" t="s">
        <v>191</v>
      </c>
      <c r="F88" s="21" t="s">
        <v>179</v>
      </c>
      <c r="G88" s="21" t="s">
        <v>147</v>
      </c>
      <c r="H88" s="27" t="s">
        <v>186</v>
      </c>
      <c r="I88" s="15" t="s">
        <v>312</v>
      </c>
      <c r="J88" s="28" t="s">
        <v>195</v>
      </c>
      <c r="K88" s="28" t="s">
        <v>195</v>
      </c>
      <c r="L88" s="28" t="s">
        <v>195</v>
      </c>
      <c r="M88" s="28" t="s">
        <v>195</v>
      </c>
      <c r="N88" s="28" t="s">
        <v>195</v>
      </c>
      <c r="O88" s="28" t="s">
        <v>195</v>
      </c>
      <c r="P88" s="28" t="s">
        <v>195</v>
      </c>
      <c r="Q88" s="28" t="s">
        <v>195</v>
      </c>
      <c r="R88" s="28" t="s">
        <v>195</v>
      </c>
      <c r="S88" s="28" t="s">
        <v>196</v>
      </c>
      <c r="T88" s="28" t="s">
        <v>195</v>
      </c>
      <c r="U88" s="28" t="s">
        <v>195</v>
      </c>
      <c r="V88" s="28" t="s">
        <v>195</v>
      </c>
      <c r="W88" s="28" t="s">
        <v>195</v>
      </c>
      <c r="X88" s="28" t="s">
        <v>195</v>
      </c>
      <c r="Y88" s="28" t="s">
        <v>195</v>
      </c>
      <c r="Z88" s="15">
        <v>0.88</v>
      </c>
      <c r="AA88" s="28" t="s">
        <v>150</v>
      </c>
      <c r="AB88" s="94">
        <v>0.92</v>
      </c>
      <c r="AC88" s="28" t="s">
        <v>150</v>
      </c>
      <c r="AD88" s="126">
        <v>0.92</v>
      </c>
      <c r="AE88" s="28" t="s">
        <v>150</v>
      </c>
      <c r="AF88" s="102">
        <v>0.88</v>
      </c>
      <c r="AG88" s="199" t="s">
        <v>150</v>
      </c>
      <c r="AH88" s="102">
        <v>0.66</v>
      </c>
      <c r="AI88" s="199" t="s">
        <v>150</v>
      </c>
      <c r="AJ88" s="79">
        <v>0.76</v>
      </c>
      <c r="AK88" s="199" t="s">
        <v>150</v>
      </c>
    </row>
    <row r="89" spans="1:37" x14ac:dyDescent="0.25">
      <c r="A89" s="21" t="s">
        <v>56</v>
      </c>
      <c r="B89" s="5" t="s">
        <v>31</v>
      </c>
      <c r="C89" s="76" t="s">
        <v>90</v>
      </c>
      <c r="D89" s="26" t="s">
        <v>36</v>
      </c>
      <c r="E89" s="26" t="s">
        <v>191</v>
      </c>
      <c r="F89" s="21" t="s">
        <v>179</v>
      </c>
      <c r="G89" s="21" t="s">
        <v>147</v>
      </c>
      <c r="H89" s="21" t="s">
        <v>207</v>
      </c>
      <c r="I89" s="15">
        <v>0.1</v>
      </c>
      <c r="J89" s="28" t="s">
        <v>195</v>
      </c>
      <c r="K89" s="28" t="s">
        <v>195</v>
      </c>
      <c r="L89" s="28" t="s">
        <v>195</v>
      </c>
      <c r="M89" s="28" t="s">
        <v>195</v>
      </c>
      <c r="N89" s="28" t="s">
        <v>195</v>
      </c>
      <c r="O89" s="28" t="s">
        <v>195</v>
      </c>
      <c r="P89" s="28" t="s">
        <v>195</v>
      </c>
      <c r="Q89" s="28" t="s">
        <v>195</v>
      </c>
      <c r="R89" s="28" t="s">
        <v>195</v>
      </c>
      <c r="S89" s="28" t="s">
        <v>196</v>
      </c>
      <c r="T89" s="28" t="s">
        <v>195</v>
      </c>
      <c r="U89" s="28" t="s">
        <v>195</v>
      </c>
      <c r="V89" s="28" t="s">
        <v>195</v>
      </c>
      <c r="W89" s="28" t="s">
        <v>195</v>
      </c>
      <c r="X89" s="28" t="s">
        <v>195</v>
      </c>
      <c r="Y89" s="28" t="s">
        <v>195</v>
      </c>
      <c r="Z89" s="15">
        <v>0.25</v>
      </c>
      <c r="AA89" s="28" t="s">
        <v>194</v>
      </c>
      <c r="AB89" s="104">
        <v>0.31</v>
      </c>
      <c r="AC89" s="28" t="s">
        <v>194</v>
      </c>
      <c r="AD89" s="129">
        <v>0.22</v>
      </c>
      <c r="AE89" s="28" t="s">
        <v>194</v>
      </c>
      <c r="AF89" s="102">
        <v>0.25</v>
      </c>
      <c r="AG89" s="28" t="s">
        <v>194</v>
      </c>
      <c r="AH89" s="102">
        <v>0.25</v>
      </c>
      <c r="AI89" s="28" t="s">
        <v>194</v>
      </c>
      <c r="AJ89" s="79">
        <v>0.17</v>
      </c>
      <c r="AK89" s="28" t="s">
        <v>194</v>
      </c>
    </row>
    <row r="90" spans="1:37" x14ac:dyDescent="0.25">
      <c r="A90" s="21" t="s">
        <v>22</v>
      </c>
      <c r="B90" s="5" t="s">
        <v>23</v>
      </c>
      <c r="C90" s="76" t="s">
        <v>24</v>
      </c>
      <c r="D90" s="26" t="s">
        <v>46</v>
      </c>
      <c r="E90" s="26" t="s">
        <v>145</v>
      </c>
      <c r="F90" s="26" t="s">
        <v>146</v>
      </c>
      <c r="G90" s="26" t="s">
        <v>147</v>
      </c>
      <c r="H90" s="26" t="s">
        <v>148</v>
      </c>
      <c r="I90" s="29">
        <v>1</v>
      </c>
      <c r="J90" s="17" t="s">
        <v>149</v>
      </c>
      <c r="K90" s="28" t="s">
        <v>150</v>
      </c>
      <c r="L90" s="17" t="s">
        <v>149</v>
      </c>
      <c r="M90" s="28" t="s">
        <v>150</v>
      </c>
      <c r="N90" s="17" t="s">
        <v>149</v>
      </c>
      <c r="O90" s="28" t="s">
        <v>150</v>
      </c>
      <c r="P90" s="17" t="s">
        <v>149</v>
      </c>
      <c r="Q90" s="28" t="s">
        <v>150</v>
      </c>
      <c r="R90" s="17" t="s">
        <v>149</v>
      </c>
      <c r="S90" s="28" t="s">
        <v>150</v>
      </c>
      <c r="T90" s="17" t="s">
        <v>149</v>
      </c>
      <c r="U90" s="28" t="s">
        <v>150</v>
      </c>
      <c r="V90" s="17" t="s">
        <v>149</v>
      </c>
      <c r="W90" s="28" t="s">
        <v>150</v>
      </c>
      <c r="X90" s="17" t="s">
        <v>149</v>
      </c>
      <c r="Y90" s="28" t="s">
        <v>150</v>
      </c>
      <c r="Z90" s="17" t="s">
        <v>149</v>
      </c>
      <c r="AA90" s="28" t="s">
        <v>150</v>
      </c>
      <c r="AB90" s="93" t="s">
        <v>149</v>
      </c>
      <c r="AC90" s="28" t="s">
        <v>150</v>
      </c>
      <c r="AD90" s="93" t="s">
        <v>149</v>
      </c>
      <c r="AE90" s="28" t="s">
        <v>150</v>
      </c>
      <c r="AF90" s="93" t="s">
        <v>149</v>
      </c>
      <c r="AG90" s="199" t="s">
        <v>150</v>
      </c>
      <c r="AH90" s="93" t="s">
        <v>149</v>
      </c>
      <c r="AI90" s="199" t="s">
        <v>150</v>
      </c>
      <c r="AJ90" s="93" t="s">
        <v>149</v>
      </c>
      <c r="AK90" s="199" t="s">
        <v>150</v>
      </c>
    </row>
    <row r="91" spans="1:37" x14ac:dyDescent="0.25">
      <c r="A91" s="26" t="s">
        <v>22</v>
      </c>
      <c r="B91" s="5" t="s">
        <v>23</v>
      </c>
      <c r="C91" s="76" t="s">
        <v>24</v>
      </c>
      <c r="D91" s="26" t="s">
        <v>46</v>
      </c>
      <c r="E91" s="26" t="s">
        <v>145</v>
      </c>
      <c r="F91" s="26" t="s">
        <v>146</v>
      </c>
      <c r="G91" s="26" t="s">
        <v>147</v>
      </c>
      <c r="H91" s="26" t="s">
        <v>151</v>
      </c>
      <c r="I91" s="29">
        <v>1</v>
      </c>
      <c r="J91" s="17" t="s">
        <v>149</v>
      </c>
      <c r="K91" s="28" t="s">
        <v>150</v>
      </c>
      <c r="L91" s="17" t="s">
        <v>149</v>
      </c>
      <c r="M91" s="28" t="s">
        <v>150</v>
      </c>
      <c r="N91" s="17" t="s">
        <v>149</v>
      </c>
      <c r="O91" s="28" t="s">
        <v>150</v>
      </c>
      <c r="P91" s="17" t="s">
        <v>149</v>
      </c>
      <c r="Q91" s="28" t="s">
        <v>150</v>
      </c>
      <c r="R91" s="17" t="s">
        <v>149</v>
      </c>
      <c r="S91" s="28" t="s">
        <v>150</v>
      </c>
      <c r="T91" s="17" t="s">
        <v>149</v>
      </c>
      <c r="U91" s="28" t="s">
        <v>150</v>
      </c>
      <c r="V91" s="17" t="s">
        <v>149</v>
      </c>
      <c r="W91" s="28" t="s">
        <v>150</v>
      </c>
      <c r="X91" s="17" t="s">
        <v>149</v>
      </c>
      <c r="Y91" s="28" t="s">
        <v>150</v>
      </c>
      <c r="Z91" s="17" t="s">
        <v>149</v>
      </c>
      <c r="AA91" s="28" t="s">
        <v>150</v>
      </c>
      <c r="AB91" s="93" t="s">
        <v>149</v>
      </c>
      <c r="AC91" s="28" t="s">
        <v>150</v>
      </c>
      <c r="AD91" s="93" t="s">
        <v>149</v>
      </c>
      <c r="AE91" s="28" t="s">
        <v>150</v>
      </c>
      <c r="AF91" s="93" t="s">
        <v>149</v>
      </c>
      <c r="AG91" s="199" t="s">
        <v>150</v>
      </c>
      <c r="AH91" s="93" t="s">
        <v>149</v>
      </c>
      <c r="AI91" s="199" t="s">
        <v>150</v>
      </c>
      <c r="AJ91" s="93" t="s">
        <v>149</v>
      </c>
      <c r="AK91" s="199" t="s">
        <v>150</v>
      </c>
    </row>
    <row r="92" spans="1:37" x14ac:dyDescent="0.25">
      <c r="A92" s="26" t="s">
        <v>22</v>
      </c>
      <c r="B92" s="5" t="s">
        <v>23</v>
      </c>
      <c r="C92" s="76" t="s">
        <v>24</v>
      </c>
      <c r="D92" s="26" t="s">
        <v>46</v>
      </c>
      <c r="E92" s="26" t="s">
        <v>145</v>
      </c>
      <c r="F92" s="26" t="s">
        <v>146</v>
      </c>
      <c r="G92" s="26" t="s">
        <v>147</v>
      </c>
      <c r="H92" s="26" t="s">
        <v>152</v>
      </c>
      <c r="I92" s="29">
        <v>1</v>
      </c>
      <c r="J92" s="17" t="s">
        <v>149</v>
      </c>
      <c r="K92" s="28" t="s">
        <v>150</v>
      </c>
      <c r="L92" s="17" t="s">
        <v>149</v>
      </c>
      <c r="M92" s="28" t="s">
        <v>150</v>
      </c>
      <c r="N92" s="17" t="s">
        <v>149</v>
      </c>
      <c r="O92" s="28" t="s">
        <v>150</v>
      </c>
      <c r="P92" s="17" t="s">
        <v>149</v>
      </c>
      <c r="Q92" s="28" t="s">
        <v>150</v>
      </c>
      <c r="R92" s="17" t="s">
        <v>149</v>
      </c>
      <c r="S92" s="28" t="s">
        <v>150</v>
      </c>
      <c r="T92" s="17" t="s">
        <v>149</v>
      </c>
      <c r="U92" s="28" t="s">
        <v>150</v>
      </c>
      <c r="V92" s="17" t="s">
        <v>149</v>
      </c>
      <c r="W92" s="28" t="s">
        <v>150</v>
      </c>
      <c r="X92" s="17" t="s">
        <v>149</v>
      </c>
      <c r="Y92" s="28" t="s">
        <v>150</v>
      </c>
      <c r="Z92" s="17" t="s">
        <v>149</v>
      </c>
      <c r="AA92" s="28" t="s">
        <v>150</v>
      </c>
      <c r="AB92" s="93" t="s">
        <v>149</v>
      </c>
      <c r="AC92" s="28" t="s">
        <v>150</v>
      </c>
      <c r="AD92" s="93" t="s">
        <v>149</v>
      </c>
      <c r="AE92" s="28" t="s">
        <v>150</v>
      </c>
      <c r="AF92" s="93" t="s">
        <v>149</v>
      </c>
      <c r="AG92" s="199" t="s">
        <v>150</v>
      </c>
      <c r="AH92" s="93" t="s">
        <v>149</v>
      </c>
      <c r="AI92" s="199" t="s">
        <v>150</v>
      </c>
      <c r="AJ92" s="93" t="s">
        <v>149</v>
      </c>
      <c r="AK92" s="199" t="s">
        <v>150</v>
      </c>
    </row>
    <row r="93" spans="1:37" x14ac:dyDescent="0.25">
      <c r="A93" s="26" t="s">
        <v>22</v>
      </c>
      <c r="B93" s="5" t="s">
        <v>23</v>
      </c>
      <c r="C93" s="76" t="s">
        <v>24</v>
      </c>
      <c r="D93" s="26" t="s">
        <v>46</v>
      </c>
      <c r="E93" s="26" t="s">
        <v>145</v>
      </c>
      <c r="F93" s="26" t="s">
        <v>146</v>
      </c>
      <c r="G93" s="26" t="s">
        <v>147</v>
      </c>
      <c r="H93" s="26" t="s">
        <v>153</v>
      </c>
      <c r="I93" s="29">
        <v>1</v>
      </c>
      <c r="J93" s="17" t="s">
        <v>154</v>
      </c>
      <c r="K93" s="15" t="s">
        <v>154</v>
      </c>
      <c r="L93" s="17" t="s">
        <v>154</v>
      </c>
      <c r="M93" s="15" t="s">
        <v>154</v>
      </c>
      <c r="N93" s="17" t="s">
        <v>154</v>
      </c>
      <c r="O93" s="15" t="s">
        <v>154</v>
      </c>
      <c r="P93" s="17" t="s">
        <v>154</v>
      </c>
      <c r="Q93" s="15" t="s">
        <v>154</v>
      </c>
      <c r="R93" s="17" t="s">
        <v>154</v>
      </c>
      <c r="S93" s="15" t="s">
        <v>154</v>
      </c>
      <c r="T93" s="17" t="s">
        <v>154</v>
      </c>
      <c r="U93" s="15" t="s">
        <v>154</v>
      </c>
      <c r="V93" s="17" t="s">
        <v>154</v>
      </c>
      <c r="W93" s="15" t="s">
        <v>154</v>
      </c>
      <c r="X93" s="17" t="s">
        <v>154</v>
      </c>
      <c r="Y93" s="15" t="s">
        <v>154</v>
      </c>
      <c r="Z93" s="17" t="s">
        <v>154</v>
      </c>
      <c r="AA93" s="15" t="s">
        <v>154</v>
      </c>
      <c r="AB93" s="93" t="s">
        <v>154</v>
      </c>
      <c r="AC93" s="15" t="s">
        <v>154</v>
      </c>
      <c r="AD93" s="93" t="s">
        <v>154</v>
      </c>
      <c r="AE93" s="126" t="s">
        <v>154</v>
      </c>
      <c r="AF93" s="93" t="s">
        <v>154</v>
      </c>
      <c r="AG93" s="97" t="s">
        <v>154</v>
      </c>
      <c r="AH93" s="93" t="s">
        <v>154</v>
      </c>
      <c r="AI93" s="94" t="s">
        <v>154</v>
      </c>
      <c r="AJ93" s="93" t="s">
        <v>154</v>
      </c>
      <c r="AK93" s="94" t="s">
        <v>154</v>
      </c>
    </row>
    <row r="94" spans="1:37" x14ac:dyDescent="0.25">
      <c r="A94" s="26" t="s">
        <v>22</v>
      </c>
      <c r="B94" s="5" t="s">
        <v>23</v>
      </c>
      <c r="C94" s="76" t="s">
        <v>24</v>
      </c>
      <c r="D94" s="26" t="s">
        <v>46</v>
      </c>
      <c r="E94" s="26" t="s">
        <v>145</v>
      </c>
      <c r="F94" s="26" t="s">
        <v>146</v>
      </c>
      <c r="G94" s="26" t="s">
        <v>147</v>
      </c>
      <c r="H94" s="26" t="s">
        <v>155</v>
      </c>
      <c r="I94" s="29">
        <v>1</v>
      </c>
      <c r="J94" s="17" t="s">
        <v>149</v>
      </c>
      <c r="K94" s="28" t="s">
        <v>150</v>
      </c>
      <c r="L94" s="17" t="s">
        <v>149</v>
      </c>
      <c r="M94" s="28" t="s">
        <v>150</v>
      </c>
      <c r="N94" s="17" t="s">
        <v>149</v>
      </c>
      <c r="O94" s="28" t="s">
        <v>150</v>
      </c>
      <c r="P94" s="17" t="s">
        <v>149</v>
      </c>
      <c r="Q94" s="28" t="s">
        <v>150</v>
      </c>
      <c r="R94" s="17" t="s">
        <v>149</v>
      </c>
      <c r="S94" s="28" t="s">
        <v>150</v>
      </c>
      <c r="T94" s="17" t="s">
        <v>149</v>
      </c>
      <c r="U94" s="28" t="s">
        <v>150</v>
      </c>
      <c r="V94" s="17" t="s">
        <v>149</v>
      </c>
      <c r="W94" s="28" t="s">
        <v>150</v>
      </c>
      <c r="X94" s="17" t="s">
        <v>149</v>
      </c>
      <c r="Y94" s="28" t="s">
        <v>150</v>
      </c>
      <c r="Z94" s="17" t="s">
        <v>149</v>
      </c>
      <c r="AA94" s="28" t="s">
        <v>150</v>
      </c>
      <c r="AB94" s="93" t="s">
        <v>149</v>
      </c>
      <c r="AC94" s="28" t="s">
        <v>150</v>
      </c>
      <c r="AD94" s="93" t="s">
        <v>149</v>
      </c>
      <c r="AE94" s="28" t="s">
        <v>150</v>
      </c>
      <c r="AF94" s="93" t="s">
        <v>149</v>
      </c>
      <c r="AG94" s="199" t="s">
        <v>150</v>
      </c>
      <c r="AH94" s="93" t="s">
        <v>149</v>
      </c>
      <c r="AI94" s="199" t="s">
        <v>150</v>
      </c>
      <c r="AJ94" s="93" t="s">
        <v>149</v>
      </c>
      <c r="AK94" s="199" t="s">
        <v>150</v>
      </c>
    </row>
    <row r="95" spans="1:37" x14ac:dyDescent="0.25">
      <c r="A95" s="21" t="s">
        <v>94</v>
      </c>
      <c r="B95" s="5" t="s">
        <v>50</v>
      </c>
      <c r="C95" s="76" t="s">
        <v>45</v>
      </c>
      <c r="D95" s="26" t="s">
        <v>95</v>
      </c>
      <c r="E95" s="26" t="s">
        <v>145</v>
      </c>
      <c r="F95" s="21" t="s">
        <v>179</v>
      </c>
      <c r="G95" s="21" t="s">
        <v>147</v>
      </c>
      <c r="H95" s="26" t="s">
        <v>180</v>
      </c>
      <c r="I95" s="11" t="s">
        <v>492</v>
      </c>
      <c r="J95" s="37" t="s">
        <v>154</v>
      </c>
      <c r="K95" s="37" t="s">
        <v>154</v>
      </c>
      <c r="L95" s="39" t="s">
        <v>493</v>
      </c>
      <c r="M95" s="38" t="s">
        <v>150</v>
      </c>
      <c r="N95" s="38">
        <v>61</v>
      </c>
      <c r="O95" s="38" t="s">
        <v>150</v>
      </c>
      <c r="P95" s="38">
        <v>65</v>
      </c>
      <c r="Q95" s="38" t="s">
        <v>150</v>
      </c>
      <c r="R95" s="39">
        <v>77</v>
      </c>
      <c r="S95" s="38" t="s">
        <v>150</v>
      </c>
      <c r="T95" s="71">
        <v>84</v>
      </c>
      <c r="U95" s="38" t="s">
        <v>150</v>
      </c>
      <c r="V95" s="38">
        <v>117</v>
      </c>
      <c r="W95" s="38" t="s">
        <v>194</v>
      </c>
      <c r="X95" s="38" t="s">
        <v>195</v>
      </c>
      <c r="Y95" s="38" t="s">
        <v>195</v>
      </c>
      <c r="Z95" s="17">
        <v>139</v>
      </c>
      <c r="AA95" s="28" t="s">
        <v>194</v>
      </c>
      <c r="AB95" s="17">
        <v>127</v>
      </c>
      <c r="AC95" s="28" t="s">
        <v>194</v>
      </c>
      <c r="AD95" s="93">
        <v>85</v>
      </c>
      <c r="AE95" s="28" t="s">
        <v>150</v>
      </c>
      <c r="AF95" s="267" t="s">
        <v>195</v>
      </c>
      <c r="AG95" s="140" t="s">
        <v>195</v>
      </c>
      <c r="AH95" s="97" t="s">
        <v>195</v>
      </c>
      <c r="AI95" s="97" t="s">
        <v>195</v>
      </c>
      <c r="AJ95" s="95" t="s">
        <v>195</v>
      </c>
      <c r="AK95" s="97" t="s">
        <v>195</v>
      </c>
    </row>
    <row r="96" spans="1:37" x14ac:dyDescent="0.25">
      <c r="A96" s="21" t="s">
        <v>94</v>
      </c>
      <c r="B96" s="5" t="s">
        <v>50</v>
      </c>
      <c r="C96" s="76" t="s">
        <v>45</v>
      </c>
      <c r="D96" s="26" t="s">
        <v>95</v>
      </c>
      <c r="E96" s="26" t="s">
        <v>145</v>
      </c>
      <c r="F96" s="21" t="s">
        <v>146</v>
      </c>
      <c r="G96" s="21" t="s">
        <v>147</v>
      </c>
      <c r="H96" s="26" t="s">
        <v>197</v>
      </c>
      <c r="I96" s="11" t="s">
        <v>494</v>
      </c>
      <c r="J96" s="14" t="s">
        <v>154</v>
      </c>
      <c r="K96" s="14" t="s">
        <v>154</v>
      </c>
      <c r="L96" s="17" t="s">
        <v>184</v>
      </c>
      <c r="M96" s="28" t="s">
        <v>150</v>
      </c>
      <c r="N96" s="28">
        <v>42</v>
      </c>
      <c r="O96" s="28" t="s">
        <v>150</v>
      </c>
      <c r="P96" s="28">
        <v>37</v>
      </c>
      <c r="Q96" s="28" t="s">
        <v>150</v>
      </c>
      <c r="R96" s="17">
        <v>55</v>
      </c>
      <c r="S96" s="28" t="s">
        <v>194</v>
      </c>
      <c r="T96" s="9">
        <v>48</v>
      </c>
      <c r="U96" s="28" t="s">
        <v>150</v>
      </c>
      <c r="V96" s="28">
        <v>25</v>
      </c>
      <c r="W96" s="28" t="s">
        <v>150</v>
      </c>
      <c r="X96" s="28" t="s">
        <v>195</v>
      </c>
      <c r="Y96" s="28" t="s">
        <v>195</v>
      </c>
      <c r="Z96" s="17">
        <v>35</v>
      </c>
      <c r="AA96" s="28" t="s">
        <v>150</v>
      </c>
      <c r="AB96" s="17">
        <v>39</v>
      </c>
      <c r="AC96" s="28" t="s">
        <v>150</v>
      </c>
      <c r="AD96" s="93">
        <v>34</v>
      </c>
      <c r="AE96" s="28" t="s">
        <v>150</v>
      </c>
      <c r="AF96" s="267" t="s">
        <v>195</v>
      </c>
      <c r="AG96" s="140" t="s">
        <v>195</v>
      </c>
      <c r="AH96" s="97" t="s">
        <v>195</v>
      </c>
      <c r="AI96" s="97" t="s">
        <v>195</v>
      </c>
      <c r="AJ96" s="95" t="s">
        <v>195</v>
      </c>
      <c r="AK96" s="97" t="s">
        <v>195</v>
      </c>
    </row>
    <row r="97" spans="1:37" x14ac:dyDescent="0.25">
      <c r="A97" s="21" t="s">
        <v>94</v>
      </c>
      <c r="B97" s="5" t="s">
        <v>50</v>
      </c>
      <c r="C97" s="76" t="s">
        <v>45</v>
      </c>
      <c r="D97" s="26" t="s">
        <v>95</v>
      </c>
      <c r="E97" s="26" t="s">
        <v>145</v>
      </c>
      <c r="F97" s="21" t="s">
        <v>146</v>
      </c>
      <c r="G97" s="21" t="s">
        <v>147</v>
      </c>
      <c r="H97" s="26" t="s">
        <v>495</v>
      </c>
      <c r="I97" s="11">
        <v>0.3</v>
      </c>
      <c r="J97" s="14" t="s">
        <v>154</v>
      </c>
      <c r="K97" s="14" t="s">
        <v>154</v>
      </c>
      <c r="L97" s="45">
        <v>0.23333333333333334</v>
      </c>
      <c r="M97" s="28" t="s">
        <v>150</v>
      </c>
      <c r="N97" s="36">
        <v>0.21</v>
      </c>
      <c r="O97" s="28" t="s">
        <v>150</v>
      </c>
      <c r="P97" s="36">
        <v>0.19</v>
      </c>
      <c r="Q97" s="28" t="s">
        <v>150</v>
      </c>
      <c r="R97" s="29">
        <v>0.09</v>
      </c>
      <c r="S97" s="28" t="s">
        <v>150</v>
      </c>
      <c r="T97" s="11">
        <v>0.11764705882352941</v>
      </c>
      <c r="U97" s="28" t="s">
        <v>150</v>
      </c>
      <c r="V97" s="29">
        <v>0</v>
      </c>
      <c r="W97" s="28" t="s">
        <v>150</v>
      </c>
      <c r="X97" s="28" t="s">
        <v>195</v>
      </c>
      <c r="Y97" s="28" t="s">
        <v>195</v>
      </c>
      <c r="Z97" s="45">
        <v>8.3333333333333329E-2</v>
      </c>
      <c r="AA97" s="28" t="s">
        <v>150</v>
      </c>
      <c r="AB97" s="45">
        <v>0</v>
      </c>
      <c r="AC97" s="28" t="s">
        <v>150</v>
      </c>
      <c r="AD97" s="130">
        <f>24/143</f>
        <v>0.16783216783216784</v>
      </c>
      <c r="AE97" s="28" t="s">
        <v>150</v>
      </c>
      <c r="AF97" s="267" t="s">
        <v>195</v>
      </c>
      <c r="AG97" s="140" t="s">
        <v>195</v>
      </c>
      <c r="AH97" s="97" t="s">
        <v>195</v>
      </c>
      <c r="AI97" s="271" t="s">
        <v>195</v>
      </c>
      <c r="AJ97" s="95" t="s">
        <v>195</v>
      </c>
      <c r="AK97" s="271" t="s">
        <v>195</v>
      </c>
    </row>
    <row r="98" spans="1:37" x14ac:dyDescent="0.25">
      <c r="A98" s="21" t="s">
        <v>94</v>
      </c>
      <c r="B98" s="5" t="s">
        <v>50</v>
      </c>
      <c r="C98" s="76" t="s">
        <v>45</v>
      </c>
      <c r="D98" s="26" t="s">
        <v>95</v>
      </c>
      <c r="E98" s="26" t="s">
        <v>145</v>
      </c>
      <c r="F98" s="21" t="s">
        <v>146</v>
      </c>
      <c r="G98" s="21" t="s">
        <v>147</v>
      </c>
      <c r="H98" s="26" t="s">
        <v>186</v>
      </c>
      <c r="I98" s="11">
        <v>0.7</v>
      </c>
      <c r="J98" s="14" t="s">
        <v>154</v>
      </c>
      <c r="K98" s="14" t="s">
        <v>154</v>
      </c>
      <c r="L98" s="72">
        <v>0.83333333333333337</v>
      </c>
      <c r="M98" s="28" t="s">
        <v>150</v>
      </c>
      <c r="N98" s="36">
        <v>0.66</v>
      </c>
      <c r="O98" s="28" t="s">
        <v>194</v>
      </c>
      <c r="P98" s="36">
        <v>0.74</v>
      </c>
      <c r="Q98" s="28" t="s">
        <v>150</v>
      </c>
      <c r="R98" s="15">
        <v>0.69536423841059603</v>
      </c>
      <c r="S98" s="28" t="s">
        <v>150</v>
      </c>
      <c r="T98" s="11">
        <v>0.96363636363636362</v>
      </c>
      <c r="U98" s="28" t="s">
        <v>150</v>
      </c>
      <c r="V98" s="36">
        <v>0.9</v>
      </c>
      <c r="W98" s="28" t="s">
        <v>150</v>
      </c>
      <c r="X98" s="28" t="s">
        <v>195</v>
      </c>
      <c r="Y98" s="28" t="s">
        <v>195</v>
      </c>
      <c r="Z98" s="65">
        <v>0.95774647887323938</v>
      </c>
      <c r="AA98" s="28" t="s">
        <v>150</v>
      </c>
      <c r="AB98" s="65">
        <v>0.76</v>
      </c>
      <c r="AC98" s="28" t="s">
        <v>150</v>
      </c>
      <c r="AD98" s="131">
        <f>30/41</f>
        <v>0.73170731707317072</v>
      </c>
      <c r="AE98" s="28" t="s">
        <v>150</v>
      </c>
      <c r="AF98" s="267" t="s">
        <v>195</v>
      </c>
      <c r="AG98" s="140" t="s">
        <v>195</v>
      </c>
      <c r="AH98" s="97" t="s">
        <v>195</v>
      </c>
      <c r="AI98" s="94" t="s">
        <v>195</v>
      </c>
      <c r="AJ98" s="95" t="s">
        <v>195</v>
      </c>
      <c r="AK98" s="94" t="s">
        <v>195</v>
      </c>
    </row>
    <row r="99" spans="1:37" x14ac:dyDescent="0.25">
      <c r="A99" s="21" t="s">
        <v>94</v>
      </c>
      <c r="B99" s="5" t="s">
        <v>50</v>
      </c>
      <c r="C99" s="76" t="s">
        <v>45</v>
      </c>
      <c r="D99" s="26" t="s">
        <v>95</v>
      </c>
      <c r="E99" s="26" t="s">
        <v>145</v>
      </c>
      <c r="F99" s="21" t="s">
        <v>179</v>
      </c>
      <c r="G99" s="21" t="s">
        <v>147</v>
      </c>
      <c r="H99" s="26" t="s">
        <v>188</v>
      </c>
      <c r="I99" s="11">
        <v>0.06</v>
      </c>
      <c r="J99" s="14" t="s">
        <v>154</v>
      </c>
      <c r="K99" s="14" t="s">
        <v>154</v>
      </c>
      <c r="L99" s="66">
        <v>0.11904761904761904</v>
      </c>
      <c r="M99" s="28" t="s">
        <v>150</v>
      </c>
      <c r="N99" s="36">
        <v>0.1</v>
      </c>
      <c r="O99" s="28" t="s">
        <v>150</v>
      </c>
      <c r="P99" s="36">
        <v>0.14000000000000001</v>
      </c>
      <c r="Q99" s="28" t="s">
        <v>150</v>
      </c>
      <c r="R99" s="66">
        <v>8.6092715231788075E-2</v>
      </c>
      <c r="S99" s="28" t="s">
        <v>150</v>
      </c>
      <c r="T99" s="11">
        <v>0.27272727272727271</v>
      </c>
      <c r="U99" s="28" t="s">
        <v>150</v>
      </c>
      <c r="V99" s="36">
        <v>7.0000000000000007E-2</v>
      </c>
      <c r="W99" s="28" t="s">
        <v>150</v>
      </c>
      <c r="X99" s="28" t="s">
        <v>195</v>
      </c>
      <c r="Y99" s="28" t="s">
        <v>195</v>
      </c>
      <c r="Z99" s="73">
        <v>7.0422535211267609E-2</v>
      </c>
      <c r="AA99" s="28" t="s">
        <v>150</v>
      </c>
      <c r="AB99" s="73">
        <v>0.09</v>
      </c>
      <c r="AC99" s="28" t="s">
        <v>150</v>
      </c>
      <c r="AD99" s="132">
        <f>6/40</f>
        <v>0.15</v>
      </c>
      <c r="AE99" s="28" t="s">
        <v>150</v>
      </c>
      <c r="AF99" s="267" t="s">
        <v>195</v>
      </c>
      <c r="AG99" s="140" t="s">
        <v>195</v>
      </c>
      <c r="AH99" s="97" t="s">
        <v>195</v>
      </c>
      <c r="AI99" s="94" t="s">
        <v>195</v>
      </c>
      <c r="AJ99" s="95" t="s">
        <v>195</v>
      </c>
      <c r="AK99" s="94" t="s">
        <v>195</v>
      </c>
    </row>
    <row r="100" spans="1:37" x14ac:dyDescent="0.25">
      <c r="A100" s="161" t="s">
        <v>94</v>
      </c>
      <c r="B100" s="162" t="s">
        <v>50</v>
      </c>
      <c r="C100" s="264" t="s">
        <v>45</v>
      </c>
      <c r="D100" s="163" t="s">
        <v>95</v>
      </c>
      <c r="E100" s="163" t="s">
        <v>145</v>
      </c>
      <c r="F100" s="161" t="s">
        <v>146</v>
      </c>
      <c r="G100" s="161" t="s">
        <v>147</v>
      </c>
      <c r="H100" s="163" t="s">
        <v>189</v>
      </c>
      <c r="I100" s="170">
        <v>0.05</v>
      </c>
      <c r="J100" s="171" t="s">
        <v>154</v>
      </c>
      <c r="K100" s="171" t="s">
        <v>154</v>
      </c>
      <c r="L100" s="172">
        <v>4.7619047619047616E-2</v>
      </c>
      <c r="M100" s="167" t="s">
        <v>150</v>
      </c>
      <c r="N100" s="173">
        <v>0.05</v>
      </c>
      <c r="O100" s="167" t="s">
        <v>150</v>
      </c>
      <c r="P100" s="173">
        <v>0.05</v>
      </c>
      <c r="Q100" s="167" t="s">
        <v>150</v>
      </c>
      <c r="R100" s="166">
        <v>0</v>
      </c>
      <c r="S100" s="167" t="s">
        <v>150</v>
      </c>
      <c r="T100" s="170">
        <v>0.2</v>
      </c>
      <c r="U100" s="167" t="s">
        <v>194</v>
      </c>
      <c r="V100" s="173">
        <v>9.0909090909090912E-2</v>
      </c>
      <c r="W100" s="167" t="s">
        <v>194</v>
      </c>
      <c r="X100" s="167" t="s">
        <v>195</v>
      </c>
      <c r="Y100" s="167" t="s">
        <v>195</v>
      </c>
      <c r="Z100" s="172">
        <v>0.1111111111111111</v>
      </c>
      <c r="AA100" s="167" t="s">
        <v>194</v>
      </c>
      <c r="AB100" s="172">
        <v>0</v>
      </c>
      <c r="AC100" s="167" t="s">
        <v>150</v>
      </c>
      <c r="AD100" s="174">
        <v>0.17</v>
      </c>
      <c r="AE100" s="167" t="s">
        <v>194</v>
      </c>
      <c r="AF100" s="267" t="s">
        <v>195</v>
      </c>
      <c r="AG100" s="140" t="s">
        <v>195</v>
      </c>
      <c r="AH100" s="97" t="s">
        <v>195</v>
      </c>
      <c r="AI100" s="94" t="s">
        <v>195</v>
      </c>
      <c r="AJ100" s="95" t="s">
        <v>195</v>
      </c>
      <c r="AK100" s="94" t="s">
        <v>195</v>
      </c>
    </row>
    <row r="101" spans="1:37" x14ac:dyDescent="0.25">
      <c r="A101" s="21" t="s">
        <v>94</v>
      </c>
      <c r="B101" s="5" t="s">
        <v>50</v>
      </c>
      <c r="C101" s="76" t="s">
        <v>45</v>
      </c>
      <c r="D101" s="26" t="s">
        <v>95</v>
      </c>
      <c r="E101" s="26" t="s">
        <v>145</v>
      </c>
      <c r="F101" s="21" t="s">
        <v>146</v>
      </c>
      <c r="G101" s="21" t="s">
        <v>147</v>
      </c>
      <c r="H101" s="26" t="s">
        <v>496</v>
      </c>
      <c r="I101" s="11" t="s">
        <v>187</v>
      </c>
      <c r="J101" s="14" t="s">
        <v>154</v>
      </c>
      <c r="K101" s="14" t="s">
        <v>154</v>
      </c>
      <c r="L101" s="14" t="s">
        <v>417</v>
      </c>
      <c r="M101" s="28" t="s">
        <v>195</v>
      </c>
      <c r="N101" s="28" t="s">
        <v>195</v>
      </c>
      <c r="O101" s="28" t="s">
        <v>195</v>
      </c>
      <c r="P101" s="28" t="s">
        <v>195</v>
      </c>
      <c r="Q101" s="28" t="s">
        <v>195</v>
      </c>
      <c r="R101" s="28" t="s">
        <v>195</v>
      </c>
      <c r="S101" s="28" t="s">
        <v>196</v>
      </c>
      <c r="T101" s="28" t="s">
        <v>195</v>
      </c>
      <c r="U101" s="28" t="s">
        <v>195</v>
      </c>
      <c r="V101" s="28" t="s">
        <v>195</v>
      </c>
      <c r="W101" s="28" t="s">
        <v>195</v>
      </c>
      <c r="X101" s="28" t="s">
        <v>195</v>
      </c>
      <c r="Y101" s="28" t="s">
        <v>195</v>
      </c>
      <c r="Z101" s="28" t="s">
        <v>195</v>
      </c>
      <c r="AA101" s="28" t="s">
        <v>195</v>
      </c>
      <c r="AB101" s="97" t="s">
        <v>195</v>
      </c>
      <c r="AC101" s="90" t="s">
        <v>195</v>
      </c>
      <c r="AD101" s="97" t="s">
        <v>195</v>
      </c>
      <c r="AE101" s="97" t="s">
        <v>195</v>
      </c>
      <c r="AF101" s="267" t="s">
        <v>195</v>
      </c>
      <c r="AG101" s="140" t="s">
        <v>195</v>
      </c>
      <c r="AH101" s="97" t="s">
        <v>195</v>
      </c>
      <c r="AI101" s="97" t="s">
        <v>195</v>
      </c>
      <c r="AJ101" s="95" t="s">
        <v>195</v>
      </c>
      <c r="AK101" s="97" t="s">
        <v>195</v>
      </c>
    </row>
    <row r="102" spans="1:37" x14ac:dyDescent="0.25">
      <c r="A102" s="21" t="s">
        <v>94</v>
      </c>
      <c r="B102" s="5" t="s">
        <v>50</v>
      </c>
      <c r="C102" s="76" t="s">
        <v>45</v>
      </c>
      <c r="D102" s="26" t="s">
        <v>95</v>
      </c>
      <c r="E102" s="26" t="s">
        <v>145</v>
      </c>
      <c r="F102" s="21" t="s">
        <v>146</v>
      </c>
      <c r="G102" s="21" t="s">
        <v>147</v>
      </c>
      <c r="H102" s="26" t="s">
        <v>190</v>
      </c>
      <c r="I102" s="11">
        <v>0.8</v>
      </c>
      <c r="J102" s="14" t="s">
        <v>154</v>
      </c>
      <c r="K102" s="14" t="s">
        <v>154</v>
      </c>
      <c r="L102" s="14" t="s">
        <v>417</v>
      </c>
      <c r="M102" s="28" t="s">
        <v>195</v>
      </c>
      <c r="N102" s="28" t="s">
        <v>195</v>
      </c>
      <c r="O102" s="28" t="s">
        <v>195</v>
      </c>
      <c r="P102" s="28" t="s">
        <v>195</v>
      </c>
      <c r="Q102" s="28" t="s">
        <v>195</v>
      </c>
      <c r="R102" s="28" t="s">
        <v>195</v>
      </c>
      <c r="S102" s="28" t="s">
        <v>196</v>
      </c>
      <c r="T102" s="28" t="s">
        <v>195</v>
      </c>
      <c r="U102" s="28" t="s">
        <v>195</v>
      </c>
      <c r="V102" s="28" t="s">
        <v>195</v>
      </c>
      <c r="W102" s="28" t="s">
        <v>195</v>
      </c>
      <c r="X102" s="28" t="s">
        <v>195</v>
      </c>
      <c r="Y102" s="28" t="s">
        <v>195</v>
      </c>
      <c r="Z102" s="28" t="s">
        <v>195</v>
      </c>
      <c r="AA102" s="28" t="s">
        <v>195</v>
      </c>
      <c r="AB102" s="97" t="s">
        <v>195</v>
      </c>
      <c r="AC102" s="90" t="s">
        <v>195</v>
      </c>
      <c r="AD102" s="97" t="s">
        <v>195</v>
      </c>
      <c r="AE102" s="126" t="s">
        <v>195</v>
      </c>
      <c r="AF102" s="267" t="s">
        <v>195</v>
      </c>
      <c r="AG102" s="140" t="s">
        <v>195</v>
      </c>
      <c r="AH102" s="97" t="s">
        <v>195</v>
      </c>
      <c r="AI102" s="94" t="s">
        <v>195</v>
      </c>
      <c r="AJ102" s="95" t="s">
        <v>195</v>
      </c>
      <c r="AK102" s="94" t="s">
        <v>195</v>
      </c>
    </row>
    <row r="103" spans="1:37" x14ac:dyDescent="0.25">
      <c r="A103" s="201" t="s">
        <v>68</v>
      </c>
      <c r="B103" s="202" t="s">
        <v>31</v>
      </c>
      <c r="C103" s="265" t="s">
        <v>90</v>
      </c>
      <c r="D103" s="203" t="s">
        <v>33</v>
      </c>
      <c r="E103" s="203" t="s">
        <v>191</v>
      </c>
      <c r="F103" s="201" t="s">
        <v>179</v>
      </c>
      <c r="G103" s="201" t="s">
        <v>147</v>
      </c>
      <c r="H103" s="207" t="s">
        <v>180</v>
      </c>
      <c r="I103" s="208" t="s">
        <v>218</v>
      </c>
      <c r="J103" s="209" t="s">
        <v>365</v>
      </c>
      <c r="K103" s="199" t="s">
        <v>150</v>
      </c>
      <c r="L103" s="210" t="s">
        <v>366</v>
      </c>
      <c r="M103" s="199" t="s">
        <v>150</v>
      </c>
      <c r="N103" s="210" t="s">
        <v>367</v>
      </c>
      <c r="O103" s="199" t="s">
        <v>150</v>
      </c>
      <c r="P103" s="210" t="s">
        <v>368</v>
      </c>
      <c r="Q103" s="199" t="s">
        <v>150</v>
      </c>
      <c r="R103" s="210" t="s">
        <v>369</v>
      </c>
      <c r="S103" s="199" t="s">
        <v>150</v>
      </c>
      <c r="T103" s="199" t="s">
        <v>195</v>
      </c>
      <c r="U103" s="199" t="s">
        <v>195</v>
      </c>
      <c r="V103" s="199" t="s">
        <v>195</v>
      </c>
      <c r="W103" s="199" t="s">
        <v>195</v>
      </c>
      <c r="X103" s="199" t="s">
        <v>195</v>
      </c>
      <c r="Y103" s="199" t="s">
        <v>195</v>
      </c>
      <c r="Z103" s="210" t="s">
        <v>370</v>
      </c>
      <c r="AA103" s="199" t="s">
        <v>150</v>
      </c>
      <c r="AB103" s="210">
        <v>62</v>
      </c>
      <c r="AC103" s="199" t="s">
        <v>150</v>
      </c>
      <c r="AD103" s="160">
        <v>50</v>
      </c>
      <c r="AE103" s="199" t="s">
        <v>150</v>
      </c>
      <c r="AF103" s="95">
        <v>63</v>
      </c>
      <c r="AG103" s="199" t="s">
        <v>150</v>
      </c>
      <c r="AH103" s="97" t="s">
        <v>195</v>
      </c>
      <c r="AI103" s="97" t="s">
        <v>195</v>
      </c>
      <c r="AJ103" s="93">
        <v>55</v>
      </c>
      <c r="AK103" s="199" t="s">
        <v>150</v>
      </c>
    </row>
    <row r="104" spans="1:37" x14ac:dyDescent="0.25">
      <c r="A104" s="21" t="s">
        <v>68</v>
      </c>
      <c r="B104" s="5" t="s">
        <v>31</v>
      </c>
      <c r="C104" s="76" t="s">
        <v>90</v>
      </c>
      <c r="D104" s="26" t="s">
        <v>33</v>
      </c>
      <c r="E104" s="26" t="s">
        <v>191</v>
      </c>
      <c r="F104" s="21" t="s">
        <v>179</v>
      </c>
      <c r="G104" s="21" t="s">
        <v>147</v>
      </c>
      <c r="H104" s="27" t="s">
        <v>197</v>
      </c>
      <c r="I104" s="11" t="s">
        <v>311</v>
      </c>
      <c r="J104" s="54" t="s">
        <v>371</v>
      </c>
      <c r="K104" s="28" t="s">
        <v>150</v>
      </c>
      <c r="L104" s="17" t="s">
        <v>297</v>
      </c>
      <c r="M104" s="28" t="s">
        <v>150</v>
      </c>
      <c r="N104" s="17" t="s">
        <v>372</v>
      </c>
      <c r="O104" s="28" t="s">
        <v>194</v>
      </c>
      <c r="P104" s="17" t="s">
        <v>373</v>
      </c>
      <c r="Q104" s="28" t="s">
        <v>150</v>
      </c>
      <c r="R104" s="17" t="s">
        <v>372</v>
      </c>
      <c r="S104" s="28" t="s">
        <v>194</v>
      </c>
      <c r="T104" s="28" t="s">
        <v>195</v>
      </c>
      <c r="U104" s="28" t="s">
        <v>195</v>
      </c>
      <c r="V104" s="28" t="s">
        <v>195</v>
      </c>
      <c r="W104" s="28" t="s">
        <v>195</v>
      </c>
      <c r="X104" s="28" t="s">
        <v>195</v>
      </c>
      <c r="Y104" s="28" t="s">
        <v>195</v>
      </c>
      <c r="Z104" s="17" t="s">
        <v>322</v>
      </c>
      <c r="AA104" s="28" t="s">
        <v>150</v>
      </c>
      <c r="AB104" s="17">
        <v>37</v>
      </c>
      <c r="AC104" s="28" t="s">
        <v>150</v>
      </c>
      <c r="AD104" s="97">
        <v>32</v>
      </c>
      <c r="AE104" s="28" t="s">
        <v>150</v>
      </c>
      <c r="AF104" s="95">
        <v>37</v>
      </c>
      <c r="AG104" s="199" t="s">
        <v>150</v>
      </c>
      <c r="AH104" s="97" t="s">
        <v>195</v>
      </c>
      <c r="AI104" s="97" t="s">
        <v>195</v>
      </c>
      <c r="AJ104" s="93">
        <v>35</v>
      </c>
      <c r="AK104" s="199" t="s">
        <v>150</v>
      </c>
    </row>
    <row r="105" spans="1:37" x14ac:dyDescent="0.25">
      <c r="A105" s="21" t="s">
        <v>68</v>
      </c>
      <c r="B105" s="5" t="s">
        <v>31</v>
      </c>
      <c r="C105" s="76" t="s">
        <v>90</v>
      </c>
      <c r="D105" s="26" t="s">
        <v>33</v>
      </c>
      <c r="E105" s="26" t="s">
        <v>191</v>
      </c>
      <c r="F105" s="21" t="s">
        <v>179</v>
      </c>
      <c r="G105" s="21" t="s">
        <v>147</v>
      </c>
      <c r="H105" s="21" t="s">
        <v>207</v>
      </c>
      <c r="I105" s="11">
        <v>0.3</v>
      </c>
      <c r="J105" s="45">
        <v>0.45714285714285713</v>
      </c>
      <c r="K105" s="28" t="s">
        <v>194</v>
      </c>
      <c r="L105" s="45">
        <v>0.3</v>
      </c>
      <c r="M105" s="28" t="s">
        <v>150</v>
      </c>
      <c r="N105" s="45">
        <v>0.1951219512195122</v>
      </c>
      <c r="O105" s="28" t="s">
        <v>150</v>
      </c>
      <c r="P105" s="45">
        <v>0.1951219512195122</v>
      </c>
      <c r="Q105" s="28" t="s">
        <v>150</v>
      </c>
      <c r="R105" s="45">
        <v>0.19148936170212766</v>
      </c>
      <c r="S105" s="28" t="s">
        <v>150</v>
      </c>
      <c r="T105" s="28" t="s">
        <v>195</v>
      </c>
      <c r="U105" s="28" t="s">
        <v>195</v>
      </c>
      <c r="V105" s="28" t="s">
        <v>195</v>
      </c>
      <c r="W105" s="28" t="s">
        <v>195</v>
      </c>
      <c r="X105" s="28" t="s">
        <v>195</v>
      </c>
      <c r="Y105" s="28" t="s">
        <v>195</v>
      </c>
      <c r="Z105" s="45">
        <v>0.34146341463414637</v>
      </c>
      <c r="AA105" s="28" t="s">
        <v>194</v>
      </c>
      <c r="AB105" s="45">
        <v>0.36170212765957449</v>
      </c>
      <c r="AC105" s="28" t="s">
        <v>194</v>
      </c>
      <c r="AD105" s="128">
        <v>0.49</v>
      </c>
      <c r="AE105" s="28" t="s">
        <v>194</v>
      </c>
      <c r="AF105" s="102">
        <v>0.46</v>
      </c>
      <c r="AG105" s="28" t="s">
        <v>194</v>
      </c>
      <c r="AH105" s="97" t="s">
        <v>195</v>
      </c>
      <c r="AI105" s="271" t="s">
        <v>195</v>
      </c>
      <c r="AJ105" s="130">
        <v>0.49</v>
      </c>
      <c r="AK105" s="28" t="s">
        <v>194</v>
      </c>
    </row>
    <row r="106" spans="1:37" x14ac:dyDescent="0.25">
      <c r="A106" s="21" t="s">
        <v>68</v>
      </c>
      <c r="B106" s="5" t="s">
        <v>31</v>
      </c>
      <c r="C106" s="76" t="s">
        <v>90</v>
      </c>
      <c r="D106" s="26" t="s">
        <v>33</v>
      </c>
      <c r="E106" s="26" t="s">
        <v>191</v>
      </c>
      <c r="F106" s="21" t="s">
        <v>179</v>
      </c>
      <c r="G106" s="21" t="s">
        <v>147</v>
      </c>
      <c r="H106" s="27" t="s">
        <v>186</v>
      </c>
      <c r="I106" s="15">
        <v>0.6</v>
      </c>
      <c r="J106" s="45">
        <v>0.78289473684210531</v>
      </c>
      <c r="K106" s="28" t="s">
        <v>150</v>
      </c>
      <c r="L106" s="45">
        <v>0.77</v>
      </c>
      <c r="M106" s="28" t="s">
        <v>150</v>
      </c>
      <c r="N106" s="45">
        <v>0.59</v>
      </c>
      <c r="O106" s="28" t="s">
        <v>194</v>
      </c>
      <c r="P106" s="45">
        <v>0.73</v>
      </c>
      <c r="Q106" s="28" t="s">
        <v>150</v>
      </c>
      <c r="R106" s="45">
        <v>0.78</v>
      </c>
      <c r="S106" s="28" t="s">
        <v>150</v>
      </c>
      <c r="T106" s="28" t="s">
        <v>195</v>
      </c>
      <c r="U106" s="28" t="s">
        <v>195</v>
      </c>
      <c r="V106" s="28" t="s">
        <v>195</v>
      </c>
      <c r="W106" s="28" t="s">
        <v>195</v>
      </c>
      <c r="X106" s="28" t="s">
        <v>195</v>
      </c>
      <c r="Y106" s="28" t="s">
        <v>195</v>
      </c>
      <c r="Z106" s="45">
        <v>0.83582089552238803</v>
      </c>
      <c r="AA106" s="28" t="s">
        <v>150</v>
      </c>
      <c r="AB106" s="45">
        <v>0.84528301886792456</v>
      </c>
      <c r="AC106" s="28" t="s">
        <v>150</v>
      </c>
      <c r="AD106" s="126">
        <v>0.79</v>
      </c>
      <c r="AE106" s="28" t="s">
        <v>150</v>
      </c>
      <c r="AF106" s="102">
        <v>0.83</v>
      </c>
      <c r="AG106" s="199" t="s">
        <v>150</v>
      </c>
      <c r="AH106" s="97" t="s">
        <v>195</v>
      </c>
      <c r="AI106" s="94" t="s">
        <v>195</v>
      </c>
      <c r="AJ106" s="130">
        <v>0.76</v>
      </c>
      <c r="AK106" s="199" t="s">
        <v>150</v>
      </c>
    </row>
    <row r="107" spans="1:37" x14ac:dyDescent="0.25">
      <c r="A107" s="21" t="s">
        <v>68</v>
      </c>
      <c r="B107" s="5" t="s">
        <v>31</v>
      </c>
      <c r="C107" s="76" t="s">
        <v>90</v>
      </c>
      <c r="D107" s="26" t="s">
        <v>33</v>
      </c>
      <c r="E107" s="26" t="s">
        <v>191</v>
      </c>
      <c r="F107" s="21" t="s">
        <v>179</v>
      </c>
      <c r="G107" s="21" t="s">
        <v>147</v>
      </c>
      <c r="H107" s="27" t="s">
        <v>188</v>
      </c>
      <c r="I107" s="15">
        <v>0.2</v>
      </c>
      <c r="J107" s="45">
        <v>0.125</v>
      </c>
      <c r="K107" s="28" t="s">
        <v>194</v>
      </c>
      <c r="L107" s="45">
        <v>0.1095890410958904</v>
      </c>
      <c r="M107" s="28" t="s">
        <v>194</v>
      </c>
      <c r="N107" s="45">
        <v>0.19</v>
      </c>
      <c r="O107" s="28" t="s">
        <v>194</v>
      </c>
      <c r="P107" s="45">
        <v>0.16</v>
      </c>
      <c r="Q107" s="28" t="s">
        <v>194</v>
      </c>
      <c r="R107" s="45">
        <v>0.19</v>
      </c>
      <c r="S107" s="28" t="s">
        <v>194</v>
      </c>
      <c r="T107" s="28" t="s">
        <v>195</v>
      </c>
      <c r="U107" s="28" t="s">
        <v>195</v>
      </c>
      <c r="V107" s="28" t="s">
        <v>195</v>
      </c>
      <c r="W107" s="28" t="s">
        <v>195</v>
      </c>
      <c r="X107" s="28" t="s">
        <v>195</v>
      </c>
      <c r="Y107" s="28" t="s">
        <v>195</v>
      </c>
      <c r="Z107" s="45">
        <v>0.16417910447761194</v>
      </c>
      <c r="AA107" s="28" t="s">
        <v>194</v>
      </c>
      <c r="AB107" s="45">
        <v>9.4696969696969696E-2</v>
      </c>
      <c r="AC107" s="28" t="s">
        <v>194</v>
      </c>
      <c r="AD107" s="126">
        <v>0.13</v>
      </c>
      <c r="AE107" s="28" t="s">
        <v>194</v>
      </c>
      <c r="AF107" s="102">
        <v>0.11</v>
      </c>
      <c r="AG107" s="28" t="s">
        <v>194</v>
      </c>
      <c r="AH107" s="97" t="s">
        <v>195</v>
      </c>
      <c r="AI107" s="94" t="s">
        <v>195</v>
      </c>
      <c r="AJ107" s="130">
        <v>0.21</v>
      </c>
      <c r="AK107" s="199" t="s">
        <v>150</v>
      </c>
    </row>
    <row r="108" spans="1:37" x14ac:dyDescent="0.25">
      <c r="A108" s="21" t="s">
        <v>68</v>
      </c>
      <c r="B108" s="5" t="s">
        <v>31</v>
      </c>
      <c r="C108" s="76" t="s">
        <v>90</v>
      </c>
      <c r="D108" s="26" t="s">
        <v>33</v>
      </c>
      <c r="E108" s="26" t="s">
        <v>191</v>
      </c>
      <c r="F108" s="21" t="s">
        <v>179</v>
      </c>
      <c r="G108" s="21" t="s">
        <v>147</v>
      </c>
      <c r="H108" s="21" t="s">
        <v>189</v>
      </c>
      <c r="I108" s="15">
        <v>0.15</v>
      </c>
      <c r="J108" s="18">
        <v>0.15789473684210525</v>
      </c>
      <c r="K108" s="28" t="s">
        <v>194</v>
      </c>
      <c r="L108" s="18">
        <v>0.15625</v>
      </c>
      <c r="M108" s="28" t="s">
        <v>194</v>
      </c>
      <c r="N108" s="18">
        <v>0.13636363636363635</v>
      </c>
      <c r="O108" s="28" t="s">
        <v>150</v>
      </c>
      <c r="P108" s="18">
        <v>0.15217391304347827</v>
      </c>
      <c r="Q108" s="28" t="s">
        <v>150</v>
      </c>
      <c r="R108" s="18">
        <v>0.1</v>
      </c>
      <c r="S108" s="28" t="s">
        <v>150</v>
      </c>
      <c r="T108" s="28" t="s">
        <v>195</v>
      </c>
      <c r="U108" s="28" t="s">
        <v>195</v>
      </c>
      <c r="V108" s="28" t="s">
        <v>195</v>
      </c>
      <c r="W108" s="28" t="s">
        <v>195</v>
      </c>
      <c r="X108" s="28" t="s">
        <v>195</v>
      </c>
      <c r="Y108" s="28" t="s">
        <v>195</v>
      </c>
      <c r="Z108" s="18">
        <v>0.13636363636363635</v>
      </c>
      <c r="AA108" s="28" t="s">
        <v>150</v>
      </c>
      <c r="AB108" s="45">
        <v>5.5555555555555552E-2</v>
      </c>
      <c r="AC108" s="28" t="s">
        <v>150</v>
      </c>
      <c r="AD108" s="126">
        <v>0.06</v>
      </c>
      <c r="AE108" s="28" t="s">
        <v>150</v>
      </c>
      <c r="AF108" s="102">
        <v>0</v>
      </c>
      <c r="AG108" s="199" t="s">
        <v>150</v>
      </c>
      <c r="AH108" s="97" t="s">
        <v>195</v>
      </c>
      <c r="AI108" s="94" t="s">
        <v>195</v>
      </c>
      <c r="AJ108" s="96">
        <v>0.1</v>
      </c>
      <c r="AK108" s="199" t="s">
        <v>150</v>
      </c>
    </row>
    <row r="109" spans="1:37" x14ac:dyDescent="0.25">
      <c r="A109" s="21" t="s">
        <v>68</v>
      </c>
      <c r="B109" s="5" t="s">
        <v>31</v>
      </c>
      <c r="C109" s="76" t="s">
        <v>90</v>
      </c>
      <c r="D109" s="26" t="s">
        <v>33</v>
      </c>
      <c r="E109" s="26" t="s">
        <v>191</v>
      </c>
      <c r="F109" s="21" t="s">
        <v>179</v>
      </c>
      <c r="G109" s="21" t="s">
        <v>147</v>
      </c>
      <c r="H109" s="27" t="s">
        <v>190</v>
      </c>
      <c r="I109" s="15">
        <v>0.8</v>
      </c>
      <c r="J109" s="18">
        <v>0.49</v>
      </c>
      <c r="K109" s="28" t="s">
        <v>194</v>
      </c>
      <c r="L109" s="18">
        <v>0.33</v>
      </c>
      <c r="M109" s="28" t="s">
        <v>194</v>
      </c>
      <c r="N109" s="18">
        <v>0.76</v>
      </c>
      <c r="O109" s="28" t="s">
        <v>194</v>
      </c>
      <c r="P109" s="18">
        <v>0.55000000000000004</v>
      </c>
      <c r="Q109" s="28" t="s">
        <v>194</v>
      </c>
      <c r="R109" s="18">
        <v>0.71</v>
      </c>
      <c r="S109" s="28" t="s">
        <v>194</v>
      </c>
      <c r="T109" s="28" t="s">
        <v>195</v>
      </c>
      <c r="U109" s="28" t="s">
        <v>195</v>
      </c>
      <c r="V109" s="28" t="s">
        <v>195</v>
      </c>
      <c r="W109" s="28" t="s">
        <v>195</v>
      </c>
      <c r="X109" s="28" t="s">
        <v>195</v>
      </c>
      <c r="Y109" s="28" t="s">
        <v>195</v>
      </c>
      <c r="Z109" s="18">
        <v>0.86</v>
      </c>
      <c r="AA109" s="28" t="s">
        <v>150</v>
      </c>
      <c r="AB109" s="45">
        <v>0.44117647058823528</v>
      </c>
      <c r="AC109" s="28" t="s">
        <v>194</v>
      </c>
      <c r="AD109" s="126">
        <v>0.23</v>
      </c>
      <c r="AE109" s="28" t="s">
        <v>194</v>
      </c>
      <c r="AF109" s="102">
        <v>0.46</v>
      </c>
      <c r="AG109" s="28" t="s">
        <v>194</v>
      </c>
      <c r="AH109" s="97" t="s">
        <v>195</v>
      </c>
      <c r="AI109" s="94" t="s">
        <v>195</v>
      </c>
      <c r="AJ109" s="96">
        <v>0.75</v>
      </c>
      <c r="AK109" s="28" t="s">
        <v>194</v>
      </c>
    </row>
    <row r="110" spans="1:37" x14ac:dyDescent="0.25">
      <c r="A110" s="21" t="s">
        <v>81</v>
      </c>
      <c r="B110" s="5" t="s">
        <v>23</v>
      </c>
      <c r="C110" s="76" t="s">
        <v>24</v>
      </c>
      <c r="D110" s="26" t="s">
        <v>46</v>
      </c>
      <c r="E110" s="26" t="s">
        <v>145</v>
      </c>
      <c r="F110" s="21" t="s">
        <v>179</v>
      </c>
      <c r="G110" s="21" t="s">
        <v>147</v>
      </c>
      <c r="H110" s="26" t="s">
        <v>180</v>
      </c>
      <c r="I110" s="14" t="s">
        <v>306</v>
      </c>
      <c r="J110" s="17" t="s">
        <v>154</v>
      </c>
      <c r="K110" s="17" t="s">
        <v>154</v>
      </c>
      <c r="L110" s="17" t="s">
        <v>154</v>
      </c>
      <c r="M110" s="15" t="s">
        <v>154</v>
      </c>
      <c r="N110" s="17" t="s">
        <v>154</v>
      </c>
      <c r="O110" s="15" t="s">
        <v>154</v>
      </c>
      <c r="P110" s="17" t="s">
        <v>154</v>
      </c>
      <c r="Q110" s="15" t="s">
        <v>154</v>
      </c>
      <c r="R110" s="17" t="s">
        <v>154</v>
      </c>
      <c r="S110" s="15" t="s">
        <v>154</v>
      </c>
      <c r="T110" s="17" t="s">
        <v>154</v>
      </c>
      <c r="U110" s="15" t="s">
        <v>154</v>
      </c>
      <c r="V110" s="17" t="s">
        <v>154</v>
      </c>
      <c r="W110" s="15" t="s">
        <v>154</v>
      </c>
      <c r="X110" s="17" t="s">
        <v>154</v>
      </c>
      <c r="Y110" s="15" t="s">
        <v>154</v>
      </c>
      <c r="Z110" s="17" t="s">
        <v>154</v>
      </c>
      <c r="AA110" s="15" t="s">
        <v>154</v>
      </c>
      <c r="AB110" s="93" t="s">
        <v>154</v>
      </c>
      <c r="AC110" s="15" t="s">
        <v>154</v>
      </c>
      <c r="AD110" s="97" t="str">
        <f t="shared" ref="AD110:AD116" si="1">IF(AC110="NA","NA",IF(AC110="Not Reported","Not Reported",IF(AC110&gt;$L$323,"Not Met","Met")))</f>
        <v>NA</v>
      </c>
      <c r="AE110" s="97" t="s">
        <v>154</v>
      </c>
      <c r="AF110" s="93" t="s">
        <v>154</v>
      </c>
      <c r="AG110" s="97" t="s">
        <v>154</v>
      </c>
      <c r="AH110" s="93" t="s">
        <v>154</v>
      </c>
      <c r="AI110" s="97" t="s">
        <v>154</v>
      </c>
      <c r="AJ110" s="93" t="s">
        <v>154</v>
      </c>
      <c r="AK110" s="97" t="s">
        <v>154</v>
      </c>
    </row>
    <row r="111" spans="1:37" x14ac:dyDescent="0.25">
      <c r="A111" s="21" t="s">
        <v>81</v>
      </c>
      <c r="B111" s="5" t="s">
        <v>23</v>
      </c>
      <c r="C111" s="76" t="s">
        <v>24</v>
      </c>
      <c r="D111" s="26" t="s">
        <v>46</v>
      </c>
      <c r="E111" s="26" t="s">
        <v>145</v>
      </c>
      <c r="F111" s="21" t="s">
        <v>179</v>
      </c>
      <c r="G111" s="21" t="s">
        <v>147</v>
      </c>
      <c r="H111" s="26" t="s">
        <v>197</v>
      </c>
      <c r="I111" s="14" t="s">
        <v>385</v>
      </c>
      <c r="J111" s="17" t="s">
        <v>154</v>
      </c>
      <c r="K111" s="17" t="s">
        <v>154</v>
      </c>
      <c r="L111" s="17" t="s">
        <v>154</v>
      </c>
      <c r="M111" s="15" t="s">
        <v>154</v>
      </c>
      <c r="N111" s="17" t="s">
        <v>154</v>
      </c>
      <c r="O111" s="15" t="s">
        <v>154</v>
      </c>
      <c r="P111" s="17" t="s">
        <v>154</v>
      </c>
      <c r="Q111" s="15" t="s">
        <v>154</v>
      </c>
      <c r="R111" s="17" t="s">
        <v>154</v>
      </c>
      <c r="S111" s="15" t="s">
        <v>154</v>
      </c>
      <c r="T111" s="17" t="s">
        <v>154</v>
      </c>
      <c r="U111" s="15" t="s">
        <v>154</v>
      </c>
      <c r="V111" s="17" t="s">
        <v>154</v>
      </c>
      <c r="W111" s="15" t="s">
        <v>154</v>
      </c>
      <c r="X111" s="17" t="s">
        <v>154</v>
      </c>
      <c r="Y111" s="15" t="s">
        <v>154</v>
      </c>
      <c r="Z111" s="17" t="s">
        <v>154</v>
      </c>
      <c r="AA111" s="15" t="s">
        <v>154</v>
      </c>
      <c r="AB111" s="93" t="s">
        <v>154</v>
      </c>
      <c r="AC111" s="15" t="s">
        <v>154</v>
      </c>
      <c r="AD111" s="97" t="str">
        <f t="shared" si="1"/>
        <v>NA</v>
      </c>
      <c r="AE111" s="97" t="s">
        <v>154</v>
      </c>
      <c r="AF111" s="93" t="s">
        <v>154</v>
      </c>
      <c r="AG111" s="97" t="s">
        <v>154</v>
      </c>
      <c r="AH111" s="93" t="s">
        <v>154</v>
      </c>
      <c r="AI111" s="97" t="s">
        <v>154</v>
      </c>
      <c r="AJ111" s="93" t="s">
        <v>154</v>
      </c>
      <c r="AK111" s="97" t="s">
        <v>154</v>
      </c>
    </row>
    <row r="112" spans="1:37" x14ac:dyDescent="0.25">
      <c r="A112" s="21" t="s">
        <v>81</v>
      </c>
      <c r="B112" s="5" t="s">
        <v>23</v>
      </c>
      <c r="C112" s="76" t="s">
        <v>24</v>
      </c>
      <c r="D112" s="26" t="s">
        <v>46</v>
      </c>
      <c r="E112" s="26" t="s">
        <v>145</v>
      </c>
      <c r="F112" s="21" t="s">
        <v>179</v>
      </c>
      <c r="G112" s="21" t="s">
        <v>147</v>
      </c>
      <c r="H112" s="26" t="s">
        <v>207</v>
      </c>
      <c r="I112" s="11">
        <v>0.2</v>
      </c>
      <c r="J112" s="17" t="s">
        <v>154</v>
      </c>
      <c r="K112" s="17" t="s">
        <v>154</v>
      </c>
      <c r="L112" s="17" t="s">
        <v>154</v>
      </c>
      <c r="M112" s="15" t="s">
        <v>154</v>
      </c>
      <c r="N112" s="17" t="s">
        <v>154</v>
      </c>
      <c r="O112" s="15" t="s">
        <v>154</v>
      </c>
      <c r="P112" s="17" t="s">
        <v>154</v>
      </c>
      <c r="Q112" s="15" t="s">
        <v>154</v>
      </c>
      <c r="R112" s="17" t="s">
        <v>154</v>
      </c>
      <c r="S112" s="15" t="s">
        <v>154</v>
      </c>
      <c r="T112" s="17" t="s">
        <v>154</v>
      </c>
      <c r="U112" s="15" t="s">
        <v>154</v>
      </c>
      <c r="V112" s="17" t="s">
        <v>154</v>
      </c>
      <c r="W112" s="15" t="s">
        <v>154</v>
      </c>
      <c r="X112" s="17" t="s">
        <v>154</v>
      </c>
      <c r="Y112" s="15" t="s">
        <v>154</v>
      </c>
      <c r="Z112" s="17" t="s">
        <v>154</v>
      </c>
      <c r="AA112" s="15" t="s">
        <v>154</v>
      </c>
      <c r="AB112" s="93" t="s">
        <v>154</v>
      </c>
      <c r="AC112" s="15" t="s">
        <v>154</v>
      </c>
      <c r="AD112" s="97" t="str">
        <f t="shared" si="1"/>
        <v>NA</v>
      </c>
      <c r="AE112" s="127" t="s">
        <v>154</v>
      </c>
      <c r="AF112" s="93" t="s">
        <v>154</v>
      </c>
      <c r="AG112" s="97" t="s">
        <v>154</v>
      </c>
      <c r="AH112" s="93" t="s">
        <v>154</v>
      </c>
      <c r="AI112" s="271" t="s">
        <v>154</v>
      </c>
      <c r="AJ112" s="93" t="s">
        <v>154</v>
      </c>
      <c r="AK112" s="271" t="s">
        <v>154</v>
      </c>
    </row>
    <row r="113" spans="1:38" x14ac:dyDescent="0.25">
      <c r="A113" s="21" t="s">
        <v>81</v>
      </c>
      <c r="B113" s="5" t="s">
        <v>23</v>
      </c>
      <c r="C113" s="76" t="s">
        <v>24</v>
      </c>
      <c r="D113" s="26" t="s">
        <v>46</v>
      </c>
      <c r="E113" s="26" t="s">
        <v>145</v>
      </c>
      <c r="F113" s="21" t="s">
        <v>179</v>
      </c>
      <c r="G113" s="21" t="s">
        <v>147</v>
      </c>
      <c r="H113" s="26" t="s">
        <v>186</v>
      </c>
      <c r="I113" s="11">
        <v>0.65</v>
      </c>
      <c r="J113" s="17" t="s">
        <v>154</v>
      </c>
      <c r="K113" s="17" t="s">
        <v>154</v>
      </c>
      <c r="L113" s="17" t="s">
        <v>154</v>
      </c>
      <c r="M113" s="15" t="s">
        <v>154</v>
      </c>
      <c r="N113" s="17" t="s">
        <v>154</v>
      </c>
      <c r="O113" s="15" t="s">
        <v>154</v>
      </c>
      <c r="P113" s="17" t="s">
        <v>154</v>
      </c>
      <c r="Q113" s="15" t="s">
        <v>154</v>
      </c>
      <c r="R113" s="17" t="s">
        <v>154</v>
      </c>
      <c r="S113" s="15" t="s">
        <v>154</v>
      </c>
      <c r="T113" s="17" t="s">
        <v>154</v>
      </c>
      <c r="U113" s="15" t="s">
        <v>154</v>
      </c>
      <c r="V113" s="17" t="s">
        <v>154</v>
      </c>
      <c r="W113" s="15" t="s">
        <v>154</v>
      </c>
      <c r="X113" s="17" t="s">
        <v>154</v>
      </c>
      <c r="Y113" s="15" t="s">
        <v>154</v>
      </c>
      <c r="Z113" s="17" t="s">
        <v>154</v>
      </c>
      <c r="AA113" s="15" t="s">
        <v>154</v>
      </c>
      <c r="AB113" s="93" t="s">
        <v>154</v>
      </c>
      <c r="AC113" s="15" t="s">
        <v>154</v>
      </c>
      <c r="AD113" s="97" t="str">
        <f t="shared" si="1"/>
        <v>NA</v>
      </c>
      <c r="AE113" s="126" t="s">
        <v>154</v>
      </c>
      <c r="AF113" s="93" t="s">
        <v>154</v>
      </c>
      <c r="AG113" s="97" t="s">
        <v>154</v>
      </c>
      <c r="AH113" s="93" t="s">
        <v>154</v>
      </c>
      <c r="AI113" s="94" t="s">
        <v>154</v>
      </c>
      <c r="AJ113" s="93" t="s">
        <v>154</v>
      </c>
      <c r="AK113" s="94" t="s">
        <v>154</v>
      </c>
    </row>
    <row r="114" spans="1:38" x14ac:dyDescent="0.25">
      <c r="A114" s="21" t="s">
        <v>81</v>
      </c>
      <c r="B114" s="5" t="s">
        <v>23</v>
      </c>
      <c r="C114" s="76" t="s">
        <v>24</v>
      </c>
      <c r="D114" s="26" t="s">
        <v>46</v>
      </c>
      <c r="E114" s="26" t="s">
        <v>145</v>
      </c>
      <c r="F114" s="21" t="s">
        <v>179</v>
      </c>
      <c r="G114" s="21" t="s">
        <v>147</v>
      </c>
      <c r="H114" s="26" t="s">
        <v>188</v>
      </c>
      <c r="I114" s="11">
        <v>0.2</v>
      </c>
      <c r="J114" s="17" t="s">
        <v>154</v>
      </c>
      <c r="K114" s="17" t="s">
        <v>154</v>
      </c>
      <c r="L114" s="17" t="s">
        <v>154</v>
      </c>
      <c r="M114" s="15" t="s">
        <v>154</v>
      </c>
      <c r="N114" s="17" t="s">
        <v>154</v>
      </c>
      <c r="O114" s="15" t="s">
        <v>154</v>
      </c>
      <c r="P114" s="17" t="s">
        <v>154</v>
      </c>
      <c r="Q114" s="15" t="s">
        <v>154</v>
      </c>
      <c r="R114" s="17" t="s">
        <v>154</v>
      </c>
      <c r="S114" s="15" t="s">
        <v>154</v>
      </c>
      <c r="T114" s="17" t="s">
        <v>154</v>
      </c>
      <c r="U114" s="15" t="s">
        <v>154</v>
      </c>
      <c r="V114" s="17" t="s">
        <v>154</v>
      </c>
      <c r="W114" s="15" t="s">
        <v>154</v>
      </c>
      <c r="X114" s="17" t="s">
        <v>154</v>
      </c>
      <c r="Y114" s="15" t="s">
        <v>154</v>
      </c>
      <c r="Z114" s="17" t="s">
        <v>154</v>
      </c>
      <c r="AA114" s="15" t="s">
        <v>154</v>
      </c>
      <c r="AB114" s="93" t="s">
        <v>154</v>
      </c>
      <c r="AC114" s="15" t="s">
        <v>154</v>
      </c>
      <c r="AD114" s="97" t="str">
        <f t="shared" si="1"/>
        <v>NA</v>
      </c>
      <c r="AE114" s="126" t="s">
        <v>154</v>
      </c>
      <c r="AF114" s="93" t="s">
        <v>154</v>
      </c>
      <c r="AG114" s="97" t="s">
        <v>154</v>
      </c>
      <c r="AH114" s="93" t="s">
        <v>154</v>
      </c>
      <c r="AI114" s="94" t="s">
        <v>154</v>
      </c>
      <c r="AJ114" s="93" t="s">
        <v>154</v>
      </c>
      <c r="AK114" s="94" t="s">
        <v>154</v>
      </c>
    </row>
    <row r="115" spans="1:38" x14ac:dyDescent="0.25">
      <c r="A115" s="21" t="s">
        <v>81</v>
      </c>
      <c r="B115" s="5" t="s">
        <v>23</v>
      </c>
      <c r="C115" s="76" t="s">
        <v>24</v>
      </c>
      <c r="D115" s="26" t="s">
        <v>46</v>
      </c>
      <c r="E115" s="26" t="s">
        <v>145</v>
      </c>
      <c r="F115" s="21" t="s">
        <v>179</v>
      </c>
      <c r="G115" s="21" t="s">
        <v>147</v>
      </c>
      <c r="H115" s="26" t="s">
        <v>189</v>
      </c>
      <c r="I115" s="11">
        <v>0.2</v>
      </c>
      <c r="J115" s="17" t="s">
        <v>154</v>
      </c>
      <c r="K115" s="17" t="s">
        <v>154</v>
      </c>
      <c r="L115" s="17" t="s">
        <v>154</v>
      </c>
      <c r="M115" s="15" t="s">
        <v>154</v>
      </c>
      <c r="N115" s="17" t="s">
        <v>154</v>
      </c>
      <c r="O115" s="15" t="s">
        <v>154</v>
      </c>
      <c r="P115" s="17" t="s">
        <v>154</v>
      </c>
      <c r="Q115" s="15" t="s">
        <v>154</v>
      </c>
      <c r="R115" s="17" t="s">
        <v>154</v>
      </c>
      <c r="S115" s="15" t="s">
        <v>154</v>
      </c>
      <c r="T115" s="17" t="s">
        <v>154</v>
      </c>
      <c r="U115" s="15" t="s">
        <v>154</v>
      </c>
      <c r="V115" s="17" t="s">
        <v>154</v>
      </c>
      <c r="W115" s="15" t="s">
        <v>154</v>
      </c>
      <c r="X115" s="17" t="s">
        <v>154</v>
      </c>
      <c r="Y115" s="15" t="s">
        <v>154</v>
      </c>
      <c r="Z115" s="17" t="s">
        <v>154</v>
      </c>
      <c r="AA115" s="15" t="s">
        <v>154</v>
      </c>
      <c r="AB115" s="93" t="s">
        <v>154</v>
      </c>
      <c r="AC115" s="15" t="s">
        <v>154</v>
      </c>
      <c r="AD115" s="97" t="str">
        <f t="shared" si="1"/>
        <v>NA</v>
      </c>
      <c r="AE115" s="126" t="s">
        <v>154</v>
      </c>
      <c r="AF115" s="93" t="s">
        <v>154</v>
      </c>
      <c r="AG115" s="97" t="s">
        <v>154</v>
      </c>
      <c r="AH115" s="93" t="s">
        <v>154</v>
      </c>
      <c r="AI115" s="94" t="s">
        <v>154</v>
      </c>
      <c r="AJ115" s="93" t="s">
        <v>154</v>
      </c>
      <c r="AK115" s="94" t="s">
        <v>154</v>
      </c>
    </row>
    <row r="116" spans="1:38" x14ac:dyDescent="0.25">
      <c r="A116" s="21" t="s">
        <v>81</v>
      </c>
      <c r="B116" s="5" t="s">
        <v>23</v>
      </c>
      <c r="C116" s="76" t="s">
        <v>24</v>
      </c>
      <c r="D116" s="26" t="s">
        <v>46</v>
      </c>
      <c r="E116" s="26" t="s">
        <v>145</v>
      </c>
      <c r="F116" s="21" t="s">
        <v>179</v>
      </c>
      <c r="G116" s="21" t="s">
        <v>147</v>
      </c>
      <c r="H116" s="26" t="s">
        <v>190</v>
      </c>
      <c r="I116" s="11">
        <v>0.8</v>
      </c>
      <c r="J116" s="17" t="s">
        <v>154</v>
      </c>
      <c r="K116" s="17" t="s">
        <v>154</v>
      </c>
      <c r="L116" s="17" t="s">
        <v>154</v>
      </c>
      <c r="M116" s="15" t="s">
        <v>154</v>
      </c>
      <c r="N116" s="17" t="s">
        <v>154</v>
      </c>
      <c r="O116" s="15" t="s">
        <v>154</v>
      </c>
      <c r="P116" s="17" t="s">
        <v>154</v>
      </c>
      <c r="Q116" s="15" t="s">
        <v>154</v>
      </c>
      <c r="R116" s="17" t="s">
        <v>154</v>
      </c>
      <c r="S116" s="15" t="s">
        <v>154</v>
      </c>
      <c r="T116" s="17" t="s">
        <v>154</v>
      </c>
      <c r="U116" s="15" t="s">
        <v>154</v>
      </c>
      <c r="V116" s="17" t="s">
        <v>154</v>
      </c>
      <c r="W116" s="15" t="s">
        <v>154</v>
      </c>
      <c r="X116" s="17" t="s">
        <v>154</v>
      </c>
      <c r="Y116" s="15" t="s">
        <v>154</v>
      </c>
      <c r="Z116" s="17" t="s">
        <v>154</v>
      </c>
      <c r="AA116" s="15" t="s">
        <v>154</v>
      </c>
      <c r="AB116" s="93" t="s">
        <v>154</v>
      </c>
      <c r="AC116" s="15" t="s">
        <v>154</v>
      </c>
      <c r="AD116" s="97" t="str">
        <f t="shared" si="1"/>
        <v>NA</v>
      </c>
      <c r="AE116" s="126" t="s">
        <v>154</v>
      </c>
      <c r="AF116" s="93" t="s">
        <v>154</v>
      </c>
      <c r="AG116" s="97" t="s">
        <v>154</v>
      </c>
      <c r="AH116" s="93" t="s">
        <v>154</v>
      </c>
      <c r="AI116" s="94" t="s">
        <v>154</v>
      </c>
      <c r="AJ116" s="93" t="s">
        <v>154</v>
      </c>
      <c r="AK116" s="94" t="s">
        <v>154</v>
      </c>
    </row>
    <row r="117" spans="1:38" x14ac:dyDescent="0.25">
      <c r="A117" s="26" t="s">
        <v>26</v>
      </c>
      <c r="B117" s="5" t="s">
        <v>27</v>
      </c>
      <c r="C117" s="76" t="s">
        <v>28</v>
      </c>
      <c r="D117" s="26" t="s">
        <v>29</v>
      </c>
      <c r="E117" s="26" t="s">
        <v>145</v>
      </c>
      <c r="F117" s="26" t="s">
        <v>146</v>
      </c>
      <c r="G117" s="26" t="s">
        <v>156</v>
      </c>
      <c r="H117" s="21" t="s">
        <v>157</v>
      </c>
      <c r="I117" s="15" t="s">
        <v>158</v>
      </c>
      <c r="J117" s="29" t="s">
        <v>159</v>
      </c>
      <c r="K117" s="28" t="s">
        <v>150</v>
      </c>
      <c r="L117" s="28" t="s">
        <v>154</v>
      </c>
      <c r="M117" s="15" t="s">
        <v>154</v>
      </c>
      <c r="N117" s="28" t="s">
        <v>154</v>
      </c>
      <c r="O117" s="15" t="s">
        <v>154</v>
      </c>
      <c r="P117" s="28" t="s">
        <v>154</v>
      </c>
      <c r="Q117" s="15" t="s">
        <v>154</v>
      </c>
      <c r="R117" s="17" t="s">
        <v>154</v>
      </c>
      <c r="S117" s="15" t="s">
        <v>154</v>
      </c>
      <c r="T117" s="15" t="s">
        <v>160</v>
      </c>
      <c r="U117" s="28" t="s">
        <v>150</v>
      </c>
      <c r="V117" s="28" t="s">
        <v>160</v>
      </c>
      <c r="W117" s="28" t="s">
        <v>150</v>
      </c>
      <c r="X117" s="28" t="s">
        <v>160</v>
      </c>
      <c r="Y117" s="28" t="s">
        <v>150</v>
      </c>
      <c r="Z117" s="28" t="s">
        <v>161</v>
      </c>
      <c r="AA117" s="28" t="s">
        <v>150</v>
      </c>
      <c r="AB117" s="95">
        <v>22</v>
      </c>
      <c r="AC117" s="28" t="s">
        <v>150</v>
      </c>
      <c r="AD117" s="133">
        <v>24</v>
      </c>
      <c r="AE117" s="28" t="s">
        <v>150</v>
      </c>
      <c r="AF117" s="95">
        <v>24</v>
      </c>
      <c r="AG117" s="199" t="s">
        <v>150</v>
      </c>
      <c r="AH117" s="95">
        <v>23</v>
      </c>
      <c r="AI117" s="199" t="s">
        <v>150</v>
      </c>
      <c r="AJ117" s="95">
        <v>26</v>
      </c>
      <c r="AK117" s="199" t="s">
        <v>150</v>
      </c>
      <c r="AL117">
        <f>29/38</f>
        <v>0.76315789473684215</v>
      </c>
    </row>
    <row r="118" spans="1:38" x14ac:dyDescent="0.25">
      <c r="A118" s="26" t="s">
        <v>26</v>
      </c>
      <c r="B118" s="5" t="s">
        <v>27</v>
      </c>
      <c r="C118" s="76" t="s">
        <v>28</v>
      </c>
      <c r="D118" s="26" t="s">
        <v>29</v>
      </c>
      <c r="E118" s="26" t="s">
        <v>145</v>
      </c>
      <c r="F118" s="26" t="s">
        <v>146</v>
      </c>
      <c r="G118" s="26" t="s">
        <v>156</v>
      </c>
      <c r="H118" s="21" t="s">
        <v>162</v>
      </c>
      <c r="I118" s="15" t="s">
        <v>163</v>
      </c>
      <c r="J118" s="29" t="s">
        <v>164</v>
      </c>
      <c r="K118" s="28" t="s">
        <v>150</v>
      </c>
      <c r="L118" s="28" t="s">
        <v>154</v>
      </c>
      <c r="M118" s="15" t="s">
        <v>154</v>
      </c>
      <c r="N118" s="28" t="s">
        <v>154</v>
      </c>
      <c r="O118" s="15" t="s">
        <v>154</v>
      </c>
      <c r="P118" s="28" t="s">
        <v>154</v>
      </c>
      <c r="Q118" s="15" t="s">
        <v>154</v>
      </c>
      <c r="R118" s="17" t="s">
        <v>154</v>
      </c>
      <c r="S118" s="15" t="s">
        <v>154</v>
      </c>
      <c r="T118" s="15" t="s">
        <v>165</v>
      </c>
      <c r="U118" s="28" t="s">
        <v>150</v>
      </c>
      <c r="V118" s="28" t="s">
        <v>165</v>
      </c>
      <c r="W118" s="28" t="s">
        <v>150</v>
      </c>
      <c r="X118" s="28" t="s">
        <v>166</v>
      </c>
      <c r="Y118" s="28" t="s">
        <v>150</v>
      </c>
      <c r="Z118" s="28" t="s">
        <v>165</v>
      </c>
      <c r="AA118" s="28" t="s">
        <v>150</v>
      </c>
      <c r="AB118" s="95">
        <v>16</v>
      </c>
      <c r="AC118" s="28" t="s">
        <v>150</v>
      </c>
      <c r="AD118" s="133">
        <v>19</v>
      </c>
      <c r="AE118" s="28" t="s">
        <v>150</v>
      </c>
      <c r="AF118" s="95">
        <v>19</v>
      </c>
      <c r="AG118" s="199" t="s">
        <v>150</v>
      </c>
      <c r="AH118" s="95">
        <v>18</v>
      </c>
      <c r="AI118" s="199" t="s">
        <v>150</v>
      </c>
      <c r="AJ118" s="95">
        <v>19</v>
      </c>
      <c r="AK118" s="199" t="s">
        <v>150</v>
      </c>
    </row>
    <row r="119" spans="1:38" x14ac:dyDescent="0.25">
      <c r="A119" s="26" t="s">
        <v>26</v>
      </c>
      <c r="B119" s="5" t="s">
        <v>27</v>
      </c>
      <c r="C119" s="76" t="s">
        <v>28</v>
      </c>
      <c r="D119" s="26" t="s">
        <v>29</v>
      </c>
      <c r="E119" s="26" t="s">
        <v>145</v>
      </c>
      <c r="F119" s="26" t="s">
        <v>146</v>
      </c>
      <c r="G119" s="26" t="s">
        <v>156</v>
      </c>
      <c r="H119" s="21" t="s">
        <v>167</v>
      </c>
      <c r="I119" s="15" t="s">
        <v>168</v>
      </c>
      <c r="J119" s="29" t="s">
        <v>169</v>
      </c>
      <c r="K119" s="28" t="s">
        <v>150</v>
      </c>
      <c r="L119" s="28" t="s">
        <v>154</v>
      </c>
      <c r="M119" s="15" t="s">
        <v>154</v>
      </c>
      <c r="N119" s="28" t="s">
        <v>154</v>
      </c>
      <c r="O119" s="15" t="s">
        <v>154</v>
      </c>
      <c r="P119" s="28" t="s">
        <v>154</v>
      </c>
      <c r="Q119" s="15" t="s">
        <v>154</v>
      </c>
      <c r="R119" s="17" t="s">
        <v>154</v>
      </c>
      <c r="S119" s="15" t="s">
        <v>154</v>
      </c>
      <c r="T119" s="15" t="s">
        <v>169</v>
      </c>
      <c r="U119" s="28" t="s">
        <v>150</v>
      </c>
      <c r="V119" s="28" t="s">
        <v>169</v>
      </c>
      <c r="W119" s="28" t="s">
        <v>150</v>
      </c>
      <c r="X119" s="28" t="s">
        <v>169</v>
      </c>
      <c r="Y119" s="28" t="s">
        <v>150</v>
      </c>
      <c r="Z119" s="28" t="s">
        <v>169</v>
      </c>
      <c r="AA119" s="28" t="s">
        <v>150</v>
      </c>
      <c r="AB119" s="95">
        <v>14</v>
      </c>
      <c r="AC119" s="28" t="s">
        <v>150</v>
      </c>
      <c r="AD119" s="134">
        <v>14</v>
      </c>
      <c r="AE119" s="28" t="s">
        <v>194</v>
      </c>
      <c r="AF119" s="95">
        <v>14</v>
      </c>
      <c r="AG119" s="28" t="s">
        <v>194</v>
      </c>
      <c r="AH119" s="134">
        <v>14</v>
      </c>
      <c r="AI119" s="28" t="s">
        <v>194</v>
      </c>
      <c r="AJ119" s="95">
        <v>14</v>
      </c>
      <c r="AK119" s="28" t="s">
        <v>194</v>
      </c>
    </row>
    <row r="120" spans="1:38" x14ac:dyDescent="0.25">
      <c r="A120" s="26" t="s">
        <v>26</v>
      </c>
      <c r="B120" s="5" t="s">
        <v>27</v>
      </c>
      <c r="C120" s="76" t="s">
        <v>28</v>
      </c>
      <c r="D120" s="26" t="s">
        <v>29</v>
      </c>
      <c r="E120" s="26" t="s">
        <v>145</v>
      </c>
      <c r="F120" s="26" t="s">
        <v>146</v>
      </c>
      <c r="G120" s="26" t="s">
        <v>156</v>
      </c>
      <c r="H120" s="21" t="s">
        <v>170</v>
      </c>
      <c r="I120" s="15" t="s">
        <v>171</v>
      </c>
      <c r="J120" s="29">
        <v>0.14000000000000001</v>
      </c>
      <c r="K120" s="28" t="s">
        <v>150</v>
      </c>
      <c r="L120" s="28" t="s">
        <v>154</v>
      </c>
      <c r="M120" s="15" t="s">
        <v>154</v>
      </c>
      <c r="N120" s="28" t="s">
        <v>154</v>
      </c>
      <c r="O120" s="15" t="s">
        <v>154</v>
      </c>
      <c r="P120" s="28" t="s">
        <v>154</v>
      </c>
      <c r="Q120" s="15" t="s">
        <v>154</v>
      </c>
      <c r="R120" s="17" t="s">
        <v>154</v>
      </c>
      <c r="S120" s="15" t="s">
        <v>154</v>
      </c>
      <c r="T120" s="15">
        <v>0.13</v>
      </c>
      <c r="U120" s="28" t="s">
        <v>150</v>
      </c>
      <c r="V120" s="29">
        <v>0.11</v>
      </c>
      <c r="W120" s="28" t="s">
        <v>150</v>
      </c>
      <c r="X120" s="29">
        <v>0.11</v>
      </c>
      <c r="Y120" s="28" t="s">
        <v>150</v>
      </c>
      <c r="Z120" s="29">
        <v>0.11</v>
      </c>
      <c r="AA120" s="28" t="s">
        <v>150</v>
      </c>
      <c r="AB120" s="96">
        <v>0.11</v>
      </c>
      <c r="AC120" s="28" t="s">
        <v>150</v>
      </c>
      <c r="AD120" s="135">
        <v>0.13</v>
      </c>
      <c r="AE120" s="28" t="s">
        <v>150</v>
      </c>
      <c r="AF120" s="102">
        <v>0.12</v>
      </c>
      <c r="AG120" s="199" t="s">
        <v>150</v>
      </c>
      <c r="AH120" s="94">
        <v>0.1</v>
      </c>
      <c r="AI120" s="199" t="s">
        <v>150</v>
      </c>
      <c r="AJ120" s="102">
        <v>0.12</v>
      </c>
      <c r="AK120" s="199" t="s">
        <v>150</v>
      </c>
    </row>
    <row r="121" spans="1:38" x14ac:dyDescent="0.25">
      <c r="A121" s="26" t="s">
        <v>26</v>
      </c>
      <c r="B121" s="5" t="s">
        <v>27</v>
      </c>
      <c r="C121" s="76" t="s">
        <v>28</v>
      </c>
      <c r="D121" s="26" t="s">
        <v>29</v>
      </c>
      <c r="E121" s="26" t="s">
        <v>145</v>
      </c>
      <c r="F121" s="26" t="s">
        <v>146</v>
      </c>
      <c r="G121" s="26" t="s">
        <v>156</v>
      </c>
      <c r="H121" s="21" t="s">
        <v>172</v>
      </c>
      <c r="I121" s="15" t="s">
        <v>173</v>
      </c>
      <c r="J121" s="15" t="s">
        <v>154</v>
      </c>
      <c r="K121" s="15" t="s">
        <v>154</v>
      </c>
      <c r="L121" s="28" t="s">
        <v>154</v>
      </c>
      <c r="M121" s="15" t="s">
        <v>154</v>
      </c>
      <c r="N121" s="28" t="s">
        <v>154</v>
      </c>
      <c r="O121" s="15" t="s">
        <v>154</v>
      </c>
      <c r="P121" s="28" t="s">
        <v>154</v>
      </c>
      <c r="Q121" s="15" t="s">
        <v>154</v>
      </c>
      <c r="R121" s="17" t="s">
        <v>154</v>
      </c>
      <c r="S121" s="15" t="s">
        <v>154</v>
      </c>
      <c r="T121" s="17" t="s">
        <v>154</v>
      </c>
      <c r="U121" s="17" t="s">
        <v>154</v>
      </c>
      <c r="V121" s="17" t="s">
        <v>154</v>
      </c>
      <c r="W121" s="15" t="s">
        <v>154</v>
      </c>
      <c r="X121" s="15" t="s">
        <v>154</v>
      </c>
      <c r="Y121" s="15" t="s">
        <v>154</v>
      </c>
      <c r="Z121" s="17" t="s">
        <v>154</v>
      </c>
      <c r="AA121" s="15" t="s">
        <v>154</v>
      </c>
      <c r="AB121" s="93" t="s">
        <v>154</v>
      </c>
      <c r="AC121" s="15" t="s">
        <v>154</v>
      </c>
      <c r="AD121" s="126" t="s">
        <v>154</v>
      </c>
      <c r="AE121" s="126" t="s">
        <v>154</v>
      </c>
      <c r="AF121" s="126" t="s">
        <v>154</v>
      </c>
      <c r="AG121" s="97" t="s">
        <v>154</v>
      </c>
      <c r="AH121" s="94" t="s">
        <v>154</v>
      </c>
      <c r="AI121" s="94" t="s">
        <v>154</v>
      </c>
      <c r="AJ121" s="93" t="s">
        <v>154</v>
      </c>
      <c r="AK121" s="94" t="s">
        <v>154</v>
      </c>
    </row>
    <row r="122" spans="1:38" x14ac:dyDescent="0.25">
      <c r="A122" s="26" t="s">
        <v>26</v>
      </c>
      <c r="B122" s="5" t="s">
        <v>27</v>
      </c>
      <c r="C122" s="76" t="s">
        <v>28</v>
      </c>
      <c r="D122" s="26" t="s">
        <v>29</v>
      </c>
      <c r="E122" s="26" t="s">
        <v>145</v>
      </c>
      <c r="F122" s="26" t="s">
        <v>146</v>
      </c>
      <c r="G122" s="26" t="s">
        <v>156</v>
      </c>
      <c r="H122" s="26" t="s">
        <v>174</v>
      </c>
      <c r="I122" s="15" t="s">
        <v>175</v>
      </c>
      <c r="J122" s="29">
        <v>0.98</v>
      </c>
      <c r="K122" s="28" t="s">
        <v>150</v>
      </c>
      <c r="L122" s="28" t="s">
        <v>154</v>
      </c>
      <c r="M122" s="15" t="s">
        <v>154</v>
      </c>
      <c r="N122" s="28" t="s">
        <v>154</v>
      </c>
      <c r="O122" s="15" t="s">
        <v>154</v>
      </c>
      <c r="P122" s="28" t="s">
        <v>154</v>
      </c>
      <c r="Q122" s="15" t="s">
        <v>154</v>
      </c>
      <c r="R122" s="17" t="s">
        <v>154</v>
      </c>
      <c r="S122" s="15" t="s">
        <v>154</v>
      </c>
      <c r="T122" s="15">
        <v>0.99</v>
      </c>
      <c r="U122" s="28" t="s">
        <v>150</v>
      </c>
      <c r="V122" s="29">
        <v>0.99</v>
      </c>
      <c r="W122" s="28" t="s">
        <v>150</v>
      </c>
      <c r="X122" s="29">
        <v>0.99</v>
      </c>
      <c r="Y122" s="28" t="s">
        <v>150</v>
      </c>
      <c r="Z122" s="29">
        <v>0.99</v>
      </c>
      <c r="AA122" s="28" t="s">
        <v>150</v>
      </c>
      <c r="AB122" s="96">
        <v>0.99</v>
      </c>
      <c r="AC122" s="28" t="s">
        <v>150</v>
      </c>
      <c r="AD122" s="135">
        <v>0.99</v>
      </c>
      <c r="AE122" s="28" t="s">
        <v>150</v>
      </c>
      <c r="AF122" s="102">
        <v>0.99</v>
      </c>
      <c r="AG122" s="199" t="s">
        <v>150</v>
      </c>
      <c r="AH122" s="98">
        <v>0.99</v>
      </c>
      <c r="AI122" s="199" t="s">
        <v>150</v>
      </c>
      <c r="AJ122" s="102">
        <v>0.99</v>
      </c>
      <c r="AK122" s="199" t="s">
        <v>150</v>
      </c>
    </row>
    <row r="123" spans="1:38" x14ac:dyDescent="0.25">
      <c r="A123" s="26" t="s">
        <v>26</v>
      </c>
      <c r="B123" s="5" t="s">
        <v>27</v>
      </c>
      <c r="C123" s="76" t="s">
        <v>28</v>
      </c>
      <c r="D123" s="26" t="s">
        <v>29</v>
      </c>
      <c r="E123" s="26" t="s">
        <v>145</v>
      </c>
      <c r="F123" s="26" t="s">
        <v>146</v>
      </c>
      <c r="G123" s="26" t="s">
        <v>156</v>
      </c>
      <c r="H123" s="26" t="s">
        <v>176</v>
      </c>
      <c r="I123" s="15" t="s">
        <v>177</v>
      </c>
      <c r="J123" s="28">
        <v>4.5999999999999996</v>
      </c>
      <c r="K123" s="28" t="s">
        <v>150</v>
      </c>
      <c r="L123" s="28" t="s">
        <v>154</v>
      </c>
      <c r="M123" s="15" t="s">
        <v>154</v>
      </c>
      <c r="N123" s="28" t="s">
        <v>154</v>
      </c>
      <c r="O123" s="15" t="s">
        <v>154</v>
      </c>
      <c r="P123" s="28" t="s">
        <v>154</v>
      </c>
      <c r="Q123" s="15" t="s">
        <v>154</v>
      </c>
      <c r="R123" s="17" t="s">
        <v>154</v>
      </c>
      <c r="S123" s="15" t="s">
        <v>154</v>
      </c>
      <c r="T123" s="28">
        <v>4.7</v>
      </c>
      <c r="U123" s="28" t="s">
        <v>150</v>
      </c>
      <c r="V123" s="28">
        <v>4.7</v>
      </c>
      <c r="W123" s="28" t="s">
        <v>150</v>
      </c>
      <c r="X123" s="28">
        <v>4.8</v>
      </c>
      <c r="Y123" s="28" t="s">
        <v>150</v>
      </c>
      <c r="Z123" s="28">
        <v>4.7</v>
      </c>
      <c r="AA123" s="28" t="s">
        <v>150</v>
      </c>
      <c r="AB123" s="93">
        <v>4.7</v>
      </c>
      <c r="AC123" s="28" t="s">
        <v>150</v>
      </c>
      <c r="AD123" s="95">
        <v>4.7</v>
      </c>
      <c r="AE123" s="28" t="s">
        <v>150</v>
      </c>
      <c r="AF123" s="95">
        <v>4.7</v>
      </c>
      <c r="AG123" s="199" t="s">
        <v>150</v>
      </c>
      <c r="AH123" s="97">
        <v>4.7</v>
      </c>
      <c r="AI123" s="199" t="s">
        <v>150</v>
      </c>
      <c r="AJ123" s="95">
        <v>4.7</v>
      </c>
      <c r="AK123" s="199" t="s">
        <v>150</v>
      </c>
    </row>
    <row r="124" spans="1:38" x14ac:dyDescent="0.25">
      <c r="A124" s="26" t="s">
        <v>26</v>
      </c>
      <c r="B124" s="5" t="s">
        <v>27</v>
      </c>
      <c r="C124" s="76" t="s">
        <v>28</v>
      </c>
      <c r="D124" s="26" t="s">
        <v>29</v>
      </c>
      <c r="E124" s="26" t="s">
        <v>145</v>
      </c>
      <c r="F124" s="26" t="s">
        <v>146</v>
      </c>
      <c r="G124" s="26" t="s">
        <v>156</v>
      </c>
      <c r="H124" s="21" t="s">
        <v>178</v>
      </c>
      <c r="I124" s="15" t="s">
        <v>177</v>
      </c>
      <c r="J124" s="28">
        <v>4.8</v>
      </c>
      <c r="K124" s="28" t="s">
        <v>150</v>
      </c>
      <c r="L124" s="28" t="s">
        <v>154</v>
      </c>
      <c r="M124" s="15" t="s">
        <v>154</v>
      </c>
      <c r="N124" s="28" t="s">
        <v>154</v>
      </c>
      <c r="O124" s="15" t="s">
        <v>154</v>
      </c>
      <c r="P124" s="28" t="s">
        <v>154</v>
      </c>
      <c r="Q124" s="15" t="s">
        <v>154</v>
      </c>
      <c r="R124" s="17" t="s">
        <v>154</v>
      </c>
      <c r="S124" s="15" t="s">
        <v>154</v>
      </c>
      <c r="T124" s="28">
        <v>4.8</v>
      </c>
      <c r="U124" s="28" t="s">
        <v>150</v>
      </c>
      <c r="V124" s="28">
        <v>4.8</v>
      </c>
      <c r="W124" s="28" t="s">
        <v>150</v>
      </c>
      <c r="X124" s="28">
        <v>4.5999999999999996</v>
      </c>
      <c r="Y124" s="28" t="s">
        <v>150</v>
      </c>
      <c r="Z124" s="28">
        <v>4.8</v>
      </c>
      <c r="AA124" s="28" t="s">
        <v>150</v>
      </c>
      <c r="AB124" s="93">
        <v>4.8</v>
      </c>
      <c r="AC124" s="28" t="s">
        <v>150</v>
      </c>
      <c r="AD124" s="95">
        <v>4.8</v>
      </c>
      <c r="AE124" s="28" t="s">
        <v>150</v>
      </c>
      <c r="AF124" s="95">
        <v>4.8</v>
      </c>
      <c r="AG124" s="199" t="s">
        <v>150</v>
      </c>
      <c r="AH124" s="95">
        <v>4.8</v>
      </c>
      <c r="AI124" s="199" t="s">
        <v>150</v>
      </c>
      <c r="AJ124" s="95">
        <v>4.8</v>
      </c>
      <c r="AK124" s="199" t="s">
        <v>150</v>
      </c>
    </row>
    <row r="125" spans="1:38" x14ac:dyDescent="0.25">
      <c r="A125" s="26" t="s">
        <v>26</v>
      </c>
      <c r="B125" s="5" t="s">
        <v>27</v>
      </c>
      <c r="C125" s="76" t="s">
        <v>28</v>
      </c>
      <c r="D125" s="26" t="s">
        <v>29</v>
      </c>
      <c r="E125" s="26" t="s">
        <v>145</v>
      </c>
      <c r="F125" s="21" t="s">
        <v>179</v>
      </c>
      <c r="G125" s="21" t="s">
        <v>147</v>
      </c>
      <c r="H125" s="27" t="s">
        <v>180</v>
      </c>
      <c r="I125" s="15" t="s">
        <v>181</v>
      </c>
      <c r="J125" s="28" t="s">
        <v>182</v>
      </c>
      <c r="K125" s="28" t="s">
        <v>150</v>
      </c>
      <c r="L125" s="28" t="s">
        <v>154</v>
      </c>
      <c r="M125" s="15" t="s">
        <v>154</v>
      </c>
      <c r="N125" s="28" t="s">
        <v>154</v>
      </c>
      <c r="O125" s="15" t="s">
        <v>154</v>
      </c>
      <c r="P125" s="28" t="s">
        <v>154</v>
      </c>
      <c r="Q125" s="15" t="s">
        <v>154</v>
      </c>
      <c r="R125" s="17" t="s">
        <v>154</v>
      </c>
      <c r="S125" s="15" t="s">
        <v>154</v>
      </c>
      <c r="T125" s="15" t="s">
        <v>183</v>
      </c>
      <c r="U125" s="28" t="s">
        <v>150</v>
      </c>
      <c r="V125" s="28" t="s">
        <v>184</v>
      </c>
      <c r="W125" s="28" t="s">
        <v>150</v>
      </c>
      <c r="X125" s="28" t="s">
        <v>185</v>
      </c>
      <c r="Y125" s="28" t="s">
        <v>150</v>
      </c>
      <c r="Z125" s="28" t="s">
        <v>184</v>
      </c>
      <c r="AA125" s="28" t="s">
        <v>150</v>
      </c>
      <c r="AB125" s="93" t="s">
        <v>154</v>
      </c>
      <c r="AC125" s="15" t="s">
        <v>154</v>
      </c>
      <c r="AD125" s="93" t="s">
        <v>154</v>
      </c>
      <c r="AE125" s="126" t="s">
        <v>154</v>
      </c>
      <c r="AF125" s="95">
        <v>36</v>
      </c>
      <c r="AG125" s="199" t="s">
        <v>150</v>
      </c>
      <c r="AH125" s="275">
        <v>36</v>
      </c>
      <c r="AI125" s="199" t="s">
        <v>150</v>
      </c>
      <c r="AJ125" s="95">
        <v>34</v>
      </c>
      <c r="AK125" s="199" t="s">
        <v>150</v>
      </c>
    </row>
    <row r="126" spans="1:38" x14ac:dyDescent="0.25">
      <c r="A126" s="26" t="s">
        <v>26</v>
      </c>
      <c r="B126" s="5" t="s">
        <v>27</v>
      </c>
      <c r="C126" s="76" t="s">
        <v>28</v>
      </c>
      <c r="D126" s="26" t="s">
        <v>29</v>
      </c>
      <c r="E126" s="26" t="s">
        <v>145</v>
      </c>
      <c r="F126" s="21" t="s">
        <v>179</v>
      </c>
      <c r="G126" s="21" t="s">
        <v>147</v>
      </c>
      <c r="H126" s="27" t="s">
        <v>186</v>
      </c>
      <c r="I126" s="15" t="s">
        <v>187</v>
      </c>
      <c r="J126" s="15" t="s">
        <v>154</v>
      </c>
      <c r="K126" s="15" t="s">
        <v>154</v>
      </c>
      <c r="L126" s="28" t="s">
        <v>154</v>
      </c>
      <c r="M126" s="15" t="s">
        <v>154</v>
      </c>
      <c r="N126" s="28" t="s">
        <v>154</v>
      </c>
      <c r="O126" s="15" t="s">
        <v>154</v>
      </c>
      <c r="P126" s="28" t="s">
        <v>154</v>
      </c>
      <c r="Q126" s="15" t="s">
        <v>154</v>
      </c>
      <c r="R126" s="17" t="s">
        <v>154</v>
      </c>
      <c r="S126" s="15" t="s">
        <v>154</v>
      </c>
      <c r="T126" s="17" t="s">
        <v>154</v>
      </c>
      <c r="U126" s="15" t="s">
        <v>154</v>
      </c>
      <c r="V126" s="17" t="s">
        <v>154</v>
      </c>
      <c r="W126" s="15" t="s">
        <v>154</v>
      </c>
      <c r="X126" s="15" t="s">
        <v>154</v>
      </c>
      <c r="Y126" s="15" t="s">
        <v>154</v>
      </c>
      <c r="Z126" s="17" t="s">
        <v>154</v>
      </c>
      <c r="AA126" s="15" t="s">
        <v>154</v>
      </c>
      <c r="AB126" s="93" t="s">
        <v>154</v>
      </c>
      <c r="AC126" s="15" t="s">
        <v>154</v>
      </c>
      <c r="AD126" s="93" t="s">
        <v>154</v>
      </c>
      <c r="AE126" s="126" t="s">
        <v>154</v>
      </c>
      <c r="AF126" s="93" t="s">
        <v>154</v>
      </c>
      <c r="AG126" s="97" t="s">
        <v>154</v>
      </c>
      <c r="AH126" s="93" t="s">
        <v>154</v>
      </c>
      <c r="AI126" s="94" t="s">
        <v>154</v>
      </c>
      <c r="AJ126" s="93" t="s">
        <v>154</v>
      </c>
      <c r="AK126" s="94" t="s">
        <v>154</v>
      </c>
    </row>
    <row r="127" spans="1:38" x14ac:dyDescent="0.25">
      <c r="A127" s="26" t="s">
        <v>26</v>
      </c>
      <c r="B127" s="5" t="s">
        <v>27</v>
      </c>
      <c r="C127" s="76" t="s">
        <v>28</v>
      </c>
      <c r="D127" s="26" t="s">
        <v>29</v>
      </c>
      <c r="E127" s="26" t="s">
        <v>145</v>
      </c>
      <c r="F127" s="21" t="s">
        <v>179</v>
      </c>
      <c r="G127" s="21" t="s">
        <v>147</v>
      </c>
      <c r="H127" s="27" t="s">
        <v>188</v>
      </c>
      <c r="I127" s="15" t="s">
        <v>187</v>
      </c>
      <c r="J127" s="15" t="s">
        <v>154</v>
      </c>
      <c r="K127" s="15" t="s">
        <v>154</v>
      </c>
      <c r="L127" s="28" t="s">
        <v>154</v>
      </c>
      <c r="M127" s="15" t="s">
        <v>154</v>
      </c>
      <c r="N127" s="28" t="s">
        <v>154</v>
      </c>
      <c r="O127" s="15" t="s">
        <v>154</v>
      </c>
      <c r="P127" s="28" t="s">
        <v>154</v>
      </c>
      <c r="Q127" s="15" t="s">
        <v>154</v>
      </c>
      <c r="R127" s="17" t="s">
        <v>154</v>
      </c>
      <c r="S127" s="15" t="s">
        <v>154</v>
      </c>
      <c r="T127" s="17" t="s">
        <v>154</v>
      </c>
      <c r="U127" s="15" t="s">
        <v>154</v>
      </c>
      <c r="V127" s="17" t="s">
        <v>154</v>
      </c>
      <c r="W127" s="15" t="s">
        <v>154</v>
      </c>
      <c r="X127" s="15" t="s">
        <v>154</v>
      </c>
      <c r="Y127" s="15" t="s">
        <v>154</v>
      </c>
      <c r="Z127" s="17" t="s">
        <v>154</v>
      </c>
      <c r="AA127" s="15" t="s">
        <v>154</v>
      </c>
      <c r="AB127" s="93" t="s">
        <v>154</v>
      </c>
      <c r="AC127" s="15" t="s">
        <v>154</v>
      </c>
      <c r="AD127" s="93" t="s">
        <v>154</v>
      </c>
      <c r="AE127" s="126" t="s">
        <v>154</v>
      </c>
      <c r="AF127" s="93" t="s">
        <v>154</v>
      </c>
      <c r="AG127" s="97" t="s">
        <v>154</v>
      </c>
      <c r="AH127" s="93" t="s">
        <v>154</v>
      </c>
      <c r="AI127" s="94" t="s">
        <v>154</v>
      </c>
      <c r="AJ127" s="93" t="s">
        <v>154</v>
      </c>
      <c r="AK127" s="94" t="s">
        <v>154</v>
      </c>
    </row>
    <row r="128" spans="1:38" x14ac:dyDescent="0.25">
      <c r="A128" s="26" t="s">
        <v>26</v>
      </c>
      <c r="B128" s="5" t="s">
        <v>27</v>
      </c>
      <c r="C128" s="76" t="s">
        <v>28</v>
      </c>
      <c r="D128" s="26" t="s">
        <v>29</v>
      </c>
      <c r="E128" s="26" t="s">
        <v>145</v>
      </c>
      <c r="F128" s="21" t="s">
        <v>179</v>
      </c>
      <c r="G128" s="21" t="s">
        <v>147</v>
      </c>
      <c r="H128" s="21" t="s">
        <v>189</v>
      </c>
      <c r="I128" s="15" t="s">
        <v>187</v>
      </c>
      <c r="J128" s="15" t="s">
        <v>154</v>
      </c>
      <c r="K128" s="15" t="s">
        <v>154</v>
      </c>
      <c r="L128" s="28" t="s">
        <v>154</v>
      </c>
      <c r="M128" s="15" t="s">
        <v>154</v>
      </c>
      <c r="N128" s="28" t="s">
        <v>154</v>
      </c>
      <c r="O128" s="15" t="s">
        <v>154</v>
      </c>
      <c r="P128" s="28" t="s">
        <v>154</v>
      </c>
      <c r="Q128" s="15" t="s">
        <v>154</v>
      </c>
      <c r="R128" s="17" t="s">
        <v>154</v>
      </c>
      <c r="S128" s="15" t="s">
        <v>154</v>
      </c>
      <c r="T128" s="17" t="s">
        <v>154</v>
      </c>
      <c r="U128" s="15" t="s">
        <v>154</v>
      </c>
      <c r="V128" s="17" t="s">
        <v>154</v>
      </c>
      <c r="W128" s="15" t="s">
        <v>154</v>
      </c>
      <c r="X128" s="15" t="s">
        <v>154</v>
      </c>
      <c r="Y128" s="15" t="s">
        <v>154</v>
      </c>
      <c r="Z128" s="17" t="s">
        <v>154</v>
      </c>
      <c r="AA128" s="15" t="s">
        <v>154</v>
      </c>
      <c r="AB128" s="93" t="s">
        <v>154</v>
      </c>
      <c r="AC128" s="15" t="s">
        <v>154</v>
      </c>
      <c r="AD128" s="93" t="s">
        <v>154</v>
      </c>
      <c r="AE128" s="126" t="s">
        <v>154</v>
      </c>
      <c r="AF128" s="93" t="s">
        <v>154</v>
      </c>
      <c r="AG128" s="97" t="s">
        <v>154</v>
      </c>
      <c r="AH128" s="93" t="s">
        <v>154</v>
      </c>
      <c r="AI128" s="94" t="s">
        <v>154</v>
      </c>
      <c r="AJ128" s="93" t="s">
        <v>154</v>
      </c>
      <c r="AK128" s="94" t="s">
        <v>154</v>
      </c>
    </row>
    <row r="129" spans="1:37" x14ac:dyDescent="0.25">
      <c r="A129" s="26" t="s">
        <v>26</v>
      </c>
      <c r="B129" s="5" t="s">
        <v>27</v>
      </c>
      <c r="C129" s="76" t="s">
        <v>28</v>
      </c>
      <c r="D129" s="26" t="s">
        <v>29</v>
      </c>
      <c r="E129" s="26" t="s">
        <v>145</v>
      </c>
      <c r="F129" s="21" t="s">
        <v>179</v>
      </c>
      <c r="G129" s="21" t="s">
        <v>147</v>
      </c>
      <c r="H129" s="27" t="s">
        <v>190</v>
      </c>
      <c r="I129" s="15" t="s">
        <v>187</v>
      </c>
      <c r="J129" s="15" t="s">
        <v>154</v>
      </c>
      <c r="K129" s="15" t="s">
        <v>154</v>
      </c>
      <c r="L129" s="28" t="s">
        <v>154</v>
      </c>
      <c r="M129" s="15" t="s">
        <v>154</v>
      </c>
      <c r="N129" s="28" t="s">
        <v>154</v>
      </c>
      <c r="O129" s="15" t="s">
        <v>154</v>
      </c>
      <c r="P129" s="28" t="s">
        <v>154</v>
      </c>
      <c r="Q129" s="15" t="s">
        <v>154</v>
      </c>
      <c r="R129" s="17" t="s">
        <v>154</v>
      </c>
      <c r="S129" s="15" t="s">
        <v>154</v>
      </c>
      <c r="T129" s="17" t="s">
        <v>154</v>
      </c>
      <c r="U129" s="15" t="s">
        <v>154</v>
      </c>
      <c r="V129" s="17" t="s">
        <v>154</v>
      </c>
      <c r="W129" s="15" t="s">
        <v>154</v>
      </c>
      <c r="X129" s="15" t="s">
        <v>154</v>
      </c>
      <c r="Y129" s="15" t="s">
        <v>154</v>
      </c>
      <c r="Z129" s="17" t="s">
        <v>154</v>
      </c>
      <c r="AA129" s="15" t="s">
        <v>154</v>
      </c>
      <c r="AB129" s="93" t="s">
        <v>154</v>
      </c>
      <c r="AC129" s="15" t="s">
        <v>154</v>
      </c>
      <c r="AD129" s="93" t="s">
        <v>154</v>
      </c>
      <c r="AE129" s="126" t="s">
        <v>154</v>
      </c>
      <c r="AF129" s="93" t="s">
        <v>154</v>
      </c>
      <c r="AG129" s="97" t="s">
        <v>154</v>
      </c>
      <c r="AH129" s="93" t="s">
        <v>154</v>
      </c>
      <c r="AI129" s="94" t="s">
        <v>154</v>
      </c>
      <c r="AJ129" s="93" t="s">
        <v>154</v>
      </c>
      <c r="AK129" s="94" t="s">
        <v>154</v>
      </c>
    </row>
    <row r="130" spans="1:37" x14ac:dyDescent="0.25">
      <c r="A130" s="21" t="s">
        <v>61</v>
      </c>
      <c r="B130" s="5" t="s">
        <v>27</v>
      </c>
      <c r="C130" s="76" t="s">
        <v>62</v>
      </c>
      <c r="D130" s="26" t="s">
        <v>29</v>
      </c>
      <c r="E130" s="26" t="s">
        <v>145</v>
      </c>
      <c r="F130" s="21" t="s">
        <v>146</v>
      </c>
      <c r="G130" s="21" t="s">
        <v>156</v>
      </c>
      <c r="H130" s="27" t="s">
        <v>197</v>
      </c>
      <c r="I130" s="14" t="s">
        <v>338</v>
      </c>
      <c r="J130" s="28" t="s">
        <v>195</v>
      </c>
      <c r="K130" s="28" t="s">
        <v>195</v>
      </c>
      <c r="L130" s="28">
        <v>53</v>
      </c>
      <c r="M130" s="28" t="s">
        <v>150</v>
      </c>
      <c r="N130" s="28">
        <v>68</v>
      </c>
      <c r="O130" s="28" t="s">
        <v>194</v>
      </c>
      <c r="P130" s="28">
        <v>56</v>
      </c>
      <c r="Q130" s="28" t="s">
        <v>194</v>
      </c>
      <c r="R130" s="28">
        <v>54</v>
      </c>
      <c r="S130" s="28" t="s">
        <v>150</v>
      </c>
      <c r="T130" s="28">
        <v>35</v>
      </c>
      <c r="U130" s="28" t="s">
        <v>150</v>
      </c>
      <c r="V130" s="28">
        <v>26</v>
      </c>
      <c r="W130" s="28" t="s">
        <v>150</v>
      </c>
      <c r="X130" s="28">
        <v>33</v>
      </c>
      <c r="Y130" s="28" t="s">
        <v>150</v>
      </c>
      <c r="Z130" s="28">
        <v>32</v>
      </c>
      <c r="AA130" s="28" t="s">
        <v>150</v>
      </c>
      <c r="AB130" s="95">
        <v>52</v>
      </c>
      <c r="AC130" s="28" t="s">
        <v>150</v>
      </c>
      <c r="AD130" s="97">
        <v>42</v>
      </c>
      <c r="AE130" s="28" t="s">
        <v>150</v>
      </c>
      <c r="AF130" s="95">
        <v>45</v>
      </c>
      <c r="AG130" s="199" t="s">
        <v>150</v>
      </c>
      <c r="AH130" s="97">
        <v>45</v>
      </c>
      <c r="AI130" s="199" t="s">
        <v>150</v>
      </c>
      <c r="AJ130" s="95">
        <v>45</v>
      </c>
      <c r="AK130" s="199" t="s">
        <v>150</v>
      </c>
    </row>
    <row r="131" spans="1:37" x14ac:dyDescent="0.25">
      <c r="A131" s="21" t="s">
        <v>61</v>
      </c>
      <c r="B131" s="5" t="s">
        <v>27</v>
      </c>
      <c r="C131" s="76" t="s">
        <v>62</v>
      </c>
      <c r="D131" s="26" t="s">
        <v>29</v>
      </c>
      <c r="E131" s="26" t="s">
        <v>145</v>
      </c>
      <c r="F131" s="21" t="s">
        <v>146</v>
      </c>
      <c r="G131" s="21" t="s">
        <v>156</v>
      </c>
      <c r="H131" s="27" t="s">
        <v>197</v>
      </c>
      <c r="I131" s="14" t="s">
        <v>339</v>
      </c>
      <c r="J131" s="28" t="s">
        <v>195</v>
      </c>
      <c r="K131" s="28" t="s">
        <v>195</v>
      </c>
      <c r="L131" s="28">
        <v>98</v>
      </c>
      <c r="M131" s="28" t="s">
        <v>194</v>
      </c>
      <c r="N131" s="28">
        <v>94</v>
      </c>
      <c r="O131" s="28" t="s">
        <v>194</v>
      </c>
      <c r="P131" s="28">
        <v>80</v>
      </c>
      <c r="Q131" s="28" t="s">
        <v>194</v>
      </c>
      <c r="R131" s="28">
        <v>50</v>
      </c>
      <c r="S131" s="28" t="s">
        <v>194</v>
      </c>
      <c r="T131" s="28">
        <v>38</v>
      </c>
      <c r="U131" s="28" t="s">
        <v>150</v>
      </c>
      <c r="V131" s="28">
        <v>37</v>
      </c>
      <c r="W131" s="28" t="s">
        <v>150</v>
      </c>
      <c r="X131" s="28">
        <v>41</v>
      </c>
      <c r="Y131" s="28" t="s">
        <v>150</v>
      </c>
      <c r="Z131" s="28">
        <v>36</v>
      </c>
      <c r="AA131" s="28" t="s">
        <v>150</v>
      </c>
      <c r="AB131" s="95">
        <v>38</v>
      </c>
      <c r="AC131" s="28" t="s">
        <v>150</v>
      </c>
      <c r="AD131" s="97">
        <v>30</v>
      </c>
      <c r="AE131" s="28" t="s">
        <v>150</v>
      </c>
      <c r="AF131" s="95">
        <v>37</v>
      </c>
      <c r="AG131" s="199" t="s">
        <v>150</v>
      </c>
      <c r="AH131" s="97">
        <v>44</v>
      </c>
      <c r="AI131" s="199" t="s">
        <v>150</v>
      </c>
      <c r="AJ131" s="95">
        <v>39</v>
      </c>
      <c r="AK131" s="199" t="s">
        <v>150</v>
      </c>
    </row>
    <row r="132" spans="1:37" x14ac:dyDescent="0.25">
      <c r="A132" s="21" t="s">
        <v>61</v>
      </c>
      <c r="B132" s="5" t="s">
        <v>27</v>
      </c>
      <c r="C132" s="76" t="s">
        <v>62</v>
      </c>
      <c r="D132" s="26" t="s">
        <v>29</v>
      </c>
      <c r="E132" s="26" t="s">
        <v>145</v>
      </c>
      <c r="F132" s="21" t="s">
        <v>146</v>
      </c>
      <c r="G132" s="21" t="s">
        <v>156</v>
      </c>
      <c r="H132" s="21" t="s">
        <v>340</v>
      </c>
      <c r="I132" s="14" t="s">
        <v>341</v>
      </c>
      <c r="J132" s="28" t="s">
        <v>195</v>
      </c>
      <c r="K132" s="28" t="s">
        <v>195</v>
      </c>
      <c r="L132" s="29">
        <v>0.11</v>
      </c>
      <c r="M132" s="28" t="s">
        <v>150</v>
      </c>
      <c r="N132" s="29">
        <v>0.16</v>
      </c>
      <c r="O132" s="28" t="s">
        <v>150</v>
      </c>
      <c r="P132" s="29">
        <v>0.14000000000000001</v>
      </c>
      <c r="Q132" s="28" t="s">
        <v>150</v>
      </c>
      <c r="R132" s="29">
        <v>0.06</v>
      </c>
      <c r="S132" s="28" t="s">
        <v>150</v>
      </c>
      <c r="T132" s="29">
        <v>0.05</v>
      </c>
      <c r="U132" s="28" t="s">
        <v>150</v>
      </c>
      <c r="V132" s="29">
        <v>0.02</v>
      </c>
      <c r="W132" s="28" t="s">
        <v>150</v>
      </c>
      <c r="X132" s="29">
        <v>0.05</v>
      </c>
      <c r="Y132" s="28" t="s">
        <v>150</v>
      </c>
      <c r="Z132" s="29">
        <v>0.15</v>
      </c>
      <c r="AA132" s="28" t="s">
        <v>150</v>
      </c>
      <c r="AB132" s="102">
        <v>0.15</v>
      </c>
      <c r="AC132" s="28" t="s">
        <v>150</v>
      </c>
      <c r="AD132" s="102">
        <v>0.05</v>
      </c>
      <c r="AE132" s="28" t="s">
        <v>150</v>
      </c>
      <c r="AF132" s="102">
        <v>0.06</v>
      </c>
      <c r="AG132" s="199" t="s">
        <v>150</v>
      </c>
      <c r="AH132" s="102">
        <v>0.33</v>
      </c>
      <c r="AI132" s="28" t="s">
        <v>194</v>
      </c>
      <c r="AJ132" s="102">
        <v>0.33</v>
      </c>
      <c r="AK132" s="28" t="s">
        <v>194</v>
      </c>
    </row>
    <row r="133" spans="1:37" x14ac:dyDescent="0.25">
      <c r="A133" s="21" t="s">
        <v>61</v>
      </c>
      <c r="B133" s="5" t="s">
        <v>27</v>
      </c>
      <c r="C133" s="76" t="s">
        <v>62</v>
      </c>
      <c r="D133" s="26" t="s">
        <v>29</v>
      </c>
      <c r="E133" s="26" t="s">
        <v>145</v>
      </c>
      <c r="F133" s="21" t="s">
        <v>146</v>
      </c>
      <c r="G133" s="21" t="s">
        <v>156</v>
      </c>
      <c r="H133" s="21" t="s">
        <v>342</v>
      </c>
      <c r="I133" s="14" t="s">
        <v>319</v>
      </c>
      <c r="J133" s="28" t="s">
        <v>195</v>
      </c>
      <c r="K133" s="28" t="s">
        <v>195</v>
      </c>
      <c r="L133" s="29">
        <v>0.08</v>
      </c>
      <c r="M133" s="28" t="s">
        <v>150</v>
      </c>
      <c r="N133" s="29">
        <v>0.13</v>
      </c>
      <c r="O133" s="28" t="s">
        <v>150</v>
      </c>
      <c r="P133" s="29">
        <v>0.06</v>
      </c>
      <c r="Q133" s="28" t="s">
        <v>150</v>
      </c>
      <c r="R133" s="29">
        <v>0.23</v>
      </c>
      <c r="S133" s="28" t="s">
        <v>194</v>
      </c>
      <c r="T133" s="29">
        <v>0.18</v>
      </c>
      <c r="U133" s="28" t="s">
        <v>150</v>
      </c>
      <c r="V133" s="29">
        <v>0.15</v>
      </c>
      <c r="W133" s="28" t="s">
        <v>150</v>
      </c>
      <c r="X133" s="29">
        <v>0.21</v>
      </c>
      <c r="Y133" s="28" t="s">
        <v>194</v>
      </c>
      <c r="Z133" s="29">
        <v>0.09</v>
      </c>
      <c r="AA133" s="28" t="s">
        <v>150</v>
      </c>
      <c r="AB133" s="102">
        <v>0.09</v>
      </c>
      <c r="AC133" s="28" t="s">
        <v>150</v>
      </c>
      <c r="AD133" s="102">
        <v>0.11</v>
      </c>
      <c r="AE133" s="28" t="s">
        <v>150</v>
      </c>
      <c r="AF133" s="102">
        <v>0.16</v>
      </c>
      <c r="AG133" s="199" t="s">
        <v>150</v>
      </c>
      <c r="AH133" s="102">
        <v>0.23</v>
      </c>
      <c r="AI133" s="28" t="s">
        <v>194</v>
      </c>
      <c r="AJ133" s="102">
        <v>0.23</v>
      </c>
      <c r="AK133" s="28" t="s">
        <v>194</v>
      </c>
    </row>
    <row r="134" spans="1:37" x14ac:dyDescent="0.25">
      <c r="A134" s="21" t="s">
        <v>61</v>
      </c>
      <c r="B134" s="5" t="s">
        <v>27</v>
      </c>
      <c r="C134" s="76" t="s">
        <v>62</v>
      </c>
      <c r="D134" s="26" t="s">
        <v>29</v>
      </c>
      <c r="E134" s="26" t="s">
        <v>145</v>
      </c>
      <c r="F134" s="21" t="s">
        <v>146</v>
      </c>
      <c r="G134" s="21" t="s">
        <v>147</v>
      </c>
      <c r="H134" s="21" t="s">
        <v>343</v>
      </c>
      <c r="I134" s="14" t="s">
        <v>319</v>
      </c>
      <c r="J134" s="28" t="s">
        <v>195</v>
      </c>
      <c r="K134" s="28" t="s">
        <v>195</v>
      </c>
      <c r="L134" s="29">
        <v>0.02</v>
      </c>
      <c r="M134" s="28" t="s">
        <v>150</v>
      </c>
      <c r="N134" s="28">
        <v>6</v>
      </c>
      <c r="O134" s="28" t="s">
        <v>150</v>
      </c>
      <c r="P134" s="28">
        <v>4</v>
      </c>
      <c r="Q134" s="28" t="s">
        <v>150</v>
      </c>
      <c r="R134" s="28">
        <v>11</v>
      </c>
      <c r="S134" s="28" t="s">
        <v>150</v>
      </c>
      <c r="T134" s="28">
        <v>12</v>
      </c>
      <c r="U134" s="28" t="s">
        <v>150</v>
      </c>
      <c r="V134" s="28">
        <v>8</v>
      </c>
      <c r="W134" s="28" t="s">
        <v>150</v>
      </c>
      <c r="X134" s="7">
        <v>14</v>
      </c>
      <c r="Y134" s="28" t="s">
        <v>150</v>
      </c>
      <c r="Z134" s="7">
        <v>5</v>
      </c>
      <c r="AA134" s="28" t="s">
        <v>150</v>
      </c>
      <c r="AB134" s="108">
        <v>0.05</v>
      </c>
      <c r="AC134" s="28" t="s">
        <v>150</v>
      </c>
      <c r="AD134" s="98">
        <v>0.36</v>
      </c>
      <c r="AE134" s="28" t="s">
        <v>194</v>
      </c>
      <c r="AF134" s="251">
        <v>9</v>
      </c>
      <c r="AG134" s="28" t="s">
        <v>194</v>
      </c>
      <c r="AH134" s="251">
        <v>6</v>
      </c>
      <c r="AI134" s="28" t="s">
        <v>194</v>
      </c>
      <c r="AJ134" s="260">
        <v>35</v>
      </c>
      <c r="AK134" s="28" t="s">
        <v>194</v>
      </c>
    </row>
    <row r="135" spans="1:37" x14ac:dyDescent="0.25">
      <c r="A135" s="21" t="s">
        <v>61</v>
      </c>
      <c r="B135" s="5" t="s">
        <v>27</v>
      </c>
      <c r="C135" s="76" t="s">
        <v>62</v>
      </c>
      <c r="D135" s="26" t="s">
        <v>29</v>
      </c>
      <c r="E135" s="26" t="s">
        <v>145</v>
      </c>
      <c r="F135" s="21" t="s">
        <v>146</v>
      </c>
      <c r="G135" s="21" t="s">
        <v>147</v>
      </c>
      <c r="H135" s="21" t="s">
        <v>344</v>
      </c>
      <c r="I135" s="14" t="s">
        <v>345</v>
      </c>
      <c r="J135" s="28" t="s">
        <v>195</v>
      </c>
      <c r="K135" s="28" t="s">
        <v>195</v>
      </c>
      <c r="L135" s="29">
        <v>0.02</v>
      </c>
      <c r="M135" s="28" t="s">
        <v>150</v>
      </c>
      <c r="N135" s="28">
        <v>1</v>
      </c>
      <c r="O135" s="28" t="s">
        <v>150</v>
      </c>
      <c r="P135" s="28">
        <v>2</v>
      </c>
      <c r="Q135" s="28" t="s">
        <v>150</v>
      </c>
      <c r="R135" s="28">
        <v>2</v>
      </c>
      <c r="S135" s="28" t="s">
        <v>150</v>
      </c>
      <c r="T135" s="28">
        <v>4</v>
      </c>
      <c r="U135" s="28" t="s">
        <v>150</v>
      </c>
      <c r="V135" s="28">
        <v>3</v>
      </c>
      <c r="W135" s="28" t="s">
        <v>150</v>
      </c>
      <c r="X135" s="7">
        <v>4</v>
      </c>
      <c r="Y135" s="28" t="s">
        <v>150</v>
      </c>
      <c r="Z135" s="7">
        <v>2</v>
      </c>
      <c r="AA135" s="28" t="s">
        <v>150</v>
      </c>
      <c r="AB135" s="102">
        <v>7.0000000000000007E-2</v>
      </c>
      <c r="AC135" s="28" t="s">
        <v>150</v>
      </c>
      <c r="AD135" s="98">
        <v>0.06</v>
      </c>
      <c r="AE135" s="28" t="s">
        <v>150</v>
      </c>
      <c r="AF135" s="251">
        <v>5</v>
      </c>
      <c r="AG135" s="28" t="s">
        <v>194</v>
      </c>
      <c r="AH135" s="251">
        <v>4</v>
      </c>
      <c r="AI135" s="28" t="s">
        <v>194</v>
      </c>
      <c r="AJ135" s="260">
        <v>9</v>
      </c>
      <c r="AK135" s="28" t="s">
        <v>194</v>
      </c>
    </row>
    <row r="136" spans="1:37" x14ac:dyDescent="0.25">
      <c r="A136" s="21" t="s">
        <v>61</v>
      </c>
      <c r="B136" s="5" t="s">
        <v>27</v>
      </c>
      <c r="C136" s="76" t="s">
        <v>62</v>
      </c>
      <c r="D136" s="26" t="s">
        <v>29</v>
      </c>
      <c r="E136" s="26" t="s">
        <v>145</v>
      </c>
      <c r="F136" s="21" t="s">
        <v>146</v>
      </c>
      <c r="G136" s="21" t="s">
        <v>147</v>
      </c>
      <c r="H136" s="21" t="s">
        <v>346</v>
      </c>
      <c r="I136" s="14" t="s">
        <v>347</v>
      </c>
      <c r="J136" s="28" t="s">
        <v>195</v>
      </c>
      <c r="K136" s="28" t="s">
        <v>195</v>
      </c>
      <c r="L136" s="29">
        <v>0.25</v>
      </c>
      <c r="M136" s="28" t="s">
        <v>194</v>
      </c>
      <c r="N136" s="29">
        <v>0.3</v>
      </c>
      <c r="O136" s="28" t="s">
        <v>150</v>
      </c>
      <c r="P136" s="29">
        <v>0.24</v>
      </c>
      <c r="Q136" s="28" t="s">
        <v>194</v>
      </c>
      <c r="R136" s="29">
        <v>0.33</v>
      </c>
      <c r="S136" s="28" t="s">
        <v>150</v>
      </c>
      <c r="T136" s="29">
        <v>0.31</v>
      </c>
      <c r="U136" s="28" t="s">
        <v>150</v>
      </c>
      <c r="V136" s="29">
        <v>0.3</v>
      </c>
      <c r="W136" s="28" t="s">
        <v>150</v>
      </c>
      <c r="X136" s="29">
        <v>0</v>
      </c>
      <c r="Y136" s="28" t="s">
        <v>194</v>
      </c>
      <c r="Z136" s="29">
        <v>0.3</v>
      </c>
      <c r="AA136" s="28" t="s">
        <v>150</v>
      </c>
      <c r="AB136" s="102">
        <v>0.35</v>
      </c>
      <c r="AC136" s="28" t="s">
        <v>150</v>
      </c>
      <c r="AD136" s="98">
        <v>0.33</v>
      </c>
      <c r="AE136" s="28" t="s">
        <v>150</v>
      </c>
      <c r="AF136" s="102">
        <v>0.3</v>
      </c>
      <c r="AG136" s="199" t="s">
        <v>150</v>
      </c>
      <c r="AH136" s="102">
        <v>0.37</v>
      </c>
      <c r="AI136" s="199" t="s">
        <v>150</v>
      </c>
      <c r="AJ136" s="102">
        <v>0.36</v>
      </c>
      <c r="AK136" s="199" t="s">
        <v>150</v>
      </c>
    </row>
    <row r="137" spans="1:37" x14ac:dyDescent="0.25">
      <c r="A137" s="21" t="s">
        <v>61</v>
      </c>
      <c r="B137" s="5" t="s">
        <v>27</v>
      </c>
      <c r="C137" s="76" t="s">
        <v>62</v>
      </c>
      <c r="D137" s="26" t="s">
        <v>29</v>
      </c>
      <c r="E137" s="26" t="s">
        <v>145</v>
      </c>
      <c r="F137" s="21" t="s">
        <v>146</v>
      </c>
      <c r="G137" s="21" t="s">
        <v>147</v>
      </c>
      <c r="H137" s="21" t="s">
        <v>348</v>
      </c>
      <c r="I137" s="14" t="s">
        <v>347</v>
      </c>
      <c r="J137" s="28" t="s">
        <v>195</v>
      </c>
      <c r="K137" s="28" t="s">
        <v>195</v>
      </c>
      <c r="L137" s="29">
        <v>0.56000000000000005</v>
      </c>
      <c r="M137" s="28" t="s">
        <v>150</v>
      </c>
      <c r="N137" s="29">
        <v>0.82</v>
      </c>
      <c r="O137" s="28" t="s">
        <v>150</v>
      </c>
      <c r="P137" s="29">
        <v>0.64</v>
      </c>
      <c r="Q137" s="28" t="s">
        <v>150</v>
      </c>
      <c r="R137" s="29">
        <v>0.46</v>
      </c>
      <c r="S137" s="28" t="s">
        <v>150</v>
      </c>
      <c r="T137" s="29">
        <v>0.44</v>
      </c>
      <c r="U137" s="28" t="s">
        <v>150</v>
      </c>
      <c r="V137" s="29">
        <v>0.38</v>
      </c>
      <c r="W137" s="28" t="s">
        <v>150</v>
      </c>
      <c r="X137" s="29">
        <v>0.44</v>
      </c>
      <c r="Y137" s="28" t="s">
        <v>150</v>
      </c>
      <c r="Z137" s="29">
        <v>0.45</v>
      </c>
      <c r="AA137" s="28" t="s">
        <v>150</v>
      </c>
      <c r="AB137" s="102">
        <v>0.46</v>
      </c>
      <c r="AC137" s="28" t="s">
        <v>150</v>
      </c>
      <c r="AD137" s="98">
        <v>0.3</v>
      </c>
      <c r="AE137" s="28" t="s">
        <v>150</v>
      </c>
      <c r="AF137" s="102">
        <v>0.77</v>
      </c>
      <c r="AG137" s="199" t="s">
        <v>150</v>
      </c>
      <c r="AH137" s="102">
        <v>0.45</v>
      </c>
      <c r="AI137" s="199" t="s">
        <v>150</v>
      </c>
      <c r="AJ137" s="102">
        <v>0.54</v>
      </c>
      <c r="AK137" s="199" t="s">
        <v>150</v>
      </c>
    </row>
    <row r="138" spans="1:37" x14ac:dyDescent="0.25">
      <c r="A138" s="21" t="s">
        <v>61</v>
      </c>
      <c r="B138" s="5" t="s">
        <v>27</v>
      </c>
      <c r="C138" s="76" t="s">
        <v>62</v>
      </c>
      <c r="D138" s="26" t="s">
        <v>29</v>
      </c>
      <c r="E138" s="26" t="s">
        <v>145</v>
      </c>
      <c r="F138" s="21" t="s">
        <v>146</v>
      </c>
      <c r="G138" s="21" t="s">
        <v>147</v>
      </c>
      <c r="H138" s="21" t="s">
        <v>349</v>
      </c>
      <c r="I138" s="14" t="s">
        <v>350</v>
      </c>
      <c r="J138" s="28" t="s">
        <v>195</v>
      </c>
      <c r="K138" s="28" t="s">
        <v>195</v>
      </c>
      <c r="L138" s="29">
        <v>0</v>
      </c>
      <c r="M138" s="28" t="s">
        <v>150</v>
      </c>
      <c r="N138" s="29">
        <v>0</v>
      </c>
      <c r="O138" s="28" t="s">
        <v>150</v>
      </c>
      <c r="P138" s="29">
        <v>0</v>
      </c>
      <c r="Q138" s="28" t="s">
        <v>150</v>
      </c>
      <c r="R138" s="29">
        <v>0</v>
      </c>
      <c r="S138" s="28" t="s">
        <v>150</v>
      </c>
      <c r="T138" s="29">
        <v>0</v>
      </c>
      <c r="U138" s="28" t="s">
        <v>150</v>
      </c>
      <c r="V138" s="29">
        <v>0</v>
      </c>
      <c r="W138" s="28" t="s">
        <v>150</v>
      </c>
      <c r="X138" s="28">
        <v>0</v>
      </c>
      <c r="Y138" s="28" t="s">
        <v>150</v>
      </c>
      <c r="Z138" s="28">
        <v>0</v>
      </c>
      <c r="AA138" s="28" t="s">
        <v>150</v>
      </c>
      <c r="AB138" s="102">
        <v>0</v>
      </c>
      <c r="AC138" s="28" t="s">
        <v>150</v>
      </c>
      <c r="AD138" s="98">
        <v>0.02</v>
      </c>
      <c r="AE138" s="28" t="s">
        <v>150</v>
      </c>
      <c r="AF138" s="102">
        <v>0</v>
      </c>
      <c r="AG138" s="199" t="s">
        <v>150</v>
      </c>
      <c r="AH138" s="102">
        <v>0</v>
      </c>
      <c r="AI138" s="199" t="s">
        <v>150</v>
      </c>
      <c r="AJ138" s="102">
        <v>0</v>
      </c>
      <c r="AK138" s="199" t="s">
        <v>150</v>
      </c>
    </row>
    <row r="139" spans="1:37" x14ac:dyDescent="0.25">
      <c r="A139" s="21" t="s">
        <v>61</v>
      </c>
      <c r="B139" s="5" t="s">
        <v>27</v>
      </c>
      <c r="C139" s="76" t="s">
        <v>62</v>
      </c>
      <c r="D139" s="26" t="s">
        <v>29</v>
      </c>
      <c r="E139" s="26" t="s">
        <v>145</v>
      </c>
      <c r="F139" s="21" t="s">
        <v>146</v>
      </c>
      <c r="G139" s="21" t="s">
        <v>147</v>
      </c>
      <c r="H139" s="21" t="s">
        <v>351</v>
      </c>
      <c r="I139" s="14" t="s">
        <v>352</v>
      </c>
      <c r="J139" s="28" t="s">
        <v>195</v>
      </c>
      <c r="K139" s="28" t="s">
        <v>195</v>
      </c>
      <c r="L139" s="29">
        <v>0.04</v>
      </c>
      <c r="M139" s="28" t="s">
        <v>150</v>
      </c>
      <c r="N139" s="29">
        <v>0</v>
      </c>
      <c r="O139" s="28" t="s">
        <v>150</v>
      </c>
      <c r="P139" s="29">
        <v>0.02</v>
      </c>
      <c r="Q139" s="28" t="s">
        <v>150</v>
      </c>
      <c r="R139" s="29">
        <v>0</v>
      </c>
      <c r="S139" s="28" t="s">
        <v>150</v>
      </c>
      <c r="T139" s="29">
        <v>0</v>
      </c>
      <c r="U139" s="28" t="s">
        <v>150</v>
      </c>
      <c r="V139" s="29">
        <v>0</v>
      </c>
      <c r="W139" s="28" t="s">
        <v>150</v>
      </c>
      <c r="X139" s="29">
        <v>0.05</v>
      </c>
      <c r="Y139" s="28" t="s">
        <v>150</v>
      </c>
      <c r="Z139" s="29">
        <v>0.05</v>
      </c>
      <c r="AA139" s="28" t="s">
        <v>150</v>
      </c>
      <c r="AB139" s="102">
        <v>0</v>
      </c>
      <c r="AC139" s="28" t="s">
        <v>150</v>
      </c>
      <c r="AD139" s="98">
        <v>0</v>
      </c>
      <c r="AE139" s="28" t="s">
        <v>150</v>
      </c>
      <c r="AF139" s="102">
        <v>0</v>
      </c>
      <c r="AG139" s="199" t="s">
        <v>150</v>
      </c>
      <c r="AH139" s="102">
        <v>0.03</v>
      </c>
      <c r="AI139" s="199" t="s">
        <v>150</v>
      </c>
      <c r="AJ139" s="102">
        <v>0.01</v>
      </c>
      <c r="AK139" s="199" t="s">
        <v>150</v>
      </c>
    </row>
    <row r="140" spans="1:37" x14ac:dyDescent="0.25">
      <c r="A140" s="21" t="s">
        <v>61</v>
      </c>
      <c r="B140" s="5" t="s">
        <v>27</v>
      </c>
      <c r="C140" s="76" t="s">
        <v>62</v>
      </c>
      <c r="D140" s="26" t="s">
        <v>29</v>
      </c>
      <c r="E140" s="26" t="s">
        <v>145</v>
      </c>
      <c r="F140" s="21" t="s">
        <v>146</v>
      </c>
      <c r="G140" s="21" t="s">
        <v>147</v>
      </c>
      <c r="H140" s="26" t="s">
        <v>174</v>
      </c>
      <c r="I140" s="14" t="s">
        <v>353</v>
      </c>
      <c r="J140" s="15" t="s">
        <v>154</v>
      </c>
      <c r="K140" s="15" t="s">
        <v>154</v>
      </c>
      <c r="L140" s="15" t="s">
        <v>154</v>
      </c>
      <c r="M140" s="15" t="s">
        <v>154</v>
      </c>
      <c r="N140" s="15" t="s">
        <v>154</v>
      </c>
      <c r="O140" s="15" t="s">
        <v>154</v>
      </c>
      <c r="P140" s="15" t="s">
        <v>154</v>
      </c>
      <c r="Q140" s="15" t="s">
        <v>154</v>
      </c>
      <c r="R140" s="17" t="s">
        <v>154</v>
      </c>
      <c r="S140" s="15" t="s">
        <v>154</v>
      </c>
      <c r="T140" s="15" t="s">
        <v>154</v>
      </c>
      <c r="U140" s="15" t="s">
        <v>154</v>
      </c>
      <c r="V140" s="28" t="s">
        <v>154</v>
      </c>
      <c r="W140" s="15" t="s">
        <v>154</v>
      </c>
      <c r="X140" s="28" t="s">
        <v>154</v>
      </c>
      <c r="Y140" s="15" t="s">
        <v>154</v>
      </c>
      <c r="Z140" s="28" t="s">
        <v>154</v>
      </c>
      <c r="AA140" s="15" t="s">
        <v>154</v>
      </c>
      <c r="AB140" s="93" t="s">
        <v>154</v>
      </c>
      <c r="AC140" s="15" t="s">
        <v>154</v>
      </c>
      <c r="AD140" s="93" t="s">
        <v>154</v>
      </c>
      <c r="AE140" s="97" t="s">
        <v>154</v>
      </c>
      <c r="AF140" s="140" t="s">
        <v>154</v>
      </c>
      <c r="AG140" s="97" t="s">
        <v>154</v>
      </c>
      <c r="AH140" s="79" t="s">
        <v>154</v>
      </c>
      <c r="AI140" s="97" t="s">
        <v>154</v>
      </c>
      <c r="AJ140" s="93" t="s">
        <v>154</v>
      </c>
      <c r="AK140" s="97" t="s">
        <v>154</v>
      </c>
    </row>
    <row r="141" spans="1:37" x14ac:dyDescent="0.25">
      <c r="A141" s="21" t="s">
        <v>61</v>
      </c>
      <c r="B141" s="5" t="s">
        <v>27</v>
      </c>
      <c r="C141" s="76" t="s">
        <v>62</v>
      </c>
      <c r="D141" s="26" t="s">
        <v>29</v>
      </c>
      <c r="E141" s="26" t="s">
        <v>145</v>
      </c>
      <c r="F141" s="21" t="s">
        <v>146</v>
      </c>
      <c r="G141" s="21" t="s">
        <v>147</v>
      </c>
      <c r="H141" s="26" t="s">
        <v>174</v>
      </c>
      <c r="I141" s="14" t="s">
        <v>354</v>
      </c>
      <c r="J141" s="15" t="s">
        <v>154</v>
      </c>
      <c r="K141" s="15" t="s">
        <v>154</v>
      </c>
      <c r="L141" s="15" t="s">
        <v>154</v>
      </c>
      <c r="M141" s="15" t="s">
        <v>154</v>
      </c>
      <c r="N141" s="15" t="s">
        <v>154</v>
      </c>
      <c r="O141" s="15" t="s">
        <v>154</v>
      </c>
      <c r="P141" s="15" t="s">
        <v>154</v>
      </c>
      <c r="Q141" s="15" t="s">
        <v>154</v>
      </c>
      <c r="R141" s="17" t="s">
        <v>154</v>
      </c>
      <c r="S141" s="15" t="s">
        <v>154</v>
      </c>
      <c r="T141" s="15" t="s">
        <v>154</v>
      </c>
      <c r="U141" s="15" t="s">
        <v>154</v>
      </c>
      <c r="V141" s="28" t="s">
        <v>154</v>
      </c>
      <c r="W141" s="15" t="s">
        <v>154</v>
      </c>
      <c r="X141" s="28" t="s">
        <v>154</v>
      </c>
      <c r="Y141" s="15" t="s">
        <v>154</v>
      </c>
      <c r="Z141" s="28" t="s">
        <v>154</v>
      </c>
      <c r="AA141" s="15" t="s">
        <v>154</v>
      </c>
      <c r="AB141" s="93" t="s">
        <v>154</v>
      </c>
      <c r="AC141" s="15" t="s">
        <v>154</v>
      </c>
      <c r="AD141" s="93" t="s">
        <v>154</v>
      </c>
      <c r="AE141" s="97" t="s">
        <v>154</v>
      </c>
      <c r="AF141" s="140" t="s">
        <v>154</v>
      </c>
      <c r="AG141" s="97" t="s">
        <v>154</v>
      </c>
      <c r="AH141" s="79" t="s">
        <v>154</v>
      </c>
      <c r="AI141" s="97" t="s">
        <v>154</v>
      </c>
      <c r="AJ141" s="93" t="s">
        <v>154</v>
      </c>
      <c r="AK141" s="97" t="s">
        <v>154</v>
      </c>
    </row>
    <row r="142" spans="1:37" x14ac:dyDescent="0.25">
      <c r="A142" s="21" t="s">
        <v>61</v>
      </c>
      <c r="B142" s="5" t="s">
        <v>27</v>
      </c>
      <c r="C142" s="76" t="s">
        <v>62</v>
      </c>
      <c r="D142" s="26" t="s">
        <v>29</v>
      </c>
      <c r="E142" s="26" t="s">
        <v>145</v>
      </c>
      <c r="F142" s="21" t="s">
        <v>146</v>
      </c>
      <c r="G142" s="21" t="s">
        <v>147</v>
      </c>
      <c r="H142" s="21" t="s">
        <v>355</v>
      </c>
      <c r="I142" s="14" t="s">
        <v>356</v>
      </c>
      <c r="J142" s="15" t="s">
        <v>154</v>
      </c>
      <c r="K142" s="15" t="s">
        <v>154</v>
      </c>
      <c r="L142" s="15" t="s">
        <v>154</v>
      </c>
      <c r="M142" s="15" t="s">
        <v>154</v>
      </c>
      <c r="N142" s="15" t="s">
        <v>154</v>
      </c>
      <c r="O142" s="15" t="s">
        <v>154</v>
      </c>
      <c r="P142" s="15" t="s">
        <v>154</v>
      </c>
      <c r="Q142" s="15" t="s">
        <v>154</v>
      </c>
      <c r="R142" s="17" t="s">
        <v>154</v>
      </c>
      <c r="S142" s="15" t="s">
        <v>154</v>
      </c>
      <c r="T142" s="15" t="s">
        <v>154</v>
      </c>
      <c r="U142" s="15" t="s">
        <v>154</v>
      </c>
      <c r="V142" s="28" t="s">
        <v>154</v>
      </c>
      <c r="W142" s="15" t="s">
        <v>154</v>
      </c>
      <c r="X142" s="28" t="s">
        <v>154</v>
      </c>
      <c r="Y142" s="15" t="s">
        <v>154</v>
      </c>
      <c r="Z142" s="28" t="s">
        <v>154</v>
      </c>
      <c r="AA142" s="15" t="s">
        <v>154</v>
      </c>
      <c r="AB142" s="93" t="s">
        <v>154</v>
      </c>
      <c r="AC142" s="15" t="s">
        <v>154</v>
      </c>
      <c r="AD142" s="93" t="s">
        <v>154</v>
      </c>
      <c r="AE142" s="126" t="s">
        <v>154</v>
      </c>
      <c r="AF142" s="140" t="s">
        <v>154</v>
      </c>
      <c r="AG142" s="97" t="s">
        <v>154</v>
      </c>
      <c r="AH142" s="79" t="s">
        <v>154</v>
      </c>
      <c r="AI142" s="94" t="s">
        <v>154</v>
      </c>
      <c r="AJ142" s="93" t="s">
        <v>154</v>
      </c>
      <c r="AK142" s="94" t="s">
        <v>154</v>
      </c>
    </row>
    <row r="143" spans="1:37" x14ac:dyDescent="0.25">
      <c r="A143" s="21" t="s">
        <v>61</v>
      </c>
      <c r="B143" s="5" t="s">
        <v>27</v>
      </c>
      <c r="C143" s="76" t="s">
        <v>62</v>
      </c>
      <c r="D143" s="26" t="s">
        <v>29</v>
      </c>
      <c r="E143" s="26" t="s">
        <v>145</v>
      </c>
      <c r="F143" s="21" t="s">
        <v>146</v>
      </c>
      <c r="G143" s="21" t="s">
        <v>147</v>
      </c>
      <c r="H143" s="21" t="s">
        <v>357</v>
      </c>
      <c r="I143" s="14" t="s">
        <v>356</v>
      </c>
      <c r="J143" s="15" t="s">
        <v>154</v>
      </c>
      <c r="K143" s="15" t="s">
        <v>154</v>
      </c>
      <c r="L143" s="15" t="s">
        <v>154</v>
      </c>
      <c r="M143" s="15" t="s">
        <v>154</v>
      </c>
      <c r="N143" s="15" t="s">
        <v>154</v>
      </c>
      <c r="O143" s="15" t="s">
        <v>154</v>
      </c>
      <c r="P143" s="15" t="s">
        <v>154</v>
      </c>
      <c r="Q143" s="15" t="s">
        <v>154</v>
      </c>
      <c r="R143" s="17" t="s">
        <v>154</v>
      </c>
      <c r="S143" s="15" t="s">
        <v>154</v>
      </c>
      <c r="T143" s="15" t="s">
        <v>154</v>
      </c>
      <c r="U143" s="15" t="s">
        <v>154</v>
      </c>
      <c r="V143" s="28" t="s">
        <v>154</v>
      </c>
      <c r="W143" s="15" t="s">
        <v>154</v>
      </c>
      <c r="X143" s="28" t="s">
        <v>154</v>
      </c>
      <c r="Y143" s="15" t="s">
        <v>154</v>
      </c>
      <c r="Z143" s="28" t="s">
        <v>154</v>
      </c>
      <c r="AA143" s="15" t="s">
        <v>154</v>
      </c>
      <c r="AB143" s="93" t="s">
        <v>154</v>
      </c>
      <c r="AC143" s="15" t="s">
        <v>154</v>
      </c>
      <c r="AD143" s="93" t="s">
        <v>154</v>
      </c>
      <c r="AE143" s="126" t="s">
        <v>154</v>
      </c>
      <c r="AF143" s="140" t="s">
        <v>154</v>
      </c>
      <c r="AG143" s="97" t="s">
        <v>154</v>
      </c>
      <c r="AH143" s="79" t="s">
        <v>154</v>
      </c>
      <c r="AI143" s="94" t="s">
        <v>154</v>
      </c>
      <c r="AJ143" s="93" t="s">
        <v>154</v>
      </c>
      <c r="AK143" s="94" t="s">
        <v>154</v>
      </c>
    </row>
    <row r="144" spans="1:37" x14ac:dyDescent="0.25">
      <c r="A144" s="21" t="s">
        <v>61</v>
      </c>
      <c r="B144" s="5" t="s">
        <v>27</v>
      </c>
      <c r="C144" s="76" t="s">
        <v>62</v>
      </c>
      <c r="D144" s="26" t="s">
        <v>29</v>
      </c>
      <c r="E144" s="26" t="s">
        <v>145</v>
      </c>
      <c r="F144" s="21" t="s">
        <v>146</v>
      </c>
      <c r="G144" s="21" t="s">
        <v>147</v>
      </c>
      <c r="H144" s="21" t="s">
        <v>355</v>
      </c>
      <c r="I144" s="14" t="s">
        <v>356</v>
      </c>
      <c r="J144" s="15" t="s">
        <v>154</v>
      </c>
      <c r="K144" s="15" t="s">
        <v>154</v>
      </c>
      <c r="L144" s="15" t="s">
        <v>154</v>
      </c>
      <c r="M144" s="15" t="s">
        <v>154</v>
      </c>
      <c r="N144" s="15" t="s">
        <v>154</v>
      </c>
      <c r="O144" s="15" t="s">
        <v>154</v>
      </c>
      <c r="P144" s="15" t="s">
        <v>154</v>
      </c>
      <c r="Q144" s="15" t="s">
        <v>154</v>
      </c>
      <c r="R144" s="17" t="s">
        <v>154</v>
      </c>
      <c r="S144" s="15" t="s">
        <v>154</v>
      </c>
      <c r="T144" s="15" t="s">
        <v>154</v>
      </c>
      <c r="U144" s="15" t="s">
        <v>154</v>
      </c>
      <c r="V144" s="28" t="s">
        <v>154</v>
      </c>
      <c r="W144" s="15" t="s">
        <v>154</v>
      </c>
      <c r="X144" s="28" t="s">
        <v>154</v>
      </c>
      <c r="Y144" s="15" t="s">
        <v>154</v>
      </c>
      <c r="Z144" s="28" t="s">
        <v>154</v>
      </c>
      <c r="AA144" s="15" t="s">
        <v>154</v>
      </c>
      <c r="AB144" s="93" t="s">
        <v>154</v>
      </c>
      <c r="AC144" s="15" t="s">
        <v>154</v>
      </c>
      <c r="AD144" s="93" t="s">
        <v>154</v>
      </c>
      <c r="AE144" s="126" t="s">
        <v>154</v>
      </c>
      <c r="AF144" s="140" t="s">
        <v>154</v>
      </c>
      <c r="AG144" s="97" t="s">
        <v>154</v>
      </c>
      <c r="AH144" s="79" t="s">
        <v>154</v>
      </c>
      <c r="AI144" s="94" t="s">
        <v>154</v>
      </c>
      <c r="AJ144" s="93" t="s">
        <v>154</v>
      </c>
      <c r="AK144" s="94" t="s">
        <v>154</v>
      </c>
    </row>
    <row r="145" spans="1:37" x14ac:dyDescent="0.25">
      <c r="A145" s="21" t="s">
        <v>61</v>
      </c>
      <c r="B145" s="5" t="s">
        <v>27</v>
      </c>
      <c r="C145" s="76" t="s">
        <v>62</v>
      </c>
      <c r="D145" s="26" t="s">
        <v>29</v>
      </c>
      <c r="E145" s="26" t="s">
        <v>145</v>
      </c>
      <c r="F145" s="21" t="s">
        <v>146</v>
      </c>
      <c r="G145" s="21" t="s">
        <v>147</v>
      </c>
      <c r="H145" s="21" t="s">
        <v>357</v>
      </c>
      <c r="I145" s="14" t="s">
        <v>356</v>
      </c>
      <c r="J145" s="15" t="s">
        <v>154</v>
      </c>
      <c r="K145" s="15" t="s">
        <v>154</v>
      </c>
      <c r="L145" s="15" t="s">
        <v>154</v>
      </c>
      <c r="M145" s="15" t="s">
        <v>154</v>
      </c>
      <c r="N145" s="15" t="s">
        <v>154</v>
      </c>
      <c r="O145" s="15" t="s">
        <v>154</v>
      </c>
      <c r="P145" s="15" t="s">
        <v>154</v>
      </c>
      <c r="Q145" s="15" t="s">
        <v>154</v>
      </c>
      <c r="R145" s="17" t="s">
        <v>154</v>
      </c>
      <c r="S145" s="15" t="s">
        <v>154</v>
      </c>
      <c r="T145" s="15" t="s">
        <v>154</v>
      </c>
      <c r="U145" s="15" t="s">
        <v>154</v>
      </c>
      <c r="V145" s="28" t="s">
        <v>154</v>
      </c>
      <c r="W145" s="15" t="s">
        <v>154</v>
      </c>
      <c r="X145" s="28" t="s">
        <v>154</v>
      </c>
      <c r="Y145" s="15" t="s">
        <v>154</v>
      </c>
      <c r="Z145" s="28" t="s">
        <v>154</v>
      </c>
      <c r="AA145" s="15" t="s">
        <v>154</v>
      </c>
      <c r="AB145" s="93" t="s">
        <v>154</v>
      </c>
      <c r="AC145" s="15" t="s">
        <v>154</v>
      </c>
      <c r="AD145" s="93" t="s">
        <v>154</v>
      </c>
      <c r="AE145" s="126" t="s">
        <v>154</v>
      </c>
      <c r="AF145" s="140" t="s">
        <v>154</v>
      </c>
      <c r="AG145" s="97" t="s">
        <v>154</v>
      </c>
      <c r="AH145" s="79" t="s">
        <v>154</v>
      </c>
      <c r="AI145" s="94" t="s">
        <v>154</v>
      </c>
      <c r="AJ145" s="93" t="s">
        <v>154</v>
      </c>
      <c r="AK145" s="94" t="s">
        <v>154</v>
      </c>
    </row>
    <row r="146" spans="1:37" x14ac:dyDescent="0.25">
      <c r="A146" s="21" t="s">
        <v>61</v>
      </c>
      <c r="B146" s="5" t="s">
        <v>27</v>
      </c>
      <c r="C146" s="76" t="s">
        <v>62</v>
      </c>
      <c r="D146" s="26" t="s">
        <v>29</v>
      </c>
      <c r="E146" s="26" t="s">
        <v>145</v>
      </c>
      <c r="F146" s="21" t="s">
        <v>146</v>
      </c>
      <c r="G146" s="21" t="s">
        <v>147</v>
      </c>
      <c r="H146" s="21" t="s">
        <v>355</v>
      </c>
      <c r="I146" s="14" t="s">
        <v>356</v>
      </c>
      <c r="J146" s="15" t="s">
        <v>154</v>
      </c>
      <c r="K146" s="15" t="s">
        <v>154</v>
      </c>
      <c r="L146" s="15" t="s">
        <v>154</v>
      </c>
      <c r="M146" s="15" t="s">
        <v>154</v>
      </c>
      <c r="N146" s="15" t="s">
        <v>154</v>
      </c>
      <c r="O146" s="15" t="s">
        <v>154</v>
      </c>
      <c r="P146" s="15" t="s">
        <v>154</v>
      </c>
      <c r="Q146" s="15" t="s">
        <v>154</v>
      </c>
      <c r="R146" s="17" t="s">
        <v>154</v>
      </c>
      <c r="S146" s="15" t="s">
        <v>154</v>
      </c>
      <c r="T146" s="15" t="s">
        <v>154</v>
      </c>
      <c r="U146" s="15" t="s">
        <v>154</v>
      </c>
      <c r="V146" s="28" t="s">
        <v>154</v>
      </c>
      <c r="W146" s="15" t="s">
        <v>154</v>
      </c>
      <c r="X146" s="28" t="s">
        <v>154</v>
      </c>
      <c r="Y146" s="15" t="s">
        <v>154</v>
      </c>
      <c r="Z146" s="28" t="s">
        <v>154</v>
      </c>
      <c r="AA146" s="15" t="s">
        <v>154</v>
      </c>
      <c r="AB146" s="93" t="s">
        <v>154</v>
      </c>
      <c r="AC146" s="15" t="s">
        <v>154</v>
      </c>
      <c r="AD146" s="93" t="s">
        <v>154</v>
      </c>
      <c r="AE146" s="126" t="s">
        <v>154</v>
      </c>
      <c r="AF146" s="140" t="s">
        <v>154</v>
      </c>
      <c r="AG146" s="97" t="s">
        <v>154</v>
      </c>
      <c r="AH146" s="79" t="s">
        <v>154</v>
      </c>
      <c r="AI146" s="94" t="s">
        <v>154</v>
      </c>
      <c r="AJ146" s="93" t="s">
        <v>154</v>
      </c>
      <c r="AK146" s="94" t="s">
        <v>154</v>
      </c>
    </row>
    <row r="147" spans="1:37" x14ac:dyDescent="0.25">
      <c r="A147" s="21" t="s">
        <v>61</v>
      </c>
      <c r="B147" s="5" t="s">
        <v>27</v>
      </c>
      <c r="C147" s="76" t="s">
        <v>62</v>
      </c>
      <c r="D147" s="26" t="s">
        <v>29</v>
      </c>
      <c r="E147" s="26" t="s">
        <v>145</v>
      </c>
      <c r="F147" s="21" t="s">
        <v>146</v>
      </c>
      <c r="G147" s="21" t="s">
        <v>147</v>
      </c>
      <c r="H147" s="21" t="s">
        <v>357</v>
      </c>
      <c r="I147" s="14" t="s">
        <v>356</v>
      </c>
      <c r="J147" s="15" t="s">
        <v>154</v>
      </c>
      <c r="K147" s="15" t="s">
        <v>154</v>
      </c>
      <c r="L147" s="15" t="s">
        <v>154</v>
      </c>
      <c r="M147" s="15" t="s">
        <v>154</v>
      </c>
      <c r="N147" s="15" t="s">
        <v>154</v>
      </c>
      <c r="O147" s="15" t="s">
        <v>154</v>
      </c>
      <c r="P147" s="15" t="s">
        <v>154</v>
      </c>
      <c r="Q147" s="15" t="s">
        <v>154</v>
      </c>
      <c r="R147" s="17" t="s">
        <v>154</v>
      </c>
      <c r="S147" s="15" t="s">
        <v>154</v>
      </c>
      <c r="T147" s="15" t="s">
        <v>154</v>
      </c>
      <c r="U147" s="15" t="s">
        <v>154</v>
      </c>
      <c r="V147" s="28" t="s">
        <v>154</v>
      </c>
      <c r="W147" s="15" t="s">
        <v>154</v>
      </c>
      <c r="X147" s="28" t="s">
        <v>154</v>
      </c>
      <c r="Y147" s="15" t="s">
        <v>154</v>
      </c>
      <c r="Z147" s="28" t="s">
        <v>154</v>
      </c>
      <c r="AA147" s="15" t="s">
        <v>154</v>
      </c>
      <c r="AB147" s="93" t="s">
        <v>154</v>
      </c>
      <c r="AC147" s="15" t="s">
        <v>154</v>
      </c>
      <c r="AD147" s="93" t="s">
        <v>154</v>
      </c>
      <c r="AE147" s="126" t="s">
        <v>154</v>
      </c>
      <c r="AF147" s="140" t="s">
        <v>154</v>
      </c>
      <c r="AG147" s="97" t="s">
        <v>154</v>
      </c>
      <c r="AH147" s="79" t="s">
        <v>154</v>
      </c>
      <c r="AI147" s="94" t="s">
        <v>154</v>
      </c>
      <c r="AJ147" s="93" t="s">
        <v>154</v>
      </c>
      <c r="AK147" s="94" t="s">
        <v>154</v>
      </c>
    </row>
    <row r="148" spans="1:37" x14ac:dyDescent="0.25">
      <c r="A148" s="21" t="s">
        <v>61</v>
      </c>
      <c r="B148" s="5" t="s">
        <v>27</v>
      </c>
      <c r="C148" s="76" t="s">
        <v>62</v>
      </c>
      <c r="D148" s="26" t="s">
        <v>29</v>
      </c>
      <c r="E148" s="26" t="s">
        <v>145</v>
      </c>
      <c r="F148" s="21" t="s">
        <v>146</v>
      </c>
      <c r="G148" s="21" t="s">
        <v>147</v>
      </c>
      <c r="H148" s="21" t="s">
        <v>358</v>
      </c>
      <c r="I148" s="15" t="s">
        <v>187</v>
      </c>
      <c r="J148" s="15" t="s">
        <v>154</v>
      </c>
      <c r="K148" s="15" t="s">
        <v>154</v>
      </c>
      <c r="L148" s="15" t="s">
        <v>154</v>
      </c>
      <c r="M148" s="15" t="s">
        <v>154</v>
      </c>
      <c r="N148" s="15" t="s">
        <v>154</v>
      </c>
      <c r="O148" s="15" t="s">
        <v>154</v>
      </c>
      <c r="P148" s="15" t="s">
        <v>154</v>
      </c>
      <c r="Q148" s="15" t="s">
        <v>154</v>
      </c>
      <c r="R148" s="17" t="s">
        <v>154</v>
      </c>
      <c r="S148" s="15" t="s">
        <v>154</v>
      </c>
      <c r="T148" s="15" t="s">
        <v>154</v>
      </c>
      <c r="U148" s="15" t="s">
        <v>154</v>
      </c>
      <c r="V148" s="28" t="s">
        <v>154</v>
      </c>
      <c r="W148" s="15" t="s">
        <v>154</v>
      </c>
      <c r="X148" s="28" t="s">
        <v>154</v>
      </c>
      <c r="Y148" s="15" t="s">
        <v>154</v>
      </c>
      <c r="Z148" s="28" t="s">
        <v>154</v>
      </c>
      <c r="AA148" s="15" t="s">
        <v>154</v>
      </c>
      <c r="AB148" s="93" t="s">
        <v>154</v>
      </c>
      <c r="AC148" s="15" t="s">
        <v>154</v>
      </c>
      <c r="AD148" s="93" t="s">
        <v>154</v>
      </c>
      <c r="AE148" s="97" t="s">
        <v>154</v>
      </c>
      <c r="AF148" s="140" t="s">
        <v>154</v>
      </c>
      <c r="AG148" s="97" t="s">
        <v>154</v>
      </c>
      <c r="AH148" s="79" t="s">
        <v>154</v>
      </c>
      <c r="AI148" s="97" t="s">
        <v>154</v>
      </c>
      <c r="AJ148" s="93" t="s">
        <v>154</v>
      </c>
      <c r="AK148" s="97" t="s">
        <v>154</v>
      </c>
    </row>
    <row r="149" spans="1:37" x14ac:dyDescent="0.25">
      <c r="A149" s="21" t="s">
        <v>61</v>
      </c>
      <c r="B149" s="5" t="s">
        <v>27</v>
      </c>
      <c r="C149" s="76" t="s">
        <v>62</v>
      </c>
      <c r="D149" s="26" t="s">
        <v>29</v>
      </c>
      <c r="E149" s="26" t="s">
        <v>145</v>
      </c>
      <c r="F149" s="21" t="s">
        <v>146</v>
      </c>
      <c r="G149" s="21" t="s">
        <v>147</v>
      </c>
      <c r="H149" s="21" t="s">
        <v>358</v>
      </c>
      <c r="I149" s="15" t="s">
        <v>187</v>
      </c>
      <c r="J149" s="15" t="s">
        <v>154</v>
      </c>
      <c r="K149" s="15" t="s">
        <v>154</v>
      </c>
      <c r="L149" s="15" t="s">
        <v>154</v>
      </c>
      <c r="M149" s="15" t="s">
        <v>154</v>
      </c>
      <c r="N149" s="15" t="s">
        <v>154</v>
      </c>
      <c r="O149" s="15" t="s">
        <v>154</v>
      </c>
      <c r="P149" s="15" t="s">
        <v>154</v>
      </c>
      <c r="Q149" s="15" t="s">
        <v>154</v>
      </c>
      <c r="R149" s="17" t="s">
        <v>154</v>
      </c>
      <c r="S149" s="15" t="s">
        <v>154</v>
      </c>
      <c r="T149" s="15" t="s">
        <v>154</v>
      </c>
      <c r="U149" s="15" t="s">
        <v>154</v>
      </c>
      <c r="V149" s="28" t="s">
        <v>154</v>
      </c>
      <c r="W149" s="15" t="s">
        <v>154</v>
      </c>
      <c r="X149" s="28" t="s">
        <v>154</v>
      </c>
      <c r="Y149" s="15" t="s">
        <v>154</v>
      </c>
      <c r="Z149" s="28" t="s">
        <v>154</v>
      </c>
      <c r="AA149" s="15" t="s">
        <v>154</v>
      </c>
      <c r="AB149" s="93" t="s">
        <v>154</v>
      </c>
      <c r="AC149" s="15" t="s">
        <v>154</v>
      </c>
      <c r="AD149" s="93" t="s">
        <v>154</v>
      </c>
      <c r="AE149" s="97" t="s">
        <v>154</v>
      </c>
      <c r="AF149" s="140" t="s">
        <v>154</v>
      </c>
      <c r="AG149" s="97" t="s">
        <v>154</v>
      </c>
      <c r="AH149" s="79" t="s">
        <v>154</v>
      </c>
      <c r="AI149" s="97" t="s">
        <v>154</v>
      </c>
      <c r="AJ149" s="93" t="s">
        <v>154</v>
      </c>
      <c r="AK149" s="97" t="s">
        <v>154</v>
      </c>
    </row>
    <row r="150" spans="1:37" x14ac:dyDescent="0.25">
      <c r="A150" s="21" t="s">
        <v>61</v>
      </c>
      <c r="B150" s="5" t="s">
        <v>27</v>
      </c>
      <c r="C150" s="76" t="s">
        <v>62</v>
      </c>
      <c r="D150" s="26" t="s">
        <v>29</v>
      </c>
      <c r="E150" s="26" t="s">
        <v>145</v>
      </c>
      <c r="F150" s="21" t="s">
        <v>179</v>
      </c>
      <c r="G150" s="21" t="s">
        <v>147</v>
      </c>
      <c r="H150" s="27" t="s">
        <v>180</v>
      </c>
      <c r="I150" s="15" t="s">
        <v>359</v>
      </c>
      <c r="J150" s="15" t="s">
        <v>154</v>
      </c>
      <c r="K150" s="15" t="s">
        <v>154</v>
      </c>
      <c r="L150" s="15" t="s">
        <v>154</v>
      </c>
      <c r="M150" s="15" t="s">
        <v>154</v>
      </c>
      <c r="N150" s="15" t="s">
        <v>154</v>
      </c>
      <c r="O150" s="15" t="s">
        <v>154</v>
      </c>
      <c r="P150" s="15" t="s">
        <v>154</v>
      </c>
      <c r="Q150" s="15" t="s">
        <v>154</v>
      </c>
      <c r="R150" s="17" t="s">
        <v>154</v>
      </c>
      <c r="S150" s="15" t="s">
        <v>154</v>
      </c>
      <c r="T150" s="15" t="s">
        <v>154</v>
      </c>
      <c r="U150" s="15" t="s">
        <v>154</v>
      </c>
      <c r="V150" s="28" t="s">
        <v>154</v>
      </c>
      <c r="W150" s="15" t="s">
        <v>154</v>
      </c>
      <c r="X150" s="28" t="s">
        <v>154</v>
      </c>
      <c r="Y150" s="15" t="s">
        <v>154</v>
      </c>
      <c r="Z150" s="28" t="s">
        <v>154</v>
      </c>
      <c r="AA150" s="15" t="s">
        <v>154</v>
      </c>
      <c r="AB150" s="93" t="s">
        <v>154</v>
      </c>
      <c r="AC150" s="15" t="s">
        <v>154</v>
      </c>
      <c r="AD150" s="93" t="s">
        <v>154</v>
      </c>
      <c r="AE150" s="97" t="s">
        <v>154</v>
      </c>
      <c r="AF150" s="140" t="s">
        <v>154</v>
      </c>
      <c r="AG150" s="97" t="s">
        <v>154</v>
      </c>
      <c r="AH150" s="79" t="s">
        <v>154</v>
      </c>
      <c r="AI150" s="97" t="s">
        <v>154</v>
      </c>
      <c r="AJ150" s="93" t="s">
        <v>154</v>
      </c>
      <c r="AK150" s="97" t="s">
        <v>154</v>
      </c>
    </row>
    <row r="151" spans="1:37" x14ac:dyDescent="0.25">
      <c r="A151" s="21" t="s">
        <v>61</v>
      </c>
      <c r="B151" s="5" t="s">
        <v>27</v>
      </c>
      <c r="C151" s="76" t="s">
        <v>62</v>
      </c>
      <c r="D151" s="26" t="s">
        <v>29</v>
      </c>
      <c r="E151" s="26" t="s">
        <v>145</v>
      </c>
      <c r="F151" s="21" t="s">
        <v>179</v>
      </c>
      <c r="G151" s="21" t="s">
        <v>147</v>
      </c>
      <c r="H151" s="27" t="s">
        <v>180</v>
      </c>
      <c r="I151" s="15" t="s">
        <v>360</v>
      </c>
      <c r="J151" s="15" t="s">
        <v>154</v>
      </c>
      <c r="K151" s="15" t="s">
        <v>154</v>
      </c>
      <c r="L151" s="15" t="s">
        <v>154</v>
      </c>
      <c r="M151" s="15" t="s">
        <v>154</v>
      </c>
      <c r="N151" s="15" t="s">
        <v>154</v>
      </c>
      <c r="O151" s="15" t="s">
        <v>154</v>
      </c>
      <c r="P151" s="15" t="s">
        <v>154</v>
      </c>
      <c r="Q151" s="15" t="s">
        <v>154</v>
      </c>
      <c r="R151" s="17" t="s">
        <v>154</v>
      </c>
      <c r="S151" s="15" t="s">
        <v>154</v>
      </c>
      <c r="T151" s="15" t="s">
        <v>154</v>
      </c>
      <c r="U151" s="15" t="s">
        <v>154</v>
      </c>
      <c r="V151" s="28" t="s">
        <v>154</v>
      </c>
      <c r="W151" s="15" t="s">
        <v>154</v>
      </c>
      <c r="X151" s="28" t="s">
        <v>154</v>
      </c>
      <c r="Y151" s="15" t="s">
        <v>154</v>
      </c>
      <c r="Z151" s="28" t="s">
        <v>154</v>
      </c>
      <c r="AA151" s="15" t="s">
        <v>154</v>
      </c>
      <c r="AB151" s="93" t="s">
        <v>154</v>
      </c>
      <c r="AC151" s="15" t="s">
        <v>154</v>
      </c>
      <c r="AD151" s="93" t="s">
        <v>154</v>
      </c>
      <c r="AE151" s="97" t="s">
        <v>154</v>
      </c>
      <c r="AF151" s="140" t="s">
        <v>154</v>
      </c>
      <c r="AG151" s="97" t="s">
        <v>154</v>
      </c>
      <c r="AH151" s="79" t="s">
        <v>154</v>
      </c>
      <c r="AI151" s="97" t="s">
        <v>154</v>
      </c>
      <c r="AJ151" s="93" t="s">
        <v>154</v>
      </c>
      <c r="AK151" s="97" t="s">
        <v>154</v>
      </c>
    </row>
    <row r="152" spans="1:37" x14ac:dyDescent="0.25">
      <c r="A152" s="21" t="s">
        <v>61</v>
      </c>
      <c r="B152" s="5" t="s">
        <v>27</v>
      </c>
      <c r="C152" s="76" t="s">
        <v>62</v>
      </c>
      <c r="D152" s="26" t="s">
        <v>29</v>
      </c>
      <c r="E152" s="26" t="s">
        <v>145</v>
      </c>
      <c r="F152" s="21" t="s">
        <v>179</v>
      </c>
      <c r="G152" s="21" t="s">
        <v>147</v>
      </c>
      <c r="H152" s="27" t="s">
        <v>188</v>
      </c>
      <c r="I152" s="15" t="s">
        <v>187</v>
      </c>
      <c r="J152" s="15" t="s">
        <v>154</v>
      </c>
      <c r="K152" s="15" t="s">
        <v>154</v>
      </c>
      <c r="L152" s="15" t="s">
        <v>154</v>
      </c>
      <c r="M152" s="15" t="s">
        <v>154</v>
      </c>
      <c r="N152" s="15" t="s">
        <v>154</v>
      </c>
      <c r="O152" s="15" t="s">
        <v>154</v>
      </c>
      <c r="P152" s="15" t="s">
        <v>154</v>
      </c>
      <c r="Q152" s="15" t="s">
        <v>154</v>
      </c>
      <c r="R152" s="17" t="s">
        <v>154</v>
      </c>
      <c r="S152" s="15" t="s">
        <v>154</v>
      </c>
      <c r="T152" s="15" t="s">
        <v>154</v>
      </c>
      <c r="U152" s="15" t="s">
        <v>154</v>
      </c>
      <c r="V152" s="28" t="s">
        <v>154</v>
      </c>
      <c r="W152" s="15" t="s">
        <v>154</v>
      </c>
      <c r="X152" s="28" t="s">
        <v>154</v>
      </c>
      <c r="Y152" s="15" t="s">
        <v>154</v>
      </c>
      <c r="Z152" s="28" t="s">
        <v>154</v>
      </c>
      <c r="AA152" s="15" t="s">
        <v>154</v>
      </c>
      <c r="AB152" s="93" t="s">
        <v>154</v>
      </c>
      <c r="AC152" s="15" t="s">
        <v>154</v>
      </c>
      <c r="AD152" s="93" t="s">
        <v>154</v>
      </c>
      <c r="AE152" s="126" t="s">
        <v>154</v>
      </c>
      <c r="AF152" s="140" t="s">
        <v>154</v>
      </c>
      <c r="AG152" s="97" t="s">
        <v>154</v>
      </c>
      <c r="AH152" s="79" t="s">
        <v>154</v>
      </c>
      <c r="AI152" s="94" t="s">
        <v>154</v>
      </c>
      <c r="AJ152" s="93" t="s">
        <v>154</v>
      </c>
      <c r="AK152" s="94" t="s">
        <v>154</v>
      </c>
    </row>
    <row r="153" spans="1:37" x14ac:dyDescent="0.25">
      <c r="A153" s="21" t="s">
        <v>61</v>
      </c>
      <c r="B153" s="5" t="s">
        <v>27</v>
      </c>
      <c r="C153" s="76" t="s">
        <v>62</v>
      </c>
      <c r="D153" s="26" t="s">
        <v>29</v>
      </c>
      <c r="E153" s="26" t="s">
        <v>145</v>
      </c>
      <c r="F153" s="21" t="s">
        <v>179</v>
      </c>
      <c r="G153" s="21" t="s">
        <v>147</v>
      </c>
      <c r="H153" s="27" t="s">
        <v>188</v>
      </c>
      <c r="I153" s="15" t="s">
        <v>187</v>
      </c>
      <c r="J153" s="15" t="s">
        <v>154</v>
      </c>
      <c r="K153" s="15" t="s">
        <v>154</v>
      </c>
      <c r="L153" s="15" t="s">
        <v>154</v>
      </c>
      <c r="M153" s="15" t="s">
        <v>154</v>
      </c>
      <c r="N153" s="15" t="s">
        <v>154</v>
      </c>
      <c r="O153" s="15" t="s">
        <v>154</v>
      </c>
      <c r="P153" s="15" t="s">
        <v>154</v>
      </c>
      <c r="Q153" s="15" t="s">
        <v>154</v>
      </c>
      <c r="R153" s="17" t="s">
        <v>154</v>
      </c>
      <c r="S153" s="15" t="s">
        <v>154</v>
      </c>
      <c r="T153" s="15" t="s">
        <v>154</v>
      </c>
      <c r="U153" s="15" t="s">
        <v>154</v>
      </c>
      <c r="V153" s="28" t="s">
        <v>154</v>
      </c>
      <c r="W153" s="15" t="s">
        <v>154</v>
      </c>
      <c r="X153" s="28" t="s">
        <v>154</v>
      </c>
      <c r="Y153" s="15" t="s">
        <v>154</v>
      </c>
      <c r="Z153" s="28" t="s">
        <v>154</v>
      </c>
      <c r="AA153" s="15" t="s">
        <v>154</v>
      </c>
      <c r="AB153" s="93" t="s">
        <v>154</v>
      </c>
      <c r="AC153" s="15" t="s">
        <v>154</v>
      </c>
      <c r="AD153" s="93" t="s">
        <v>154</v>
      </c>
      <c r="AE153" s="126" t="s">
        <v>154</v>
      </c>
      <c r="AF153" s="140" t="s">
        <v>154</v>
      </c>
      <c r="AG153" s="97" t="s">
        <v>154</v>
      </c>
      <c r="AH153" s="79" t="s">
        <v>154</v>
      </c>
      <c r="AI153" s="94" t="s">
        <v>154</v>
      </c>
      <c r="AJ153" s="93" t="s">
        <v>154</v>
      </c>
      <c r="AK153" s="94" t="s">
        <v>154</v>
      </c>
    </row>
    <row r="154" spans="1:37" x14ac:dyDescent="0.25">
      <c r="A154" s="21" t="s">
        <v>61</v>
      </c>
      <c r="B154" s="5" t="s">
        <v>27</v>
      </c>
      <c r="C154" s="76" t="s">
        <v>62</v>
      </c>
      <c r="D154" s="26" t="s">
        <v>29</v>
      </c>
      <c r="E154" s="26" t="s">
        <v>145</v>
      </c>
      <c r="F154" s="21" t="s">
        <v>179</v>
      </c>
      <c r="G154" s="21" t="s">
        <v>147</v>
      </c>
      <c r="H154" s="21" t="s">
        <v>189</v>
      </c>
      <c r="I154" s="15" t="s">
        <v>359</v>
      </c>
      <c r="J154" s="15" t="s">
        <v>154</v>
      </c>
      <c r="K154" s="15" t="s">
        <v>154</v>
      </c>
      <c r="L154" s="15" t="s">
        <v>154</v>
      </c>
      <c r="M154" s="15" t="s">
        <v>154</v>
      </c>
      <c r="N154" s="15" t="s">
        <v>154</v>
      </c>
      <c r="O154" s="15" t="s">
        <v>154</v>
      </c>
      <c r="P154" s="15" t="s">
        <v>154</v>
      </c>
      <c r="Q154" s="15" t="s">
        <v>154</v>
      </c>
      <c r="R154" s="17" t="s">
        <v>154</v>
      </c>
      <c r="S154" s="15" t="s">
        <v>154</v>
      </c>
      <c r="T154" s="15" t="s">
        <v>154</v>
      </c>
      <c r="U154" s="15" t="s">
        <v>154</v>
      </c>
      <c r="V154" s="28" t="s">
        <v>154</v>
      </c>
      <c r="W154" s="15" t="s">
        <v>154</v>
      </c>
      <c r="X154" s="28" t="s">
        <v>154</v>
      </c>
      <c r="Y154" s="15" t="s">
        <v>154</v>
      </c>
      <c r="Z154" s="28" t="s">
        <v>154</v>
      </c>
      <c r="AA154" s="15" t="s">
        <v>154</v>
      </c>
      <c r="AB154" s="93" t="s">
        <v>154</v>
      </c>
      <c r="AC154" s="15" t="s">
        <v>154</v>
      </c>
      <c r="AD154" s="93" t="s">
        <v>154</v>
      </c>
      <c r="AE154" s="126" t="s">
        <v>154</v>
      </c>
      <c r="AF154" s="140" t="s">
        <v>154</v>
      </c>
      <c r="AG154" s="97" t="s">
        <v>154</v>
      </c>
      <c r="AH154" s="79" t="s">
        <v>154</v>
      </c>
      <c r="AI154" s="94" t="s">
        <v>154</v>
      </c>
      <c r="AJ154" s="93" t="s">
        <v>154</v>
      </c>
      <c r="AK154" s="94" t="s">
        <v>154</v>
      </c>
    </row>
    <row r="155" spans="1:37" x14ac:dyDescent="0.25">
      <c r="A155" s="21" t="s">
        <v>61</v>
      </c>
      <c r="B155" s="5" t="s">
        <v>27</v>
      </c>
      <c r="C155" s="76" t="s">
        <v>62</v>
      </c>
      <c r="D155" s="26" t="s">
        <v>29</v>
      </c>
      <c r="E155" s="26" t="s">
        <v>145</v>
      </c>
      <c r="F155" s="21" t="s">
        <v>179</v>
      </c>
      <c r="G155" s="21" t="s">
        <v>147</v>
      </c>
      <c r="H155" s="21" t="s">
        <v>189</v>
      </c>
      <c r="I155" s="15" t="s">
        <v>360</v>
      </c>
      <c r="J155" s="15" t="s">
        <v>154</v>
      </c>
      <c r="K155" s="15" t="s">
        <v>154</v>
      </c>
      <c r="L155" s="15" t="s">
        <v>154</v>
      </c>
      <c r="M155" s="15" t="s">
        <v>154</v>
      </c>
      <c r="N155" s="15" t="s">
        <v>154</v>
      </c>
      <c r="O155" s="15" t="s">
        <v>154</v>
      </c>
      <c r="P155" s="15" t="s">
        <v>154</v>
      </c>
      <c r="Q155" s="15" t="s">
        <v>154</v>
      </c>
      <c r="R155" s="17" t="s">
        <v>154</v>
      </c>
      <c r="S155" s="15" t="s">
        <v>154</v>
      </c>
      <c r="T155" s="15" t="s">
        <v>154</v>
      </c>
      <c r="U155" s="15" t="s">
        <v>154</v>
      </c>
      <c r="V155" s="28" t="s">
        <v>154</v>
      </c>
      <c r="W155" s="15" t="s">
        <v>154</v>
      </c>
      <c r="X155" s="28" t="s">
        <v>154</v>
      </c>
      <c r="Y155" s="15" t="s">
        <v>154</v>
      </c>
      <c r="Z155" s="28" t="s">
        <v>154</v>
      </c>
      <c r="AA155" s="15" t="s">
        <v>154</v>
      </c>
      <c r="AB155" s="93" t="s">
        <v>154</v>
      </c>
      <c r="AC155" s="15" t="s">
        <v>154</v>
      </c>
      <c r="AD155" s="93" t="s">
        <v>154</v>
      </c>
      <c r="AE155" s="126" t="s">
        <v>154</v>
      </c>
      <c r="AF155" s="140" t="s">
        <v>154</v>
      </c>
      <c r="AG155" s="97" t="s">
        <v>154</v>
      </c>
      <c r="AH155" s="79" t="s">
        <v>154</v>
      </c>
      <c r="AI155" s="94" t="s">
        <v>154</v>
      </c>
      <c r="AJ155" s="93" t="s">
        <v>154</v>
      </c>
      <c r="AK155" s="94" t="s">
        <v>154</v>
      </c>
    </row>
    <row r="156" spans="1:37" x14ac:dyDescent="0.25">
      <c r="A156" s="21" t="s">
        <v>61</v>
      </c>
      <c r="B156" s="5" t="s">
        <v>27</v>
      </c>
      <c r="C156" s="76" t="s">
        <v>62</v>
      </c>
      <c r="D156" s="26" t="s">
        <v>29</v>
      </c>
      <c r="E156" s="26" t="s">
        <v>145</v>
      </c>
      <c r="F156" s="21" t="s">
        <v>179</v>
      </c>
      <c r="G156" s="21" t="s">
        <v>147</v>
      </c>
      <c r="H156" s="27" t="s">
        <v>186</v>
      </c>
      <c r="I156" s="15" t="s">
        <v>359</v>
      </c>
      <c r="J156" s="15" t="s">
        <v>154</v>
      </c>
      <c r="K156" s="15" t="s">
        <v>154</v>
      </c>
      <c r="L156" s="15" t="s">
        <v>154</v>
      </c>
      <c r="M156" s="15" t="s">
        <v>154</v>
      </c>
      <c r="N156" s="15" t="s">
        <v>154</v>
      </c>
      <c r="O156" s="15" t="s">
        <v>154</v>
      </c>
      <c r="P156" s="15" t="s">
        <v>154</v>
      </c>
      <c r="Q156" s="15" t="s">
        <v>154</v>
      </c>
      <c r="R156" s="17" t="s">
        <v>154</v>
      </c>
      <c r="S156" s="15" t="s">
        <v>154</v>
      </c>
      <c r="T156" s="15" t="s">
        <v>154</v>
      </c>
      <c r="U156" s="15" t="s">
        <v>154</v>
      </c>
      <c r="V156" s="28" t="s">
        <v>154</v>
      </c>
      <c r="W156" s="15" t="s">
        <v>154</v>
      </c>
      <c r="X156" s="28" t="s">
        <v>154</v>
      </c>
      <c r="Y156" s="15" t="s">
        <v>154</v>
      </c>
      <c r="Z156" s="28" t="s">
        <v>154</v>
      </c>
      <c r="AA156" s="15" t="s">
        <v>154</v>
      </c>
      <c r="AB156" s="93" t="s">
        <v>154</v>
      </c>
      <c r="AC156" s="15" t="s">
        <v>154</v>
      </c>
      <c r="AD156" s="93" t="s">
        <v>154</v>
      </c>
      <c r="AE156" s="126" t="s">
        <v>154</v>
      </c>
      <c r="AF156" s="140" t="s">
        <v>154</v>
      </c>
      <c r="AG156" s="97" t="s">
        <v>154</v>
      </c>
      <c r="AH156" s="79" t="s">
        <v>154</v>
      </c>
      <c r="AI156" s="94" t="s">
        <v>154</v>
      </c>
      <c r="AJ156" s="93" t="s">
        <v>154</v>
      </c>
      <c r="AK156" s="94" t="s">
        <v>154</v>
      </c>
    </row>
    <row r="157" spans="1:37" x14ac:dyDescent="0.25">
      <c r="A157" s="21" t="s">
        <v>61</v>
      </c>
      <c r="B157" s="5" t="s">
        <v>27</v>
      </c>
      <c r="C157" s="76" t="s">
        <v>62</v>
      </c>
      <c r="D157" s="26" t="s">
        <v>29</v>
      </c>
      <c r="E157" s="26" t="s">
        <v>145</v>
      </c>
      <c r="F157" s="21" t="s">
        <v>179</v>
      </c>
      <c r="G157" s="21" t="s">
        <v>147</v>
      </c>
      <c r="H157" s="27" t="s">
        <v>186</v>
      </c>
      <c r="I157" s="15" t="s">
        <v>360</v>
      </c>
      <c r="J157" s="15" t="s">
        <v>154</v>
      </c>
      <c r="K157" s="15" t="s">
        <v>154</v>
      </c>
      <c r="L157" s="15" t="s">
        <v>154</v>
      </c>
      <c r="M157" s="15" t="s">
        <v>154</v>
      </c>
      <c r="N157" s="15" t="s">
        <v>154</v>
      </c>
      <c r="O157" s="15" t="s">
        <v>154</v>
      </c>
      <c r="P157" s="15" t="s">
        <v>154</v>
      </c>
      <c r="Q157" s="15" t="s">
        <v>154</v>
      </c>
      <c r="R157" s="17" t="s">
        <v>154</v>
      </c>
      <c r="S157" s="15" t="s">
        <v>154</v>
      </c>
      <c r="T157" s="15" t="s">
        <v>154</v>
      </c>
      <c r="U157" s="15" t="s">
        <v>154</v>
      </c>
      <c r="V157" s="28" t="s">
        <v>154</v>
      </c>
      <c r="W157" s="15" t="s">
        <v>154</v>
      </c>
      <c r="X157" s="28" t="s">
        <v>154</v>
      </c>
      <c r="Y157" s="15" t="s">
        <v>154</v>
      </c>
      <c r="Z157" s="28" t="s">
        <v>154</v>
      </c>
      <c r="AA157" s="15" t="s">
        <v>154</v>
      </c>
      <c r="AB157" s="93" t="s">
        <v>154</v>
      </c>
      <c r="AC157" s="15" t="s">
        <v>154</v>
      </c>
      <c r="AD157" s="93" t="s">
        <v>154</v>
      </c>
      <c r="AE157" s="126" t="s">
        <v>154</v>
      </c>
      <c r="AF157" s="140" t="s">
        <v>154</v>
      </c>
      <c r="AG157" s="97" t="s">
        <v>154</v>
      </c>
      <c r="AH157" s="79" t="s">
        <v>154</v>
      </c>
      <c r="AI157" s="94" t="s">
        <v>154</v>
      </c>
      <c r="AJ157" s="93" t="s">
        <v>154</v>
      </c>
      <c r="AK157" s="94" t="s">
        <v>154</v>
      </c>
    </row>
    <row r="158" spans="1:37" x14ac:dyDescent="0.25">
      <c r="A158" s="21" t="s">
        <v>61</v>
      </c>
      <c r="B158" s="5" t="s">
        <v>27</v>
      </c>
      <c r="C158" s="76" t="s">
        <v>62</v>
      </c>
      <c r="D158" s="26" t="s">
        <v>29</v>
      </c>
      <c r="E158" s="26" t="s">
        <v>145</v>
      </c>
      <c r="F158" s="21" t="s">
        <v>179</v>
      </c>
      <c r="G158" s="21" t="s">
        <v>147</v>
      </c>
      <c r="H158" s="27" t="s">
        <v>190</v>
      </c>
      <c r="I158" s="15" t="s">
        <v>359</v>
      </c>
      <c r="J158" s="15" t="s">
        <v>154</v>
      </c>
      <c r="K158" s="15" t="s">
        <v>154</v>
      </c>
      <c r="L158" s="15" t="s">
        <v>154</v>
      </c>
      <c r="M158" s="15" t="s">
        <v>154</v>
      </c>
      <c r="N158" s="15" t="s">
        <v>154</v>
      </c>
      <c r="O158" s="15" t="s">
        <v>154</v>
      </c>
      <c r="P158" s="15" t="s">
        <v>154</v>
      </c>
      <c r="Q158" s="15" t="s">
        <v>154</v>
      </c>
      <c r="R158" s="17" t="s">
        <v>154</v>
      </c>
      <c r="S158" s="15" t="s">
        <v>154</v>
      </c>
      <c r="T158" s="15" t="s">
        <v>154</v>
      </c>
      <c r="U158" s="15" t="s">
        <v>154</v>
      </c>
      <c r="V158" s="28" t="s">
        <v>154</v>
      </c>
      <c r="W158" s="15" t="s">
        <v>154</v>
      </c>
      <c r="X158" s="28" t="s">
        <v>154</v>
      </c>
      <c r="Y158" s="15" t="s">
        <v>154</v>
      </c>
      <c r="Z158" s="28" t="s">
        <v>154</v>
      </c>
      <c r="AA158" s="15" t="s">
        <v>154</v>
      </c>
      <c r="AB158" s="93" t="s">
        <v>154</v>
      </c>
      <c r="AC158" s="15" t="s">
        <v>154</v>
      </c>
      <c r="AD158" s="93" t="s">
        <v>154</v>
      </c>
      <c r="AE158" s="126" t="s">
        <v>154</v>
      </c>
      <c r="AF158" s="140" t="s">
        <v>154</v>
      </c>
      <c r="AG158" s="97" t="s">
        <v>154</v>
      </c>
      <c r="AH158" s="79" t="s">
        <v>154</v>
      </c>
      <c r="AI158" s="94" t="s">
        <v>154</v>
      </c>
      <c r="AJ158" s="93" t="s">
        <v>154</v>
      </c>
      <c r="AK158" s="94" t="s">
        <v>154</v>
      </c>
    </row>
    <row r="159" spans="1:37" x14ac:dyDescent="0.25">
      <c r="A159" s="21" t="s">
        <v>61</v>
      </c>
      <c r="B159" s="5" t="s">
        <v>27</v>
      </c>
      <c r="C159" s="76" t="s">
        <v>62</v>
      </c>
      <c r="D159" s="26" t="s">
        <v>29</v>
      </c>
      <c r="E159" s="26" t="s">
        <v>145</v>
      </c>
      <c r="F159" s="21" t="s">
        <v>179</v>
      </c>
      <c r="G159" s="21" t="s">
        <v>147</v>
      </c>
      <c r="H159" s="27" t="s">
        <v>190</v>
      </c>
      <c r="I159" s="15" t="s">
        <v>360</v>
      </c>
      <c r="J159" s="15" t="s">
        <v>154</v>
      </c>
      <c r="K159" s="15" t="s">
        <v>154</v>
      </c>
      <c r="L159" s="15" t="s">
        <v>154</v>
      </c>
      <c r="M159" s="15" t="s">
        <v>154</v>
      </c>
      <c r="N159" s="15" t="s">
        <v>154</v>
      </c>
      <c r="O159" s="15" t="s">
        <v>154</v>
      </c>
      <c r="P159" s="15" t="s">
        <v>154</v>
      </c>
      <c r="Q159" s="15" t="s">
        <v>154</v>
      </c>
      <c r="R159" s="17" t="s">
        <v>154</v>
      </c>
      <c r="S159" s="15" t="s">
        <v>154</v>
      </c>
      <c r="T159" s="15" t="s">
        <v>154</v>
      </c>
      <c r="U159" s="15" t="s">
        <v>154</v>
      </c>
      <c r="V159" s="28" t="s">
        <v>154</v>
      </c>
      <c r="W159" s="15" t="s">
        <v>154</v>
      </c>
      <c r="X159" s="28" t="s">
        <v>154</v>
      </c>
      <c r="Y159" s="15" t="s">
        <v>154</v>
      </c>
      <c r="Z159" s="28" t="s">
        <v>154</v>
      </c>
      <c r="AA159" s="15" t="s">
        <v>154</v>
      </c>
      <c r="AB159" s="93" t="s">
        <v>154</v>
      </c>
      <c r="AC159" s="15" t="s">
        <v>154</v>
      </c>
      <c r="AD159" s="93" t="s">
        <v>154</v>
      </c>
      <c r="AE159" s="126" t="s">
        <v>154</v>
      </c>
      <c r="AF159" s="140" t="s">
        <v>154</v>
      </c>
      <c r="AG159" s="97" t="s">
        <v>154</v>
      </c>
      <c r="AH159" s="79" t="s">
        <v>154</v>
      </c>
      <c r="AI159" s="94" t="s">
        <v>154</v>
      </c>
      <c r="AJ159" s="93" t="s">
        <v>154</v>
      </c>
      <c r="AK159" s="94" t="s">
        <v>154</v>
      </c>
    </row>
    <row r="160" spans="1:37" x14ac:dyDescent="0.25">
      <c r="A160" s="21" t="s">
        <v>82</v>
      </c>
      <c r="B160" s="5" t="s">
        <v>50</v>
      </c>
      <c r="C160" s="76" t="s">
        <v>45</v>
      </c>
      <c r="D160" s="26" t="s">
        <v>29</v>
      </c>
      <c r="E160" s="26" t="s">
        <v>145</v>
      </c>
      <c r="F160" s="21" t="s">
        <v>179</v>
      </c>
      <c r="G160" s="21" t="s">
        <v>147</v>
      </c>
      <c r="H160" s="26" t="s">
        <v>180</v>
      </c>
      <c r="I160" s="14" t="s">
        <v>218</v>
      </c>
      <c r="J160" s="57">
        <v>166</v>
      </c>
      <c r="K160" s="28" t="s">
        <v>194</v>
      </c>
      <c r="L160" s="14">
        <v>139</v>
      </c>
      <c r="M160" s="28" t="s">
        <v>194</v>
      </c>
      <c r="N160" s="28">
        <v>151</v>
      </c>
      <c r="O160" s="28" t="s">
        <v>194</v>
      </c>
      <c r="P160" s="28">
        <v>136</v>
      </c>
      <c r="Q160" s="28" t="s">
        <v>194</v>
      </c>
      <c r="R160" s="28">
        <v>89</v>
      </c>
      <c r="S160" s="28" t="s">
        <v>150</v>
      </c>
      <c r="T160" s="28" t="s">
        <v>418</v>
      </c>
      <c r="U160" s="28" t="s">
        <v>150</v>
      </c>
      <c r="V160" s="28">
        <v>61</v>
      </c>
      <c r="W160" s="28" t="s">
        <v>150</v>
      </c>
      <c r="X160" s="28" t="s">
        <v>195</v>
      </c>
      <c r="Y160" s="28" t="s">
        <v>195</v>
      </c>
      <c r="Z160" s="17">
        <v>149</v>
      </c>
      <c r="AA160" s="28" t="s">
        <v>194</v>
      </c>
      <c r="AB160" s="97" t="s">
        <v>195</v>
      </c>
      <c r="AC160" s="90" t="s">
        <v>195</v>
      </c>
      <c r="AD160" s="93">
        <v>155</v>
      </c>
      <c r="AE160" s="28" t="s">
        <v>194</v>
      </c>
      <c r="AF160" s="95" t="s">
        <v>195</v>
      </c>
      <c r="AG160" s="140" t="s">
        <v>195</v>
      </c>
      <c r="AH160" s="95" t="s">
        <v>195</v>
      </c>
      <c r="AI160" s="97" t="s">
        <v>195</v>
      </c>
      <c r="AJ160" s="95" t="s">
        <v>195</v>
      </c>
      <c r="AK160" s="97" t="s">
        <v>195</v>
      </c>
    </row>
    <row r="161" spans="1:37" x14ac:dyDescent="0.25">
      <c r="A161" s="161" t="s">
        <v>82</v>
      </c>
      <c r="B161" s="162" t="s">
        <v>50</v>
      </c>
      <c r="C161" s="264" t="s">
        <v>45</v>
      </c>
      <c r="D161" s="163" t="s">
        <v>29</v>
      </c>
      <c r="E161" s="163" t="s">
        <v>145</v>
      </c>
      <c r="F161" s="161" t="s">
        <v>179</v>
      </c>
      <c r="G161" s="161" t="s">
        <v>147</v>
      </c>
      <c r="H161" s="163" t="s">
        <v>197</v>
      </c>
      <c r="I161" s="171" t="s">
        <v>297</v>
      </c>
      <c r="J161" s="167">
        <v>36</v>
      </c>
      <c r="K161" s="167" t="s">
        <v>194</v>
      </c>
      <c r="L161" s="171">
        <v>22</v>
      </c>
      <c r="M161" s="167" t="s">
        <v>150</v>
      </c>
      <c r="N161" s="167">
        <v>35</v>
      </c>
      <c r="O161" s="167" t="s">
        <v>150</v>
      </c>
      <c r="P161" s="167">
        <v>27</v>
      </c>
      <c r="Q161" s="167" t="s">
        <v>150</v>
      </c>
      <c r="R161" s="167">
        <v>32</v>
      </c>
      <c r="S161" s="167" t="s">
        <v>150</v>
      </c>
      <c r="T161" s="167" t="s">
        <v>416</v>
      </c>
      <c r="U161" s="167" t="s">
        <v>150</v>
      </c>
      <c r="V161" s="167">
        <v>35</v>
      </c>
      <c r="W161" s="167" t="s">
        <v>150</v>
      </c>
      <c r="X161" s="167" t="s">
        <v>195</v>
      </c>
      <c r="Y161" s="167" t="s">
        <v>195</v>
      </c>
      <c r="Z161" s="168">
        <v>40</v>
      </c>
      <c r="AA161" s="167" t="s">
        <v>194</v>
      </c>
      <c r="AB161" s="156" t="s">
        <v>195</v>
      </c>
      <c r="AC161" s="175" t="s">
        <v>195</v>
      </c>
      <c r="AD161" s="159">
        <v>94</v>
      </c>
      <c r="AE161" s="167" t="s">
        <v>194</v>
      </c>
      <c r="AF161" s="95" t="s">
        <v>195</v>
      </c>
      <c r="AG161" s="140" t="s">
        <v>195</v>
      </c>
      <c r="AH161" s="95" t="s">
        <v>195</v>
      </c>
      <c r="AI161" s="97" t="s">
        <v>195</v>
      </c>
      <c r="AJ161" s="95" t="s">
        <v>195</v>
      </c>
      <c r="AK161" s="97" t="s">
        <v>195</v>
      </c>
    </row>
    <row r="162" spans="1:37" x14ac:dyDescent="0.25">
      <c r="A162" s="21" t="s">
        <v>82</v>
      </c>
      <c r="B162" s="5" t="s">
        <v>50</v>
      </c>
      <c r="C162" s="76" t="s">
        <v>45</v>
      </c>
      <c r="D162" s="26" t="s">
        <v>29</v>
      </c>
      <c r="E162" s="26" t="s">
        <v>145</v>
      </c>
      <c r="F162" s="21" t="s">
        <v>179</v>
      </c>
      <c r="G162" s="21" t="s">
        <v>147</v>
      </c>
      <c r="H162" s="26" t="s">
        <v>207</v>
      </c>
      <c r="I162" s="14" t="s">
        <v>319</v>
      </c>
      <c r="J162" s="17" t="s">
        <v>154</v>
      </c>
      <c r="K162" s="17" t="s">
        <v>154</v>
      </c>
      <c r="L162" s="14" t="s">
        <v>417</v>
      </c>
      <c r="M162" s="28" t="s">
        <v>195</v>
      </c>
      <c r="N162" s="28" t="s">
        <v>195</v>
      </c>
      <c r="O162" s="28" t="s">
        <v>195</v>
      </c>
      <c r="P162" s="28" t="s">
        <v>417</v>
      </c>
      <c r="Q162" s="28" t="s">
        <v>195</v>
      </c>
      <c r="R162" s="28" t="s">
        <v>195</v>
      </c>
      <c r="S162" s="28" t="s">
        <v>196</v>
      </c>
      <c r="T162" s="28" t="s">
        <v>195</v>
      </c>
      <c r="U162" s="28" t="s">
        <v>195</v>
      </c>
      <c r="V162" s="28" t="s">
        <v>195</v>
      </c>
      <c r="W162" s="28" t="s">
        <v>195</v>
      </c>
      <c r="X162" s="28" t="s">
        <v>195</v>
      </c>
      <c r="Y162" s="28" t="s">
        <v>195</v>
      </c>
      <c r="Z162" s="28" t="s">
        <v>195</v>
      </c>
      <c r="AA162" s="28" t="s">
        <v>195</v>
      </c>
      <c r="AB162" s="97" t="s">
        <v>195</v>
      </c>
      <c r="AC162" s="90" t="s">
        <v>195</v>
      </c>
      <c r="AD162" s="136" t="s">
        <v>195</v>
      </c>
      <c r="AE162" s="97" t="s">
        <v>195</v>
      </c>
      <c r="AF162" s="95" t="s">
        <v>195</v>
      </c>
      <c r="AG162" s="140" t="s">
        <v>195</v>
      </c>
      <c r="AH162" s="95" t="s">
        <v>195</v>
      </c>
      <c r="AI162" s="97" t="s">
        <v>195</v>
      </c>
      <c r="AJ162" s="95" t="s">
        <v>195</v>
      </c>
      <c r="AK162" s="97" t="s">
        <v>195</v>
      </c>
    </row>
    <row r="163" spans="1:37" x14ac:dyDescent="0.25">
      <c r="A163" s="201" t="s">
        <v>82</v>
      </c>
      <c r="B163" s="202" t="s">
        <v>50</v>
      </c>
      <c r="C163" s="265" t="s">
        <v>45</v>
      </c>
      <c r="D163" s="203" t="s">
        <v>29</v>
      </c>
      <c r="E163" s="203" t="s">
        <v>145</v>
      </c>
      <c r="F163" s="201" t="s">
        <v>179</v>
      </c>
      <c r="G163" s="201" t="s">
        <v>147</v>
      </c>
      <c r="H163" s="203" t="s">
        <v>186</v>
      </c>
      <c r="I163" s="204">
        <v>0.7</v>
      </c>
      <c r="J163" s="211">
        <v>0.66414141414141414</v>
      </c>
      <c r="K163" s="199" t="s">
        <v>194</v>
      </c>
      <c r="L163" s="197">
        <v>0.57961783439490444</v>
      </c>
      <c r="M163" s="199" t="s">
        <v>194</v>
      </c>
      <c r="N163" s="212">
        <v>0.58606557377049184</v>
      </c>
      <c r="O163" s="199" t="s">
        <v>194</v>
      </c>
      <c r="P163" s="212">
        <v>0.64717948717948715</v>
      </c>
      <c r="Q163" s="199" t="s">
        <v>194</v>
      </c>
      <c r="R163" s="212">
        <v>0.5771604938271605</v>
      </c>
      <c r="S163" s="199" t="s">
        <v>194</v>
      </c>
      <c r="T163" s="213">
        <v>0.71480144404332135</v>
      </c>
      <c r="U163" s="199" t="s">
        <v>150</v>
      </c>
      <c r="V163" s="214">
        <v>0.73</v>
      </c>
      <c r="W163" s="199" t="s">
        <v>150</v>
      </c>
      <c r="X163" s="199" t="s">
        <v>195</v>
      </c>
      <c r="Y163" s="199" t="s">
        <v>195</v>
      </c>
      <c r="Z163" s="213">
        <v>0.78</v>
      </c>
      <c r="AA163" s="199" t="s">
        <v>150</v>
      </c>
      <c r="AB163" s="160" t="s">
        <v>195</v>
      </c>
      <c r="AC163" s="196" t="s">
        <v>195</v>
      </c>
      <c r="AD163" s="215">
        <v>0.77</v>
      </c>
      <c r="AE163" s="199" t="s">
        <v>150</v>
      </c>
      <c r="AF163" s="261" t="s">
        <v>195</v>
      </c>
      <c r="AG163" s="140" t="s">
        <v>195</v>
      </c>
      <c r="AH163" s="95" t="s">
        <v>195</v>
      </c>
      <c r="AI163" s="97" t="s">
        <v>195</v>
      </c>
      <c r="AJ163" s="95" t="s">
        <v>195</v>
      </c>
      <c r="AK163" s="97" t="s">
        <v>195</v>
      </c>
    </row>
    <row r="164" spans="1:37" x14ac:dyDescent="0.25">
      <c r="A164" s="21" t="s">
        <v>82</v>
      </c>
      <c r="B164" s="5" t="s">
        <v>50</v>
      </c>
      <c r="C164" s="76" t="s">
        <v>45</v>
      </c>
      <c r="D164" s="26" t="s">
        <v>29</v>
      </c>
      <c r="E164" s="26" t="s">
        <v>145</v>
      </c>
      <c r="F164" s="21" t="s">
        <v>179</v>
      </c>
      <c r="G164" s="21" t="s">
        <v>147</v>
      </c>
      <c r="H164" s="26" t="s">
        <v>188</v>
      </c>
      <c r="I164" s="11">
        <v>0.2</v>
      </c>
      <c r="J164" s="64">
        <v>6.3386944181646171E-2</v>
      </c>
      <c r="K164" s="28" t="s">
        <v>194</v>
      </c>
      <c r="L164" s="15">
        <v>5.0955414012738856E-2</v>
      </c>
      <c r="M164" s="28" t="s">
        <v>194</v>
      </c>
      <c r="N164" s="36">
        <v>0.18442622950819673</v>
      </c>
      <c r="O164" s="28" t="s">
        <v>194</v>
      </c>
      <c r="P164" s="36">
        <v>0.1586489252814739</v>
      </c>
      <c r="Q164" s="28" t="s">
        <v>194</v>
      </c>
      <c r="R164" s="36">
        <v>0.10185185185185185</v>
      </c>
      <c r="S164" s="28" t="s">
        <v>194</v>
      </c>
      <c r="T164" s="45">
        <v>7.2202166064981949E-2</v>
      </c>
      <c r="U164" s="28" t="s">
        <v>194</v>
      </c>
      <c r="V164" s="29">
        <v>0.15</v>
      </c>
      <c r="W164" s="28" t="s">
        <v>194</v>
      </c>
      <c r="X164" s="28" t="s">
        <v>195</v>
      </c>
      <c r="Y164" s="28" t="s">
        <v>195</v>
      </c>
      <c r="Z164" s="65">
        <v>0.11363636363636363</v>
      </c>
      <c r="AA164" s="28" t="s">
        <v>194</v>
      </c>
      <c r="AB164" s="97" t="s">
        <v>195</v>
      </c>
      <c r="AC164" s="90" t="s">
        <v>195</v>
      </c>
      <c r="AD164" s="137">
        <v>0.15</v>
      </c>
      <c r="AE164" s="28" t="s">
        <v>194</v>
      </c>
      <c r="AF164" s="261" t="s">
        <v>195</v>
      </c>
      <c r="AG164" s="140" t="s">
        <v>195</v>
      </c>
      <c r="AH164" s="95" t="s">
        <v>195</v>
      </c>
      <c r="AI164" s="97" t="s">
        <v>195</v>
      </c>
      <c r="AJ164" s="95" t="s">
        <v>195</v>
      </c>
      <c r="AK164" s="97" t="s">
        <v>195</v>
      </c>
    </row>
    <row r="165" spans="1:37" x14ac:dyDescent="0.25">
      <c r="A165" s="161" t="s">
        <v>82</v>
      </c>
      <c r="B165" s="162" t="s">
        <v>50</v>
      </c>
      <c r="C165" s="264" t="s">
        <v>45</v>
      </c>
      <c r="D165" s="163" t="s">
        <v>29</v>
      </c>
      <c r="E165" s="163" t="s">
        <v>145</v>
      </c>
      <c r="F165" s="161" t="s">
        <v>179</v>
      </c>
      <c r="G165" s="161" t="s">
        <v>147</v>
      </c>
      <c r="H165" s="163" t="s">
        <v>189</v>
      </c>
      <c r="I165" s="171" t="s">
        <v>265</v>
      </c>
      <c r="J165" s="176">
        <v>0.18292682926829268</v>
      </c>
      <c r="K165" s="167" t="s">
        <v>194</v>
      </c>
      <c r="L165" s="165">
        <v>0.46511627906976744</v>
      </c>
      <c r="M165" s="167" t="s">
        <v>194</v>
      </c>
      <c r="N165" s="173">
        <v>0.6071428571428571</v>
      </c>
      <c r="O165" s="167" t="s">
        <v>194</v>
      </c>
      <c r="P165" s="173">
        <v>0.35616438356164382</v>
      </c>
      <c r="Q165" s="167" t="s">
        <v>194</v>
      </c>
      <c r="R165" s="172">
        <v>0.15686274509803921</v>
      </c>
      <c r="S165" s="167" t="s">
        <v>194</v>
      </c>
      <c r="T165" s="172">
        <v>0.22727272727272727</v>
      </c>
      <c r="U165" s="167" t="s">
        <v>194</v>
      </c>
      <c r="V165" s="166">
        <v>0.14000000000000001</v>
      </c>
      <c r="W165" s="167" t="s">
        <v>194</v>
      </c>
      <c r="X165" s="167" t="s">
        <v>195</v>
      </c>
      <c r="Y165" s="167" t="s">
        <v>195</v>
      </c>
      <c r="Z165" s="172">
        <v>0.33333333333333331</v>
      </c>
      <c r="AA165" s="167" t="s">
        <v>194</v>
      </c>
      <c r="AB165" s="156" t="s">
        <v>195</v>
      </c>
      <c r="AC165" s="175" t="s">
        <v>195</v>
      </c>
      <c r="AD165" s="177">
        <v>0.38</v>
      </c>
      <c r="AE165" s="167" t="s">
        <v>194</v>
      </c>
      <c r="AF165" s="261" t="s">
        <v>195</v>
      </c>
      <c r="AG165" s="140" t="s">
        <v>195</v>
      </c>
      <c r="AH165" s="95" t="s">
        <v>195</v>
      </c>
      <c r="AI165" s="97" t="s">
        <v>195</v>
      </c>
      <c r="AJ165" s="95" t="s">
        <v>195</v>
      </c>
      <c r="AK165" s="97" t="s">
        <v>195</v>
      </c>
    </row>
    <row r="166" spans="1:37" x14ac:dyDescent="0.25">
      <c r="A166" s="21" t="s">
        <v>82</v>
      </c>
      <c r="B166" s="5" t="s">
        <v>50</v>
      </c>
      <c r="C166" s="76" t="s">
        <v>45</v>
      </c>
      <c r="D166" s="26" t="s">
        <v>29</v>
      </c>
      <c r="E166" s="26" t="s">
        <v>145</v>
      </c>
      <c r="F166" s="21" t="s">
        <v>179</v>
      </c>
      <c r="G166" s="21" t="s">
        <v>147</v>
      </c>
      <c r="H166" s="26" t="s">
        <v>190</v>
      </c>
      <c r="I166" s="11" t="s">
        <v>419</v>
      </c>
      <c r="J166" s="17" t="s">
        <v>154</v>
      </c>
      <c r="K166" s="17" t="s">
        <v>154</v>
      </c>
      <c r="L166" s="14" t="s">
        <v>417</v>
      </c>
      <c r="M166" s="28" t="s">
        <v>195</v>
      </c>
      <c r="N166" s="28" t="s">
        <v>195</v>
      </c>
      <c r="O166" s="28" t="s">
        <v>195</v>
      </c>
      <c r="P166" s="28" t="s">
        <v>417</v>
      </c>
      <c r="Q166" s="28" t="s">
        <v>195</v>
      </c>
      <c r="R166" s="28" t="s">
        <v>195</v>
      </c>
      <c r="S166" s="28" t="s">
        <v>196</v>
      </c>
      <c r="T166" s="28" t="s">
        <v>195</v>
      </c>
      <c r="U166" s="28" t="s">
        <v>195</v>
      </c>
      <c r="V166" s="28" t="s">
        <v>195</v>
      </c>
      <c r="W166" s="28" t="s">
        <v>195</v>
      </c>
      <c r="X166" s="28" t="s">
        <v>195</v>
      </c>
      <c r="Y166" s="28" t="s">
        <v>195</v>
      </c>
      <c r="Z166" s="28" t="s">
        <v>195</v>
      </c>
      <c r="AA166" s="28" t="s">
        <v>195</v>
      </c>
      <c r="AB166" s="97" t="s">
        <v>195</v>
      </c>
      <c r="AC166" s="90" t="s">
        <v>195</v>
      </c>
      <c r="AD166" s="97" t="s">
        <v>195</v>
      </c>
      <c r="AE166" s="97" t="s">
        <v>195</v>
      </c>
      <c r="AF166" s="261" t="s">
        <v>195</v>
      </c>
      <c r="AG166" s="140" t="s">
        <v>195</v>
      </c>
      <c r="AH166" s="95" t="s">
        <v>195</v>
      </c>
      <c r="AI166" s="97" t="s">
        <v>195</v>
      </c>
      <c r="AJ166" s="95" t="s">
        <v>195</v>
      </c>
      <c r="AK166" s="97" t="s">
        <v>195</v>
      </c>
    </row>
    <row r="167" spans="1:37" x14ac:dyDescent="0.25">
      <c r="A167" s="84" t="s">
        <v>82</v>
      </c>
      <c r="B167" s="216" t="s">
        <v>50</v>
      </c>
      <c r="C167" s="266" t="s">
        <v>45</v>
      </c>
      <c r="D167" s="217" t="s">
        <v>29</v>
      </c>
      <c r="E167" s="217" t="s">
        <v>145</v>
      </c>
      <c r="F167" s="84" t="s">
        <v>179</v>
      </c>
      <c r="G167" s="84" t="s">
        <v>147</v>
      </c>
      <c r="H167" s="217" t="s">
        <v>174</v>
      </c>
      <c r="I167" s="218">
        <v>0.2</v>
      </c>
      <c r="J167" s="219">
        <v>8.5106382978723402E-2</v>
      </c>
      <c r="K167" s="220" t="s">
        <v>194</v>
      </c>
      <c r="L167" s="221">
        <v>0.16666666666666666</v>
      </c>
      <c r="M167" s="220" t="s">
        <v>194</v>
      </c>
      <c r="N167" s="222">
        <v>0.08</v>
      </c>
      <c r="O167" s="220" t="s">
        <v>194</v>
      </c>
      <c r="P167" s="222">
        <v>0.11258278145695365</v>
      </c>
      <c r="Q167" s="220" t="s">
        <v>194</v>
      </c>
      <c r="R167" s="223">
        <v>0.02</v>
      </c>
      <c r="S167" s="220" t="s">
        <v>194</v>
      </c>
      <c r="T167" s="224">
        <v>6.25E-2</v>
      </c>
      <c r="U167" s="220" t="s">
        <v>194</v>
      </c>
      <c r="V167" s="223">
        <v>0.06</v>
      </c>
      <c r="W167" s="220" t="s">
        <v>194</v>
      </c>
      <c r="X167" s="220" t="s">
        <v>195</v>
      </c>
      <c r="Y167" s="220" t="s">
        <v>195</v>
      </c>
      <c r="Z167" s="223">
        <v>0</v>
      </c>
      <c r="AA167" s="220" t="s">
        <v>194</v>
      </c>
      <c r="AB167" s="225" t="s">
        <v>195</v>
      </c>
      <c r="AC167" s="226" t="s">
        <v>195</v>
      </c>
      <c r="AD167" s="227">
        <v>0</v>
      </c>
      <c r="AE167" s="220" t="s">
        <v>194</v>
      </c>
      <c r="AF167" s="261" t="s">
        <v>195</v>
      </c>
      <c r="AG167" s="140" t="s">
        <v>195</v>
      </c>
      <c r="AH167" s="95" t="s">
        <v>195</v>
      </c>
      <c r="AI167" s="97" t="s">
        <v>195</v>
      </c>
      <c r="AJ167" s="95" t="s">
        <v>195</v>
      </c>
      <c r="AK167" s="97" t="s">
        <v>195</v>
      </c>
    </row>
    <row r="168" spans="1:37" x14ac:dyDescent="0.25">
      <c r="A168" s="21" t="s">
        <v>57</v>
      </c>
      <c r="B168" s="5" t="s">
        <v>31</v>
      </c>
      <c r="C168" s="76" t="s">
        <v>39</v>
      </c>
      <c r="D168" s="26" t="s">
        <v>46</v>
      </c>
      <c r="E168" s="26" t="s">
        <v>145</v>
      </c>
      <c r="F168" s="26" t="s">
        <v>146</v>
      </c>
      <c r="G168" s="21" t="s">
        <v>147</v>
      </c>
      <c r="H168" s="21" t="s">
        <v>313</v>
      </c>
      <c r="I168" s="11" t="s">
        <v>314</v>
      </c>
      <c r="J168" s="28">
        <v>5</v>
      </c>
      <c r="K168" s="28" t="s">
        <v>150</v>
      </c>
      <c r="L168" s="17" t="s">
        <v>315</v>
      </c>
      <c r="M168" s="28" t="s">
        <v>150</v>
      </c>
      <c r="N168" s="28">
        <v>16</v>
      </c>
      <c r="O168" s="28" t="s">
        <v>150</v>
      </c>
      <c r="P168" s="14">
        <v>17</v>
      </c>
      <c r="Q168" s="28" t="s">
        <v>150</v>
      </c>
      <c r="R168" s="17">
        <v>24</v>
      </c>
      <c r="S168" s="28" t="s">
        <v>150</v>
      </c>
      <c r="T168" s="17">
        <v>58</v>
      </c>
      <c r="U168" s="28" t="s">
        <v>150</v>
      </c>
      <c r="V168" s="17">
        <v>47</v>
      </c>
      <c r="W168" s="28" t="s">
        <v>150</v>
      </c>
      <c r="X168" s="17">
        <v>41</v>
      </c>
      <c r="Y168" s="28" t="s">
        <v>150</v>
      </c>
      <c r="Z168" s="28" t="s">
        <v>195</v>
      </c>
      <c r="AA168" s="28" t="s">
        <v>195</v>
      </c>
      <c r="AB168" s="95" t="s">
        <v>154</v>
      </c>
      <c r="AC168" s="15" t="s">
        <v>154</v>
      </c>
      <c r="AD168" s="126" t="s">
        <v>195</v>
      </c>
      <c r="AE168" s="126" t="s">
        <v>195</v>
      </c>
      <c r="AF168" s="261" t="s">
        <v>195</v>
      </c>
      <c r="AG168" s="140" t="s">
        <v>195</v>
      </c>
      <c r="AH168" s="95" t="s">
        <v>195</v>
      </c>
      <c r="AI168" s="94" t="s">
        <v>195</v>
      </c>
      <c r="AJ168" s="93">
        <v>33</v>
      </c>
      <c r="AK168" s="199" t="s">
        <v>150</v>
      </c>
    </row>
    <row r="169" spans="1:37" x14ac:dyDescent="0.25">
      <c r="A169" s="21" t="s">
        <v>57</v>
      </c>
      <c r="B169" s="5" t="s">
        <v>31</v>
      </c>
      <c r="C169" s="76" t="s">
        <v>39</v>
      </c>
      <c r="D169" s="26" t="s">
        <v>46</v>
      </c>
      <c r="E169" s="26" t="s">
        <v>145</v>
      </c>
      <c r="F169" s="26" t="s">
        <v>146</v>
      </c>
      <c r="G169" s="21" t="s">
        <v>147</v>
      </c>
      <c r="H169" s="21" t="s">
        <v>316</v>
      </c>
      <c r="I169" s="11">
        <v>0.85</v>
      </c>
      <c r="J169" s="29">
        <v>1</v>
      </c>
      <c r="K169" s="28" t="s">
        <v>150</v>
      </c>
      <c r="L169" s="29">
        <v>1</v>
      </c>
      <c r="M169" s="28" t="s">
        <v>150</v>
      </c>
      <c r="N169" s="18">
        <v>1</v>
      </c>
      <c r="O169" s="28" t="s">
        <v>150</v>
      </c>
      <c r="P169" s="18">
        <v>1</v>
      </c>
      <c r="Q169" s="28" t="s">
        <v>150</v>
      </c>
      <c r="R169" s="18">
        <v>1</v>
      </c>
      <c r="S169" s="28" t="s">
        <v>150</v>
      </c>
      <c r="T169" s="18">
        <v>1</v>
      </c>
      <c r="U169" s="28" t="s">
        <v>150</v>
      </c>
      <c r="V169" s="18">
        <v>1</v>
      </c>
      <c r="W169" s="28" t="s">
        <v>150</v>
      </c>
      <c r="X169" s="18">
        <v>1</v>
      </c>
      <c r="Y169" s="28" t="s">
        <v>150</v>
      </c>
      <c r="Z169" s="28" t="s">
        <v>195</v>
      </c>
      <c r="AA169" s="28" t="s">
        <v>195</v>
      </c>
      <c r="AB169" s="95" t="s">
        <v>154</v>
      </c>
      <c r="AC169" s="15" t="s">
        <v>154</v>
      </c>
      <c r="AD169" s="126" t="s">
        <v>195</v>
      </c>
      <c r="AE169" s="126" t="s">
        <v>195</v>
      </c>
      <c r="AF169" s="261" t="s">
        <v>195</v>
      </c>
      <c r="AG169" s="140" t="s">
        <v>195</v>
      </c>
      <c r="AH169" s="95" t="s">
        <v>195</v>
      </c>
      <c r="AI169" s="94" t="s">
        <v>195</v>
      </c>
      <c r="AJ169" s="96">
        <v>1</v>
      </c>
      <c r="AK169" s="199" t="s">
        <v>150</v>
      </c>
    </row>
    <row r="170" spans="1:37" x14ac:dyDescent="0.25">
      <c r="A170" s="21" t="s">
        <v>57</v>
      </c>
      <c r="B170" s="5" t="s">
        <v>31</v>
      </c>
      <c r="C170" s="76" t="s">
        <v>39</v>
      </c>
      <c r="D170" s="26" t="s">
        <v>46</v>
      </c>
      <c r="E170" s="26" t="s">
        <v>145</v>
      </c>
      <c r="F170" s="26" t="s">
        <v>146</v>
      </c>
      <c r="G170" s="21" t="s">
        <v>147</v>
      </c>
      <c r="H170" s="21" t="s">
        <v>317</v>
      </c>
      <c r="I170" s="11">
        <v>0.9</v>
      </c>
      <c r="J170" s="29">
        <v>1</v>
      </c>
      <c r="K170" s="28" t="s">
        <v>150</v>
      </c>
      <c r="L170" s="29">
        <v>1</v>
      </c>
      <c r="M170" s="28" t="s">
        <v>150</v>
      </c>
      <c r="N170" s="18">
        <v>1</v>
      </c>
      <c r="O170" s="28" t="s">
        <v>150</v>
      </c>
      <c r="P170" s="18">
        <v>1</v>
      </c>
      <c r="Q170" s="28" t="s">
        <v>150</v>
      </c>
      <c r="R170" s="18">
        <v>1</v>
      </c>
      <c r="S170" s="28" t="s">
        <v>150</v>
      </c>
      <c r="T170" s="18">
        <v>1</v>
      </c>
      <c r="U170" s="28" t="s">
        <v>150</v>
      </c>
      <c r="V170" s="18">
        <v>1</v>
      </c>
      <c r="W170" s="28" t="s">
        <v>150</v>
      </c>
      <c r="X170" s="18">
        <v>1</v>
      </c>
      <c r="Y170" s="28" t="s">
        <v>150</v>
      </c>
      <c r="Z170" s="28" t="s">
        <v>195</v>
      </c>
      <c r="AA170" s="28" t="s">
        <v>195</v>
      </c>
      <c r="AB170" s="95" t="s">
        <v>154</v>
      </c>
      <c r="AC170" s="15" t="s">
        <v>154</v>
      </c>
      <c r="AD170" s="126" t="s">
        <v>195</v>
      </c>
      <c r="AE170" s="126" t="s">
        <v>195</v>
      </c>
      <c r="AF170" s="261" t="s">
        <v>195</v>
      </c>
      <c r="AG170" s="140" t="s">
        <v>195</v>
      </c>
      <c r="AH170" s="95" t="s">
        <v>195</v>
      </c>
      <c r="AI170" s="94" t="s">
        <v>195</v>
      </c>
      <c r="AJ170" s="96">
        <v>1</v>
      </c>
      <c r="AK170" s="199" t="s">
        <v>150</v>
      </c>
    </row>
    <row r="171" spans="1:37" x14ac:dyDescent="0.25">
      <c r="A171" s="21" t="s">
        <v>57</v>
      </c>
      <c r="B171" s="5" t="s">
        <v>31</v>
      </c>
      <c r="C171" s="76" t="s">
        <v>39</v>
      </c>
      <c r="D171" s="26" t="s">
        <v>46</v>
      </c>
      <c r="E171" s="26" t="s">
        <v>145</v>
      </c>
      <c r="F171" s="26" t="s">
        <v>146</v>
      </c>
      <c r="G171" s="21" t="s">
        <v>147</v>
      </c>
      <c r="H171" s="21" t="s">
        <v>318</v>
      </c>
      <c r="I171" s="11">
        <v>0.8</v>
      </c>
      <c r="J171" s="29">
        <v>0.66</v>
      </c>
      <c r="K171" s="28" t="s">
        <v>194</v>
      </c>
      <c r="L171" s="29">
        <v>0.75</v>
      </c>
      <c r="M171" s="28" t="s">
        <v>194</v>
      </c>
      <c r="N171" s="15">
        <v>0.7441860465116279</v>
      </c>
      <c r="O171" s="28" t="s">
        <v>194</v>
      </c>
      <c r="P171" s="15">
        <v>0.71784232365145229</v>
      </c>
      <c r="Q171" s="28" t="s">
        <v>194</v>
      </c>
      <c r="R171" s="45">
        <v>0.75</v>
      </c>
      <c r="S171" s="28" t="s">
        <v>194</v>
      </c>
      <c r="T171" s="45">
        <v>0.82758620689655171</v>
      </c>
      <c r="U171" s="28" t="s">
        <v>150</v>
      </c>
      <c r="V171" s="45">
        <v>0.875</v>
      </c>
      <c r="W171" s="28" t="s">
        <v>150</v>
      </c>
      <c r="X171" s="45">
        <v>0.82191780821917804</v>
      </c>
      <c r="Y171" s="28" t="s">
        <v>150</v>
      </c>
      <c r="Z171" s="28" t="s">
        <v>195</v>
      </c>
      <c r="AA171" s="28" t="s">
        <v>195</v>
      </c>
      <c r="AB171" s="95" t="s">
        <v>154</v>
      </c>
      <c r="AC171" s="15" t="s">
        <v>154</v>
      </c>
      <c r="AD171" s="126" t="s">
        <v>195</v>
      </c>
      <c r="AE171" s="126" t="s">
        <v>195</v>
      </c>
      <c r="AF171" s="95" t="s">
        <v>195</v>
      </c>
      <c r="AG171" s="140" t="s">
        <v>195</v>
      </c>
      <c r="AH171" s="95" t="s">
        <v>195</v>
      </c>
      <c r="AI171" s="94" t="s">
        <v>195</v>
      </c>
      <c r="AJ171" s="130">
        <v>0.7420382165605095</v>
      </c>
      <c r="AK171" s="28" t="s">
        <v>194</v>
      </c>
    </row>
    <row r="172" spans="1:37" x14ac:dyDescent="0.25">
      <c r="A172" s="21" t="s">
        <v>57</v>
      </c>
      <c r="B172" s="5" t="s">
        <v>31</v>
      </c>
      <c r="C172" s="76" t="s">
        <v>39</v>
      </c>
      <c r="D172" s="26" t="s">
        <v>46</v>
      </c>
      <c r="E172" s="26" t="s">
        <v>145</v>
      </c>
      <c r="F172" s="21" t="s">
        <v>179</v>
      </c>
      <c r="G172" s="21" t="s">
        <v>147</v>
      </c>
      <c r="H172" s="27" t="s">
        <v>180</v>
      </c>
      <c r="I172" s="11" t="s">
        <v>304</v>
      </c>
      <c r="J172" s="28">
        <v>28</v>
      </c>
      <c r="K172" s="28" t="s">
        <v>150</v>
      </c>
      <c r="L172" s="28">
        <v>49</v>
      </c>
      <c r="M172" s="28" t="s">
        <v>150</v>
      </c>
      <c r="N172" s="17">
        <v>57</v>
      </c>
      <c r="O172" s="28" t="s">
        <v>150</v>
      </c>
      <c r="P172" s="17">
        <v>49</v>
      </c>
      <c r="Q172" s="28" t="s">
        <v>150</v>
      </c>
      <c r="R172" s="17">
        <v>42</v>
      </c>
      <c r="S172" s="28" t="s">
        <v>150</v>
      </c>
      <c r="T172" s="17">
        <v>67</v>
      </c>
      <c r="U172" s="28" t="s">
        <v>150</v>
      </c>
      <c r="V172" s="17">
        <v>68</v>
      </c>
      <c r="W172" s="28" t="s">
        <v>150</v>
      </c>
      <c r="X172" s="17">
        <v>58</v>
      </c>
      <c r="Y172" s="28" t="s">
        <v>150</v>
      </c>
      <c r="Z172" s="28" t="s">
        <v>195</v>
      </c>
      <c r="AA172" s="28" t="s">
        <v>195</v>
      </c>
      <c r="AB172" s="95" t="s">
        <v>154</v>
      </c>
      <c r="AC172" s="15" t="s">
        <v>154</v>
      </c>
      <c r="AD172" s="126" t="s">
        <v>195</v>
      </c>
      <c r="AE172" s="97" t="s">
        <v>195</v>
      </c>
      <c r="AF172" s="95" t="s">
        <v>195</v>
      </c>
      <c r="AG172" s="140" t="s">
        <v>195</v>
      </c>
      <c r="AH172" s="95" t="s">
        <v>195</v>
      </c>
      <c r="AI172" s="97" t="s">
        <v>195</v>
      </c>
      <c r="AJ172" s="93">
        <v>55</v>
      </c>
      <c r="AK172" s="199" t="s">
        <v>150</v>
      </c>
    </row>
    <row r="173" spans="1:37" x14ac:dyDescent="0.25">
      <c r="A173" s="21" t="s">
        <v>57</v>
      </c>
      <c r="B173" s="5" t="s">
        <v>31</v>
      </c>
      <c r="C173" s="76" t="s">
        <v>39</v>
      </c>
      <c r="D173" s="26" t="s">
        <v>46</v>
      </c>
      <c r="E173" s="26" t="s">
        <v>145</v>
      </c>
      <c r="F173" s="21" t="s">
        <v>179</v>
      </c>
      <c r="G173" s="21" t="s">
        <v>147</v>
      </c>
      <c r="H173" s="27" t="s">
        <v>188</v>
      </c>
      <c r="I173" s="11">
        <v>0.8</v>
      </c>
      <c r="J173" s="15" t="s">
        <v>195</v>
      </c>
      <c r="K173" s="15" t="s">
        <v>195</v>
      </c>
      <c r="L173" s="15">
        <v>0.08</v>
      </c>
      <c r="M173" s="28" t="s">
        <v>194</v>
      </c>
      <c r="N173" s="18">
        <v>0.2558139534883721</v>
      </c>
      <c r="O173" s="28" t="s">
        <v>194</v>
      </c>
      <c r="P173" s="18">
        <v>0.11618257261410789</v>
      </c>
      <c r="Q173" s="28" t="s">
        <v>194</v>
      </c>
      <c r="R173" s="18">
        <v>0.1</v>
      </c>
      <c r="S173" s="28" t="s">
        <v>194</v>
      </c>
      <c r="T173" s="18">
        <v>6.8965517241379309E-2</v>
      </c>
      <c r="U173" s="28" t="s">
        <v>194</v>
      </c>
      <c r="V173" s="18">
        <v>8.3333333333333329E-2</v>
      </c>
      <c r="W173" s="28" t="s">
        <v>194</v>
      </c>
      <c r="X173" s="18">
        <v>9.5890410958904104E-2</v>
      </c>
      <c r="Y173" s="28" t="s">
        <v>194</v>
      </c>
      <c r="Z173" s="28" t="s">
        <v>195</v>
      </c>
      <c r="AA173" s="28" t="s">
        <v>195</v>
      </c>
      <c r="AB173" s="95" t="s">
        <v>154</v>
      </c>
      <c r="AC173" s="15" t="s">
        <v>154</v>
      </c>
      <c r="AD173" s="126" t="s">
        <v>195</v>
      </c>
      <c r="AE173" s="126" t="s">
        <v>195</v>
      </c>
      <c r="AF173" s="95" t="s">
        <v>195</v>
      </c>
      <c r="AG173" s="140" t="s">
        <v>195</v>
      </c>
      <c r="AH173" s="95" t="s">
        <v>195</v>
      </c>
      <c r="AI173" s="94" t="s">
        <v>195</v>
      </c>
      <c r="AJ173" s="96">
        <v>0.10828025477707007</v>
      </c>
      <c r="AK173" s="28" t="s">
        <v>194</v>
      </c>
    </row>
    <row r="174" spans="1:37" x14ac:dyDescent="0.25">
      <c r="A174" s="21" t="s">
        <v>57</v>
      </c>
      <c r="B174" s="5" t="s">
        <v>31</v>
      </c>
      <c r="C174" s="76" t="s">
        <v>39</v>
      </c>
      <c r="D174" s="26" t="s">
        <v>46</v>
      </c>
      <c r="E174" s="26" t="s">
        <v>145</v>
      </c>
      <c r="F174" s="21" t="s">
        <v>179</v>
      </c>
      <c r="G174" s="21" t="s">
        <v>147</v>
      </c>
      <c r="H174" s="21" t="s">
        <v>189</v>
      </c>
      <c r="I174" s="11">
        <v>0.5</v>
      </c>
      <c r="J174" s="29">
        <v>0</v>
      </c>
      <c r="K174" s="28" t="s">
        <v>150</v>
      </c>
      <c r="L174" s="29">
        <v>0</v>
      </c>
      <c r="M174" s="28" t="s">
        <v>150</v>
      </c>
      <c r="N174" s="18">
        <v>0</v>
      </c>
      <c r="O174" s="28" t="s">
        <v>150</v>
      </c>
      <c r="P174" s="18">
        <v>6.25E-2</v>
      </c>
      <c r="Q174" s="28" t="s">
        <v>150</v>
      </c>
      <c r="R174" s="18">
        <v>0</v>
      </c>
      <c r="S174" s="28" t="s">
        <v>150</v>
      </c>
      <c r="T174" s="18">
        <v>0</v>
      </c>
      <c r="U174" s="28" t="s">
        <v>150</v>
      </c>
      <c r="V174" s="18">
        <v>0</v>
      </c>
      <c r="W174" s="28" t="s">
        <v>150</v>
      </c>
      <c r="X174" s="18">
        <v>0.16666666666666666</v>
      </c>
      <c r="Y174" s="28" t="s">
        <v>150</v>
      </c>
      <c r="Z174" s="28" t="s">
        <v>195</v>
      </c>
      <c r="AA174" s="28" t="s">
        <v>195</v>
      </c>
      <c r="AB174" s="95" t="s">
        <v>154</v>
      </c>
      <c r="AC174" s="15" t="s">
        <v>154</v>
      </c>
      <c r="AD174" s="126" t="s">
        <v>195</v>
      </c>
      <c r="AE174" s="126" t="s">
        <v>195</v>
      </c>
      <c r="AF174" s="95" t="s">
        <v>195</v>
      </c>
      <c r="AG174" s="140" t="s">
        <v>195</v>
      </c>
      <c r="AH174" s="95" t="s">
        <v>195</v>
      </c>
      <c r="AI174" s="94" t="s">
        <v>195</v>
      </c>
      <c r="AJ174" s="96">
        <v>0.2608695652173913</v>
      </c>
      <c r="AK174" s="199" t="s">
        <v>150</v>
      </c>
    </row>
    <row r="175" spans="1:37" x14ac:dyDescent="0.25">
      <c r="A175" s="21" t="s">
        <v>57</v>
      </c>
      <c r="B175" s="5" t="s">
        <v>31</v>
      </c>
      <c r="C175" s="76" t="s">
        <v>39</v>
      </c>
      <c r="D175" s="26" t="s">
        <v>46</v>
      </c>
      <c r="E175" s="26" t="s">
        <v>145</v>
      </c>
      <c r="F175" s="21" t="s">
        <v>179</v>
      </c>
      <c r="G175" s="21" t="s">
        <v>147</v>
      </c>
      <c r="H175" s="21" t="s">
        <v>207</v>
      </c>
      <c r="I175" s="15" t="s">
        <v>319</v>
      </c>
      <c r="J175" s="29">
        <v>0.08</v>
      </c>
      <c r="K175" s="28" t="s">
        <v>150</v>
      </c>
      <c r="L175" s="29">
        <v>0.13</v>
      </c>
      <c r="M175" s="28" t="s">
        <v>150</v>
      </c>
      <c r="N175" s="15">
        <v>0</v>
      </c>
      <c r="O175" s="28" t="s">
        <v>150</v>
      </c>
      <c r="P175" s="15">
        <v>0</v>
      </c>
      <c r="Q175" s="28" t="s">
        <v>150</v>
      </c>
      <c r="R175" s="15">
        <v>0.25</v>
      </c>
      <c r="S175" s="28" t="s">
        <v>194</v>
      </c>
      <c r="T175" s="15">
        <v>0.25</v>
      </c>
      <c r="U175" s="28" t="s">
        <v>194</v>
      </c>
      <c r="V175" s="15">
        <v>0</v>
      </c>
      <c r="W175" s="28" t="s">
        <v>150</v>
      </c>
      <c r="X175" s="15">
        <v>0</v>
      </c>
      <c r="Y175" s="28" t="s">
        <v>150</v>
      </c>
      <c r="Z175" s="28" t="s">
        <v>195</v>
      </c>
      <c r="AA175" s="28" t="s">
        <v>195</v>
      </c>
      <c r="AB175" s="95" t="s">
        <v>154</v>
      </c>
      <c r="AC175" s="15" t="s">
        <v>154</v>
      </c>
      <c r="AD175" s="126" t="s">
        <v>195</v>
      </c>
      <c r="AE175" s="127" t="s">
        <v>195</v>
      </c>
      <c r="AF175" s="95" t="s">
        <v>195</v>
      </c>
      <c r="AG175" s="140" t="s">
        <v>195</v>
      </c>
      <c r="AH175" s="95" t="s">
        <v>195</v>
      </c>
      <c r="AI175" s="271" t="s">
        <v>195</v>
      </c>
      <c r="AJ175" s="79">
        <v>0</v>
      </c>
      <c r="AK175" s="199" t="s">
        <v>150</v>
      </c>
    </row>
    <row r="176" spans="1:37" x14ac:dyDescent="0.25">
      <c r="A176" s="21" t="s">
        <v>48</v>
      </c>
      <c r="B176" s="5" t="s">
        <v>27</v>
      </c>
      <c r="C176" s="5" t="s">
        <v>568</v>
      </c>
      <c r="D176" s="26" t="s">
        <v>29</v>
      </c>
      <c r="E176" s="26" t="s">
        <v>145</v>
      </c>
      <c r="F176" s="26" t="s">
        <v>146</v>
      </c>
      <c r="G176" s="21" t="s">
        <v>156</v>
      </c>
      <c r="H176" s="21" t="s">
        <v>213</v>
      </c>
      <c r="I176" s="11">
        <v>0.9</v>
      </c>
      <c r="J176" s="28" t="s">
        <v>195</v>
      </c>
      <c r="K176" s="28" t="s">
        <v>195</v>
      </c>
      <c r="L176" s="28" t="s">
        <v>195</v>
      </c>
      <c r="M176" s="28" t="s">
        <v>195</v>
      </c>
      <c r="N176" s="28" t="s">
        <v>195</v>
      </c>
      <c r="O176" s="28" t="s">
        <v>195</v>
      </c>
      <c r="P176" s="28" t="s">
        <v>195</v>
      </c>
      <c r="Q176" s="28" t="s">
        <v>195</v>
      </c>
      <c r="R176" s="28" t="s">
        <v>195</v>
      </c>
      <c r="S176" s="28" t="s">
        <v>196</v>
      </c>
      <c r="T176" s="28" t="s">
        <v>195</v>
      </c>
      <c r="U176" s="28" t="s">
        <v>195</v>
      </c>
      <c r="V176" s="28" t="s">
        <v>195</v>
      </c>
      <c r="W176" s="28" t="s">
        <v>195</v>
      </c>
      <c r="X176" s="28" t="s">
        <v>195</v>
      </c>
      <c r="Y176" s="28" t="s">
        <v>195</v>
      </c>
      <c r="Z176" s="28" t="s">
        <v>195</v>
      </c>
      <c r="AA176" s="28" t="s">
        <v>195</v>
      </c>
      <c r="AB176" s="94" t="s">
        <v>195</v>
      </c>
      <c r="AC176" s="90" t="s">
        <v>195</v>
      </c>
      <c r="AD176" s="126" t="s">
        <v>195</v>
      </c>
      <c r="AE176" s="126" t="s">
        <v>195</v>
      </c>
      <c r="AF176" s="102">
        <v>0.63</v>
      </c>
      <c r="AG176" s="28" t="s">
        <v>194</v>
      </c>
      <c r="AH176" s="276">
        <v>0.625</v>
      </c>
      <c r="AI176" s="28" t="s">
        <v>194</v>
      </c>
      <c r="AJ176" s="118">
        <v>0.89772727272727271</v>
      </c>
      <c r="AK176" s="28" t="s">
        <v>194</v>
      </c>
    </row>
    <row r="177" spans="1:37" x14ac:dyDescent="0.25">
      <c r="A177" s="21" t="s">
        <v>48</v>
      </c>
      <c r="B177" s="5" t="s">
        <v>27</v>
      </c>
      <c r="C177" s="5" t="s">
        <v>568</v>
      </c>
      <c r="D177" s="26" t="s">
        <v>29</v>
      </c>
      <c r="E177" s="26" t="s">
        <v>145</v>
      </c>
      <c r="F177" s="26" t="s">
        <v>146</v>
      </c>
      <c r="G177" s="21" t="s">
        <v>156</v>
      </c>
      <c r="H177" s="21" t="s">
        <v>214</v>
      </c>
      <c r="I177" s="11">
        <v>0.9</v>
      </c>
      <c r="J177" s="28" t="s">
        <v>195</v>
      </c>
      <c r="K177" s="28" t="s">
        <v>195</v>
      </c>
      <c r="L177" s="28" t="s">
        <v>195</v>
      </c>
      <c r="M177" s="28" t="s">
        <v>195</v>
      </c>
      <c r="N177" s="28" t="s">
        <v>195</v>
      </c>
      <c r="O177" s="28" t="s">
        <v>195</v>
      </c>
      <c r="P177" s="28" t="s">
        <v>195</v>
      </c>
      <c r="Q177" s="28" t="s">
        <v>195</v>
      </c>
      <c r="R177" s="28" t="s">
        <v>195</v>
      </c>
      <c r="S177" s="28" t="s">
        <v>196</v>
      </c>
      <c r="T177" s="28" t="s">
        <v>195</v>
      </c>
      <c r="U177" s="28" t="s">
        <v>195</v>
      </c>
      <c r="V177" s="28" t="s">
        <v>195</v>
      </c>
      <c r="W177" s="28" t="s">
        <v>195</v>
      </c>
      <c r="X177" s="28" t="s">
        <v>195</v>
      </c>
      <c r="Y177" s="28" t="s">
        <v>195</v>
      </c>
      <c r="Z177" s="28" t="s">
        <v>195</v>
      </c>
      <c r="AA177" s="28" t="s">
        <v>195</v>
      </c>
      <c r="AB177" s="94" t="s">
        <v>195</v>
      </c>
      <c r="AC177" s="90" t="s">
        <v>195</v>
      </c>
      <c r="AD177" s="126" t="s">
        <v>195</v>
      </c>
      <c r="AE177" s="126" t="s">
        <v>195</v>
      </c>
      <c r="AF177" s="102">
        <v>0.6</v>
      </c>
      <c r="AG177" s="28" t="s">
        <v>194</v>
      </c>
      <c r="AH177" s="276">
        <v>0.8</v>
      </c>
      <c r="AI177" s="28" t="s">
        <v>194</v>
      </c>
      <c r="AJ177" s="118">
        <v>0.72151898734177211</v>
      </c>
      <c r="AK177" s="28" t="s">
        <v>194</v>
      </c>
    </row>
    <row r="178" spans="1:37" x14ac:dyDescent="0.25">
      <c r="A178" s="21" t="s">
        <v>48</v>
      </c>
      <c r="B178" s="5" t="s">
        <v>27</v>
      </c>
      <c r="C178" s="5" t="s">
        <v>568</v>
      </c>
      <c r="D178" s="26" t="s">
        <v>29</v>
      </c>
      <c r="E178" s="26" t="s">
        <v>145</v>
      </c>
      <c r="F178" s="21" t="s">
        <v>179</v>
      </c>
      <c r="G178" s="21" t="s">
        <v>147</v>
      </c>
      <c r="H178" s="27" t="s">
        <v>180</v>
      </c>
      <c r="I178" s="11" t="s">
        <v>292</v>
      </c>
      <c r="J178" s="28" t="s">
        <v>195</v>
      </c>
      <c r="K178" s="28" t="s">
        <v>195</v>
      </c>
      <c r="L178" s="28" t="s">
        <v>195</v>
      </c>
      <c r="M178" s="28" t="s">
        <v>195</v>
      </c>
      <c r="N178" s="28" t="s">
        <v>195</v>
      </c>
      <c r="O178" s="28" t="s">
        <v>195</v>
      </c>
      <c r="P178" s="28" t="s">
        <v>195</v>
      </c>
      <c r="Q178" s="28" t="s">
        <v>195</v>
      </c>
      <c r="R178" s="28" t="s">
        <v>195</v>
      </c>
      <c r="S178" s="28" t="s">
        <v>196</v>
      </c>
      <c r="T178" s="28" t="s">
        <v>195</v>
      </c>
      <c r="U178" s="28" t="s">
        <v>195</v>
      </c>
      <c r="V178" s="28" t="s">
        <v>195</v>
      </c>
      <c r="W178" s="28" t="s">
        <v>195</v>
      </c>
      <c r="X178" s="28" t="s">
        <v>195</v>
      </c>
      <c r="Y178" s="28" t="s">
        <v>195</v>
      </c>
      <c r="Z178" s="28" t="s">
        <v>195</v>
      </c>
      <c r="AA178" s="28" t="s">
        <v>195</v>
      </c>
      <c r="AB178" s="94" t="s">
        <v>195</v>
      </c>
      <c r="AC178" s="90" t="s">
        <v>195</v>
      </c>
      <c r="AD178" s="126" t="s">
        <v>195</v>
      </c>
      <c r="AE178" s="97" t="s">
        <v>195</v>
      </c>
      <c r="AF178" s="95">
        <v>75</v>
      </c>
      <c r="AG178" s="199" t="s">
        <v>150</v>
      </c>
      <c r="AH178" s="277">
        <v>112</v>
      </c>
      <c r="AI178" s="199" t="s">
        <v>150</v>
      </c>
      <c r="AJ178" s="277">
        <v>82</v>
      </c>
      <c r="AK178" s="199" t="s">
        <v>150</v>
      </c>
    </row>
    <row r="179" spans="1:37" x14ac:dyDescent="0.25">
      <c r="A179" s="21" t="s">
        <v>48</v>
      </c>
      <c r="B179" s="5" t="s">
        <v>27</v>
      </c>
      <c r="C179" s="5" t="s">
        <v>568</v>
      </c>
      <c r="D179" s="26" t="s">
        <v>29</v>
      </c>
      <c r="E179" s="26" t="s">
        <v>145</v>
      </c>
      <c r="F179" s="21" t="s">
        <v>179</v>
      </c>
      <c r="G179" s="21" t="s">
        <v>147</v>
      </c>
      <c r="H179" s="27" t="s">
        <v>197</v>
      </c>
      <c r="I179" s="11" t="s">
        <v>211</v>
      </c>
      <c r="J179" s="28" t="s">
        <v>195</v>
      </c>
      <c r="K179" s="28" t="s">
        <v>195</v>
      </c>
      <c r="L179" s="28" t="s">
        <v>195</v>
      </c>
      <c r="M179" s="28" t="s">
        <v>195</v>
      </c>
      <c r="N179" s="28" t="s">
        <v>195</v>
      </c>
      <c r="O179" s="28" t="s">
        <v>195</v>
      </c>
      <c r="P179" s="28" t="s">
        <v>195</v>
      </c>
      <c r="Q179" s="28" t="s">
        <v>195</v>
      </c>
      <c r="R179" s="28" t="s">
        <v>195</v>
      </c>
      <c r="S179" s="28" t="s">
        <v>196</v>
      </c>
      <c r="T179" s="28" t="s">
        <v>195</v>
      </c>
      <c r="U179" s="28" t="s">
        <v>195</v>
      </c>
      <c r="V179" s="28" t="s">
        <v>195</v>
      </c>
      <c r="W179" s="28" t="s">
        <v>195</v>
      </c>
      <c r="X179" s="28" t="s">
        <v>195</v>
      </c>
      <c r="Y179" s="28" t="s">
        <v>195</v>
      </c>
      <c r="Z179" s="28" t="s">
        <v>195</v>
      </c>
      <c r="AA179" s="28" t="s">
        <v>195</v>
      </c>
      <c r="AB179" s="94" t="s">
        <v>195</v>
      </c>
      <c r="AC179" s="90" t="s">
        <v>195</v>
      </c>
      <c r="AD179" s="126" t="s">
        <v>195</v>
      </c>
      <c r="AE179" s="97" t="s">
        <v>195</v>
      </c>
      <c r="AF179" s="95">
        <v>45</v>
      </c>
      <c r="AG179" s="199" t="s">
        <v>150</v>
      </c>
      <c r="AH179" s="274">
        <v>20</v>
      </c>
      <c r="AI179" s="199" t="s">
        <v>150</v>
      </c>
      <c r="AJ179" s="274">
        <v>45</v>
      </c>
      <c r="AK179" s="199" t="s">
        <v>150</v>
      </c>
    </row>
    <row r="180" spans="1:37" x14ac:dyDescent="0.25">
      <c r="A180" s="21" t="s">
        <v>48</v>
      </c>
      <c r="B180" s="5" t="s">
        <v>27</v>
      </c>
      <c r="C180" s="5" t="s">
        <v>568</v>
      </c>
      <c r="D180" s="26" t="s">
        <v>29</v>
      </c>
      <c r="E180" s="26" t="s">
        <v>145</v>
      </c>
      <c r="F180" s="21" t="s">
        <v>179</v>
      </c>
      <c r="G180" s="21" t="s">
        <v>147</v>
      </c>
      <c r="H180" s="21" t="s">
        <v>207</v>
      </c>
      <c r="I180" s="11">
        <v>0.4</v>
      </c>
      <c r="J180" s="28" t="s">
        <v>195</v>
      </c>
      <c r="K180" s="28" t="s">
        <v>195</v>
      </c>
      <c r="L180" s="28" t="s">
        <v>195</v>
      </c>
      <c r="M180" s="28" t="s">
        <v>195</v>
      </c>
      <c r="N180" s="28" t="s">
        <v>195</v>
      </c>
      <c r="O180" s="28" t="s">
        <v>195</v>
      </c>
      <c r="P180" s="28" t="s">
        <v>195</v>
      </c>
      <c r="Q180" s="28" t="s">
        <v>195</v>
      </c>
      <c r="R180" s="28" t="s">
        <v>195</v>
      </c>
      <c r="S180" s="28" t="s">
        <v>196</v>
      </c>
      <c r="T180" s="28" t="s">
        <v>195</v>
      </c>
      <c r="U180" s="28" t="s">
        <v>195</v>
      </c>
      <c r="V180" s="28" t="s">
        <v>195</v>
      </c>
      <c r="W180" s="28" t="s">
        <v>195</v>
      </c>
      <c r="X180" s="28" t="s">
        <v>195</v>
      </c>
      <c r="Y180" s="28" t="s">
        <v>195</v>
      </c>
      <c r="Z180" s="28" t="s">
        <v>195</v>
      </c>
      <c r="AA180" s="28" t="s">
        <v>195</v>
      </c>
      <c r="AB180" s="94" t="s">
        <v>195</v>
      </c>
      <c r="AC180" s="90" t="s">
        <v>195</v>
      </c>
      <c r="AD180" s="126" t="s">
        <v>195</v>
      </c>
      <c r="AE180" s="97" t="s">
        <v>195</v>
      </c>
      <c r="AF180" s="102">
        <v>0.32</v>
      </c>
      <c r="AG180" s="199" t="s">
        <v>150</v>
      </c>
      <c r="AH180" s="118">
        <v>0.27272727272727271</v>
      </c>
      <c r="AI180" s="199" t="s">
        <v>150</v>
      </c>
      <c r="AJ180" s="118">
        <v>0.27272727272727271</v>
      </c>
      <c r="AK180" s="199" t="s">
        <v>150</v>
      </c>
    </row>
    <row r="181" spans="1:37" x14ac:dyDescent="0.25">
      <c r="A181" s="21" t="s">
        <v>48</v>
      </c>
      <c r="B181" s="5" t="s">
        <v>27</v>
      </c>
      <c r="C181" s="5" t="s">
        <v>568</v>
      </c>
      <c r="D181" s="26" t="s">
        <v>29</v>
      </c>
      <c r="E181" s="26" t="s">
        <v>145</v>
      </c>
      <c r="F181" s="21" t="s">
        <v>179</v>
      </c>
      <c r="G181" s="21" t="s">
        <v>147</v>
      </c>
      <c r="H181" s="27" t="s">
        <v>186</v>
      </c>
      <c r="I181" s="11">
        <v>0.2</v>
      </c>
      <c r="J181" s="28" t="s">
        <v>195</v>
      </c>
      <c r="K181" s="28" t="s">
        <v>195</v>
      </c>
      <c r="L181" s="28" t="s">
        <v>195</v>
      </c>
      <c r="M181" s="28" t="s">
        <v>195</v>
      </c>
      <c r="N181" s="28" t="s">
        <v>195</v>
      </c>
      <c r="O181" s="28" t="s">
        <v>195</v>
      </c>
      <c r="P181" s="28" t="s">
        <v>195</v>
      </c>
      <c r="Q181" s="28" t="s">
        <v>195</v>
      </c>
      <c r="R181" s="28" t="s">
        <v>195</v>
      </c>
      <c r="S181" s="28" t="s">
        <v>196</v>
      </c>
      <c r="T181" s="28" t="s">
        <v>195</v>
      </c>
      <c r="U181" s="28" t="s">
        <v>195</v>
      </c>
      <c r="V181" s="28" t="s">
        <v>195</v>
      </c>
      <c r="W181" s="28" t="s">
        <v>195</v>
      </c>
      <c r="X181" s="28" t="s">
        <v>195</v>
      </c>
      <c r="Y181" s="28" t="s">
        <v>195</v>
      </c>
      <c r="Z181" s="28" t="s">
        <v>195</v>
      </c>
      <c r="AA181" s="28" t="s">
        <v>195</v>
      </c>
      <c r="AB181" s="94" t="s">
        <v>195</v>
      </c>
      <c r="AC181" s="90" t="s">
        <v>195</v>
      </c>
      <c r="AD181" s="126" t="s">
        <v>195</v>
      </c>
      <c r="AE181" s="97" t="s">
        <v>195</v>
      </c>
      <c r="AF181" s="102">
        <v>0.41</v>
      </c>
      <c r="AG181" s="199" t="s">
        <v>150</v>
      </c>
      <c r="AH181" s="118">
        <v>0.71014492753623193</v>
      </c>
      <c r="AI181" s="199" t="s">
        <v>150</v>
      </c>
      <c r="AJ181" s="118">
        <v>0.7410586552217453</v>
      </c>
      <c r="AK181" s="199" t="s">
        <v>150</v>
      </c>
    </row>
    <row r="182" spans="1:37" x14ac:dyDescent="0.25">
      <c r="A182" s="21" t="s">
        <v>48</v>
      </c>
      <c r="B182" s="5" t="s">
        <v>27</v>
      </c>
      <c r="C182" s="5" t="s">
        <v>568</v>
      </c>
      <c r="D182" s="26" t="s">
        <v>29</v>
      </c>
      <c r="E182" s="26" t="s">
        <v>145</v>
      </c>
      <c r="F182" s="21" t="s">
        <v>179</v>
      </c>
      <c r="G182" s="21" t="s">
        <v>147</v>
      </c>
      <c r="H182" s="27" t="s">
        <v>188</v>
      </c>
      <c r="I182" s="11">
        <v>0.2</v>
      </c>
      <c r="J182" s="28" t="s">
        <v>195</v>
      </c>
      <c r="K182" s="28" t="s">
        <v>195</v>
      </c>
      <c r="L182" s="28" t="s">
        <v>195</v>
      </c>
      <c r="M182" s="28" t="s">
        <v>195</v>
      </c>
      <c r="N182" s="28" t="s">
        <v>195</v>
      </c>
      <c r="O182" s="28" t="s">
        <v>195</v>
      </c>
      <c r="P182" s="28" t="s">
        <v>195</v>
      </c>
      <c r="Q182" s="28" t="s">
        <v>195</v>
      </c>
      <c r="R182" s="28" t="s">
        <v>195</v>
      </c>
      <c r="S182" s="28" t="s">
        <v>196</v>
      </c>
      <c r="T182" s="28" t="s">
        <v>195</v>
      </c>
      <c r="U182" s="28" t="s">
        <v>195</v>
      </c>
      <c r="V182" s="28" t="s">
        <v>195</v>
      </c>
      <c r="W182" s="28" t="s">
        <v>195</v>
      </c>
      <c r="X182" s="28" t="s">
        <v>195</v>
      </c>
      <c r="Y182" s="28" t="s">
        <v>195</v>
      </c>
      <c r="Z182" s="28" t="s">
        <v>195</v>
      </c>
      <c r="AA182" s="28" t="s">
        <v>195</v>
      </c>
      <c r="AB182" s="94" t="s">
        <v>195</v>
      </c>
      <c r="AC182" s="90" t="s">
        <v>195</v>
      </c>
      <c r="AD182" s="126" t="s">
        <v>195</v>
      </c>
      <c r="AE182" s="97" t="s">
        <v>195</v>
      </c>
      <c r="AF182" s="102">
        <v>0.11</v>
      </c>
      <c r="AG182" s="28" t="s">
        <v>194</v>
      </c>
      <c r="AH182" s="130">
        <v>6.0606060606060608E-2</v>
      </c>
      <c r="AI182" s="28" t="s">
        <v>194</v>
      </c>
      <c r="AJ182" s="278">
        <v>0.08</v>
      </c>
      <c r="AK182" s="28" t="s">
        <v>194</v>
      </c>
    </row>
    <row r="183" spans="1:37" x14ac:dyDescent="0.25">
      <c r="A183" s="21" t="s">
        <v>48</v>
      </c>
      <c r="B183" s="5" t="s">
        <v>27</v>
      </c>
      <c r="C183" s="5" t="s">
        <v>568</v>
      </c>
      <c r="D183" s="26" t="s">
        <v>29</v>
      </c>
      <c r="E183" s="26" t="s">
        <v>145</v>
      </c>
      <c r="F183" s="21" t="s">
        <v>179</v>
      </c>
      <c r="G183" s="21" t="s">
        <v>147</v>
      </c>
      <c r="H183" s="21" t="s">
        <v>189</v>
      </c>
      <c r="I183" s="11">
        <v>0.2</v>
      </c>
      <c r="J183" s="28" t="s">
        <v>195</v>
      </c>
      <c r="K183" s="28" t="s">
        <v>195</v>
      </c>
      <c r="L183" s="28" t="s">
        <v>195</v>
      </c>
      <c r="M183" s="28" t="s">
        <v>195</v>
      </c>
      <c r="N183" s="28" t="s">
        <v>195</v>
      </c>
      <c r="O183" s="28" t="s">
        <v>195</v>
      </c>
      <c r="P183" s="28" t="s">
        <v>195</v>
      </c>
      <c r="Q183" s="28" t="s">
        <v>195</v>
      </c>
      <c r="R183" s="28" t="s">
        <v>195</v>
      </c>
      <c r="S183" s="28" t="s">
        <v>196</v>
      </c>
      <c r="T183" s="28" t="s">
        <v>195</v>
      </c>
      <c r="U183" s="28" t="s">
        <v>195</v>
      </c>
      <c r="V183" s="28" t="s">
        <v>195</v>
      </c>
      <c r="W183" s="28" t="s">
        <v>195</v>
      </c>
      <c r="X183" s="28" t="s">
        <v>195</v>
      </c>
      <c r="Y183" s="28" t="s">
        <v>195</v>
      </c>
      <c r="Z183" s="28" t="s">
        <v>195</v>
      </c>
      <c r="AA183" s="28" t="s">
        <v>195</v>
      </c>
      <c r="AB183" s="94" t="s">
        <v>195</v>
      </c>
      <c r="AC183" s="90" t="s">
        <v>195</v>
      </c>
      <c r="AD183" s="126" t="s">
        <v>195</v>
      </c>
      <c r="AE183" s="97" t="s">
        <v>195</v>
      </c>
      <c r="AF183" s="102">
        <v>0.2</v>
      </c>
      <c r="AG183" s="199" t="s">
        <v>150</v>
      </c>
      <c r="AH183" s="98">
        <v>0</v>
      </c>
      <c r="AI183" s="199" t="s">
        <v>150</v>
      </c>
      <c r="AJ183" s="102">
        <v>0.06</v>
      </c>
      <c r="AK183" s="199" t="s">
        <v>150</v>
      </c>
    </row>
    <row r="184" spans="1:37" x14ac:dyDescent="0.25">
      <c r="A184" s="201" t="s">
        <v>75</v>
      </c>
      <c r="B184" s="202" t="s">
        <v>42</v>
      </c>
      <c r="C184" s="263" t="s">
        <v>501</v>
      </c>
      <c r="D184" s="203" t="s">
        <v>43</v>
      </c>
      <c r="E184" s="203" t="s">
        <v>191</v>
      </c>
      <c r="F184" s="201" t="s">
        <v>179</v>
      </c>
      <c r="G184" s="201" t="s">
        <v>147</v>
      </c>
      <c r="H184" s="207" t="s">
        <v>180</v>
      </c>
      <c r="I184" s="208" t="s">
        <v>306</v>
      </c>
      <c r="J184" s="199" t="s">
        <v>388</v>
      </c>
      <c r="K184" s="199" t="s">
        <v>150</v>
      </c>
      <c r="L184" s="199" t="s">
        <v>388</v>
      </c>
      <c r="M184" s="199" t="s">
        <v>150</v>
      </c>
      <c r="N184" s="199" t="s">
        <v>389</v>
      </c>
      <c r="O184" s="199" t="s">
        <v>150</v>
      </c>
      <c r="P184" s="199" t="s">
        <v>390</v>
      </c>
      <c r="Q184" s="199" t="s">
        <v>150</v>
      </c>
      <c r="R184" s="199" t="s">
        <v>391</v>
      </c>
      <c r="S184" s="199" t="s">
        <v>150</v>
      </c>
      <c r="T184" s="208" t="s">
        <v>269</v>
      </c>
      <c r="U184" s="199" t="s">
        <v>150</v>
      </c>
      <c r="V184" s="199" t="s">
        <v>392</v>
      </c>
      <c r="W184" s="199" t="s">
        <v>150</v>
      </c>
      <c r="X184" s="199" t="s">
        <v>271</v>
      </c>
      <c r="Y184" s="199" t="s">
        <v>150</v>
      </c>
      <c r="Z184" s="208" t="s">
        <v>393</v>
      </c>
      <c r="AA184" s="199" t="s">
        <v>150</v>
      </c>
      <c r="AB184" s="206">
        <v>59</v>
      </c>
      <c r="AC184" s="199" t="s">
        <v>150</v>
      </c>
      <c r="AD184" s="206">
        <v>56</v>
      </c>
      <c r="AE184" s="199" t="s">
        <v>150</v>
      </c>
      <c r="AF184" s="95">
        <v>57</v>
      </c>
      <c r="AG184" s="199" t="s">
        <v>150</v>
      </c>
      <c r="AH184" s="95">
        <v>55</v>
      </c>
      <c r="AI184" s="199" t="s">
        <v>150</v>
      </c>
      <c r="AJ184" s="95">
        <v>54</v>
      </c>
      <c r="AK184" s="199" t="s">
        <v>150</v>
      </c>
    </row>
    <row r="185" spans="1:37" x14ac:dyDescent="0.25">
      <c r="A185" s="21" t="s">
        <v>75</v>
      </c>
      <c r="B185" s="5" t="s">
        <v>42</v>
      </c>
      <c r="C185" s="263" t="s">
        <v>501</v>
      </c>
      <c r="D185" s="26" t="s">
        <v>43</v>
      </c>
      <c r="E185" s="26" t="s">
        <v>191</v>
      </c>
      <c r="F185" s="21" t="s">
        <v>179</v>
      </c>
      <c r="G185" s="21" t="s">
        <v>147</v>
      </c>
      <c r="H185" s="27" t="s">
        <v>197</v>
      </c>
      <c r="I185" s="14" t="s">
        <v>215</v>
      </c>
      <c r="J185" s="28" t="s">
        <v>394</v>
      </c>
      <c r="K185" s="28" t="s">
        <v>150</v>
      </c>
      <c r="L185" s="28" t="s">
        <v>256</v>
      </c>
      <c r="M185" s="28" t="s">
        <v>150</v>
      </c>
      <c r="N185" s="28" t="s">
        <v>395</v>
      </c>
      <c r="O185" s="28" t="s">
        <v>150</v>
      </c>
      <c r="P185" s="28" t="s">
        <v>396</v>
      </c>
      <c r="Q185" s="28" t="s">
        <v>150</v>
      </c>
      <c r="R185" s="28" t="s">
        <v>254</v>
      </c>
      <c r="S185" s="28" t="s">
        <v>150</v>
      </c>
      <c r="T185" s="14" t="s">
        <v>397</v>
      </c>
      <c r="U185" s="28" t="s">
        <v>150</v>
      </c>
      <c r="V185" s="28" t="s">
        <v>397</v>
      </c>
      <c r="W185" s="28" t="s">
        <v>150</v>
      </c>
      <c r="X185" s="28" t="s">
        <v>396</v>
      </c>
      <c r="Y185" s="28" t="s">
        <v>150</v>
      </c>
      <c r="Z185" s="14" t="s">
        <v>396</v>
      </c>
      <c r="AA185" s="28" t="s">
        <v>150</v>
      </c>
      <c r="AB185" s="95">
        <v>40</v>
      </c>
      <c r="AC185" s="28" t="s">
        <v>194</v>
      </c>
      <c r="AD185" s="95">
        <v>40</v>
      </c>
      <c r="AE185" s="28" t="s">
        <v>194</v>
      </c>
      <c r="AF185" s="95">
        <v>31</v>
      </c>
      <c r="AG185" s="28" t="s">
        <v>194</v>
      </c>
      <c r="AH185" s="95">
        <v>33</v>
      </c>
      <c r="AI185" s="28" t="s">
        <v>194</v>
      </c>
      <c r="AJ185" s="95">
        <v>30</v>
      </c>
      <c r="AK185" s="199" t="s">
        <v>150</v>
      </c>
    </row>
    <row r="186" spans="1:37" x14ac:dyDescent="0.25">
      <c r="A186" s="21" t="s">
        <v>75</v>
      </c>
      <c r="B186" s="5" t="s">
        <v>42</v>
      </c>
      <c r="C186" s="263" t="s">
        <v>501</v>
      </c>
      <c r="D186" s="26" t="s">
        <v>43</v>
      </c>
      <c r="E186" s="26" t="s">
        <v>191</v>
      </c>
      <c r="F186" s="21" t="s">
        <v>179</v>
      </c>
      <c r="G186" s="21" t="s">
        <v>147</v>
      </c>
      <c r="H186" s="21" t="s">
        <v>207</v>
      </c>
      <c r="I186" s="11" t="s">
        <v>319</v>
      </c>
      <c r="J186" s="29">
        <v>0.1</v>
      </c>
      <c r="K186" s="28" t="s">
        <v>150</v>
      </c>
      <c r="L186" s="29">
        <v>0.37</v>
      </c>
      <c r="M186" s="28" t="s">
        <v>194</v>
      </c>
      <c r="N186" s="29">
        <v>0.52</v>
      </c>
      <c r="O186" s="28" t="s">
        <v>194</v>
      </c>
      <c r="P186" s="29">
        <v>0.52</v>
      </c>
      <c r="Q186" s="28" t="s">
        <v>194</v>
      </c>
      <c r="R186" s="29">
        <v>0.17</v>
      </c>
      <c r="S186" s="28" t="s">
        <v>150</v>
      </c>
      <c r="T186" s="15">
        <v>0.1</v>
      </c>
      <c r="U186" s="28" t="s">
        <v>150</v>
      </c>
      <c r="V186" s="29">
        <v>0.45</v>
      </c>
      <c r="W186" s="28" t="s">
        <v>194</v>
      </c>
      <c r="X186" s="29">
        <v>0.45</v>
      </c>
      <c r="Y186" s="28" t="s">
        <v>194</v>
      </c>
      <c r="Z186" s="29">
        <v>0.13</v>
      </c>
      <c r="AA186" s="28" t="s">
        <v>150</v>
      </c>
      <c r="AB186" s="102">
        <v>0.15</v>
      </c>
      <c r="AC186" s="28" t="s">
        <v>150</v>
      </c>
      <c r="AD186" s="102">
        <v>0.12</v>
      </c>
      <c r="AE186" s="28" t="s">
        <v>150</v>
      </c>
      <c r="AF186" s="102">
        <v>0.12</v>
      </c>
      <c r="AG186" s="199" t="s">
        <v>150</v>
      </c>
      <c r="AH186" s="102">
        <v>0.11</v>
      </c>
      <c r="AI186" s="199" t="s">
        <v>150</v>
      </c>
      <c r="AJ186" s="102">
        <v>0.11</v>
      </c>
      <c r="AK186" s="199" t="s">
        <v>150</v>
      </c>
    </row>
    <row r="187" spans="1:37" x14ac:dyDescent="0.25">
      <c r="A187" s="21" t="s">
        <v>75</v>
      </c>
      <c r="B187" s="5" t="s">
        <v>42</v>
      </c>
      <c r="C187" s="263" t="s">
        <v>501</v>
      </c>
      <c r="D187" s="26" t="s">
        <v>43</v>
      </c>
      <c r="E187" s="26" t="s">
        <v>191</v>
      </c>
      <c r="F187" s="21" t="s">
        <v>179</v>
      </c>
      <c r="G187" s="21" t="s">
        <v>147</v>
      </c>
      <c r="H187" s="27" t="s">
        <v>186</v>
      </c>
      <c r="I187" s="11" t="s">
        <v>398</v>
      </c>
      <c r="J187" s="29">
        <v>0.83</v>
      </c>
      <c r="K187" s="28" t="s">
        <v>150</v>
      </c>
      <c r="L187" s="29">
        <v>0.87</v>
      </c>
      <c r="M187" s="28" t="s">
        <v>150</v>
      </c>
      <c r="N187" s="29">
        <v>0.83</v>
      </c>
      <c r="O187" s="28" t="s">
        <v>150</v>
      </c>
      <c r="P187" s="29">
        <v>0.84</v>
      </c>
      <c r="Q187" s="28" t="s">
        <v>150</v>
      </c>
      <c r="R187" s="29">
        <v>0.77</v>
      </c>
      <c r="S187" s="28" t="s">
        <v>150</v>
      </c>
      <c r="T187" s="15">
        <v>0.88</v>
      </c>
      <c r="U187" s="28" t="s">
        <v>150</v>
      </c>
      <c r="V187" s="29">
        <v>0.86</v>
      </c>
      <c r="W187" s="28" t="s">
        <v>150</v>
      </c>
      <c r="X187" s="29">
        <v>0.84</v>
      </c>
      <c r="Y187" s="28" t="s">
        <v>150</v>
      </c>
      <c r="Z187" s="29">
        <v>0.93</v>
      </c>
      <c r="AA187" s="28" t="s">
        <v>150</v>
      </c>
      <c r="AB187" s="102">
        <v>0.88</v>
      </c>
      <c r="AC187" s="28" t="s">
        <v>150</v>
      </c>
      <c r="AD187" s="102">
        <v>0.85</v>
      </c>
      <c r="AE187" s="28" t="s">
        <v>150</v>
      </c>
      <c r="AF187" s="102">
        <v>0.85</v>
      </c>
      <c r="AG187" s="199" t="s">
        <v>150</v>
      </c>
      <c r="AH187" s="102">
        <v>0.81</v>
      </c>
      <c r="AI187" s="199" t="s">
        <v>150</v>
      </c>
      <c r="AJ187" s="102">
        <v>0.85</v>
      </c>
      <c r="AK187" s="199" t="s">
        <v>150</v>
      </c>
    </row>
    <row r="188" spans="1:37" x14ac:dyDescent="0.25">
      <c r="A188" s="21" t="s">
        <v>75</v>
      </c>
      <c r="B188" s="5" t="s">
        <v>42</v>
      </c>
      <c r="C188" s="263" t="s">
        <v>501</v>
      </c>
      <c r="D188" s="26" t="s">
        <v>43</v>
      </c>
      <c r="E188" s="26" t="s">
        <v>191</v>
      </c>
      <c r="F188" s="21" t="s">
        <v>179</v>
      </c>
      <c r="G188" s="21" t="s">
        <v>147</v>
      </c>
      <c r="H188" s="27" t="s">
        <v>188</v>
      </c>
      <c r="I188" s="11" t="s">
        <v>399</v>
      </c>
      <c r="J188" s="29">
        <v>7.0000000000000007E-2</v>
      </c>
      <c r="K188" s="28" t="s">
        <v>194</v>
      </c>
      <c r="L188" s="29">
        <v>0.13</v>
      </c>
      <c r="M188" s="28" t="s">
        <v>150</v>
      </c>
      <c r="N188" s="29">
        <v>0.13</v>
      </c>
      <c r="O188" s="28" t="s">
        <v>150</v>
      </c>
      <c r="P188" s="29">
        <v>0.11</v>
      </c>
      <c r="Q188" s="28" t="s">
        <v>194</v>
      </c>
      <c r="R188" s="29">
        <v>0.22</v>
      </c>
      <c r="S188" s="28" t="s">
        <v>150</v>
      </c>
      <c r="T188" s="15">
        <v>0.2</v>
      </c>
      <c r="U188" s="28" t="s">
        <v>150</v>
      </c>
      <c r="V188" s="29">
        <v>0.14000000000000001</v>
      </c>
      <c r="W188" s="28" t="s">
        <v>150</v>
      </c>
      <c r="X188" s="29">
        <v>0.19</v>
      </c>
      <c r="Y188" s="28" t="s">
        <v>150</v>
      </c>
      <c r="Z188" s="29">
        <v>0.1</v>
      </c>
      <c r="AA188" s="28" t="s">
        <v>194</v>
      </c>
      <c r="AB188" s="102">
        <v>0.16</v>
      </c>
      <c r="AC188" s="28" t="s">
        <v>150</v>
      </c>
      <c r="AD188" s="102">
        <v>0.18</v>
      </c>
      <c r="AE188" s="28" t="s">
        <v>150</v>
      </c>
      <c r="AF188" s="102">
        <v>0.23</v>
      </c>
      <c r="AG188" s="199" t="s">
        <v>150</v>
      </c>
      <c r="AH188" s="102">
        <v>0.24</v>
      </c>
      <c r="AI188" s="199" t="s">
        <v>150</v>
      </c>
      <c r="AJ188" s="102">
        <v>0.16</v>
      </c>
      <c r="AK188" s="199" t="s">
        <v>150</v>
      </c>
    </row>
    <row r="189" spans="1:37" x14ac:dyDescent="0.25">
      <c r="A189" s="21" t="s">
        <v>75</v>
      </c>
      <c r="B189" s="5" t="s">
        <v>42</v>
      </c>
      <c r="C189" s="263" t="s">
        <v>501</v>
      </c>
      <c r="D189" s="26" t="s">
        <v>43</v>
      </c>
      <c r="E189" s="26" t="s">
        <v>191</v>
      </c>
      <c r="F189" s="21" t="s">
        <v>179</v>
      </c>
      <c r="G189" s="21" t="s">
        <v>147</v>
      </c>
      <c r="H189" s="21" t="s">
        <v>189</v>
      </c>
      <c r="I189" s="14" t="s">
        <v>319</v>
      </c>
      <c r="J189" s="29">
        <v>0.08</v>
      </c>
      <c r="K189" s="28" t="s">
        <v>150</v>
      </c>
      <c r="L189" s="29">
        <v>0.15</v>
      </c>
      <c r="M189" s="28" t="s">
        <v>150</v>
      </c>
      <c r="N189" s="29">
        <v>0.1</v>
      </c>
      <c r="O189" s="28" t="s">
        <v>150</v>
      </c>
      <c r="P189" s="29">
        <v>0.11</v>
      </c>
      <c r="Q189" s="28" t="s">
        <v>150</v>
      </c>
      <c r="R189" s="29">
        <v>0.13</v>
      </c>
      <c r="S189" s="28" t="s">
        <v>150</v>
      </c>
      <c r="T189" s="15">
        <v>0.26</v>
      </c>
      <c r="U189" s="28" t="s">
        <v>194</v>
      </c>
      <c r="V189" s="29">
        <v>0.12</v>
      </c>
      <c r="W189" s="28" t="s">
        <v>150</v>
      </c>
      <c r="X189" s="29">
        <v>0.17</v>
      </c>
      <c r="Y189" s="28" t="s">
        <v>150</v>
      </c>
      <c r="Z189" s="29">
        <v>0.11</v>
      </c>
      <c r="AA189" s="28" t="s">
        <v>150</v>
      </c>
      <c r="AB189" s="102">
        <v>0.56000000000000005</v>
      </c>
      <c r="AC189" s="28" t="s">
        <v>194</v>
      </c>
      <c r="AD189" s="102">
        <v>0.23</v>
      </c>
      <c r="AE189" s="28" t="s">
        <v>194</v>
      </c>
      <c r="AF189" s="102">
        <v>0.56999999999999995</v>
      </c>
      <c r="AG189" s="28" t="s">
        <v>194</v>
      </c>
      <c r="AH189" s="102">
        <v>0.15</v>
      </c>
      <c r="AI189" s="199" t="s">
        <v>150</v>
      </c>
      <c r="AJ189" s="102">
        <v>0.22</v>
      </c>
      <c r="AK189" s="28" t="s">
        <v>194</v>
      </c>
    </row>
    <row r="190" spans="1:37" x14ac:dyDescent="0.25">
      <c r="A190" s="21" t="s">
        <v>75</v>
      </c>
      <c r="B190" s="5" t="s">
        <v>42</v>
      </c>
      <c r="C190" s="263" t="s">
        <v>501</v>
      </c>
      <c r="D190" s="26" t="s">
        <v>43</v>
      </c>
      <c r="E190" s="26" t="s">
        <v>191</v>
      </c>
      <c r="F190" s="21" t="s">
        <v>179</v>
      </c>
      <c r="G190" s="21" t="s">
        <v>147</v>
      </c>
      <c r="H190" s="27" t="s">
        <v>190</v>
      </c>
      <c r="I190" s="14" t="s">
        <v>398</v>
      </c>
      <c r="J190" s="29">
        <v>0.48</v>
      </c>
      <c r="K190" s="28" t="s">
        <v>194</v>
      </c>
      <c r="L190" s="29">
        <v>0.48</v>
      </c>
      <c r="M190" s="28" t="s">
        <v>194</v>
      </c>
      <c r="N190" s="29">
        <v>0.39</v>
      </c>
      <c r="O190" s="28" t="s">
        <v>194</v>
      </c>
      <c r="P190" s="29">
        <v>0.45</v>
      </c>
      <c r="Q190" s="28" t="s">
        <v>194</v>
      </c>
      <c r="R190" s="29">
        <v>0.69</v>
      </c>
      <c r="S190" s="28" t="s">
        <v>194</v>
      </c>
      <c r="T190" s="15">
        <v>0.74</v>
      </c>
      <c r="U190" s="28" t="s">
        <v>150</v>
      </c>
      <c r="V190" s="29">
        <v>0.65</v>
      </c>
      <c r="W190" s="28" t="s">
        <v>194</v>
      </c>
      <c r="X190" s="29">
        <v>0.7</v>
      </c>
      <c r="Y190" s="28" t="s">
        <v>150</v>
      </c>
      <c r="Z190" s="29">
        <v>0.35</v>
      </c>
      <c r="AA190" s="28" t="s">
        <v>194</v>
      </c>
      <c r="AB190" s="102">
        <v>0.26</v>
      </c>
      <c r="AC190" s="28" t="s">
        <v>194</v>
      </c>
      <c r="AD190" s="102">
        <v>0.56999999999999995</v>
      </c>
      <c r="AE190" s="28" t="s">
        <v>194</v>
      </c>
      <c r="AF190" s="102">
        <v>0.13</v>
      </c>
      <c r="AG190" s="28" t="s">
        <v>194</v>
      </c>
      <c r="AH190" s="102">
        <v>0.48</v>
      </c>
      <c r="AI190" s="28" t="s">
        <v>194</v>
      </c>
      <c r="AJ190" s="102">
        <v>0.47</v>
      </c>
      <c r="AK190" s="28" t="s">
        <v>194</v>
      </c>
    </row>
    <row r="191" spans="1:37" x14ac:dyDescent="0.25">
      <c r="A191" s="161" t="s">
        <v>75</v>
      </c>
      <c r="B191" s="162" t="s">
        <v>42</v>
      </c>
      <c r="C191" s="263" t="s">
        <v>501</v>
      </c>
      <c r="D191" s="163" t="s">
        <v>43</v>
      </c>
      <c r="E191" s="163" t="s">
        <v>191</v>
      </c>
      <c r="F191" s="161" t="s">
        <v>179</v>
      </c>
      <c r="G191" s="161" t="s">
        <v>147</v>
      </c>
      <c r="H191" s="163" t="s">
        <v>176</v>
      </c>
      <c r="I191" s="171" t="s">
        <v>380</v>
      </c>
      <c r="J191" s="171" t="s">
        <v>196</v>
      </c>
      <c r="K191" s="171" t="s">
        <v>196</v>
      </c>
      <c r="L191" s="171" t="s">
        <v>196</v>
      </c>
      <c r="M191" s="167" t="s">
        <v>195</v>
      </c>
      <c r="N191" s="171" t="s">
        <v>196</v>
      </c>
      <c r="O191" s="167" t="s">
        <v>195</v>
      </c>
      <c r="P191" s="171" t="s">
        <v>196</v>
      </c>
      <c r="Q191" s="167" t="s">
        <v>195</v>
      </c>
      <c r="R191" s="167" t="s">
        <v>195</v>
      </c>
      <c r="S191" s="167" t="s">
        <v>196</v>
      </c>
      <c r="T191" s="165" t="s">
        <v>196</v>
      </c>
      <c r="U191" s="167" t="s">
        <v>195</v>
      </c>
      <c r="V191" s="167" t="s">
        <v>195</v>
      </c>
      <c r="W191" s="167" t="s">
        <v>195</v>
      </c>
      <c r="X191" s="167" t="s">
        <v>195</v>
      </c>
      <c r="Y191" s="167" t="s">
        <v>195</v>
      </c>
      <c r="Z191" s="167" t="s">
        <v>206</v>
      </c>
      <c r="AA191" s="165" t="s">
        <v>154</v>
      </c>
      <c r="AB191" s="178" t="s">
        <v>154</v>
      </c>
      <c r="AC191" s="165" t="s">
        <v>154</v>
      </c>
      <c r="AD191" s="179" t="s">
        <v>154</v>
      </c>
      <c r="AE191" s="156" t="s">
        <v>154</v>
      </c>
      <c r="AF191" s="140" t="s">
        <v>154</v>
      </c>
      <c r="AG191" s="97" t="s">
        <v>154</v>
      </c>
      <c r="AH191" s="79" t="s">
        <v>154</v>
      </c>
      <c r="AI191" s="97" t="s">
        <v>154</v>
      </c>
      <c r="AJ191" s="79" t="s">
        <v>206</v>
      </c>
      <c r="AK191" s="199" t="s">
        <v>150</v>
      </c>
    </row>
    <row r="192" spans="1:37" x14ac:dyDescent="0.25">
      <c r="A192" s="87" t="s">
        <v>506</v>
      </c>
      <c r="B192" s="88" t="s">
        <v>31</v>
      </c>
      <c r="C192" s="263" t="s">
        <v>90</v>
      </c>
      <c r="D192" s="89" t="s">
        <v>514</v>
      </c>
      <c r="E192" s="85" t="s">
        <v>191</v>
      </c>
      <c r="F192" s="87" t="s">
        <v>179</v>
      </c>
      <c r="G192" s="87" t="s">
        <v>147</v>
      </c>
      <c r="H192" s="85" t="s">
        <v>180</v>
      </c>
      <c r="I192" s="90">
        <v>80</v>
      </c>
      <c r="J192" s="15" t="s">
        <v>154</v>
      </c>
      <c r="K192" s="15" t="s">
        <v>154</v>
      </c>
      <c r="L192" s="15" t="s">
        <v>154</v>
      </c>
      <c r="M192" s="15" t="s">
        <v>154</v>
      </c>
      <c r="N192" s="15" t="s">
        <v>154</v>
      </c>
      <c r="O192" s="15" t="s">
        <v>154</v>
      </c>
      <c r="P192" s="15" t="s">
        <v>154</v>
      </c>
      <c r="Q192" s="15" t="s">
        <v>154</v>
      </c>
      <c r="R192" s="15" t="s">
        <v>154</v>
      </c>
      <c r="S192" s="15" t="s">
        <v>154</v>
      </c>
      <c r="T192" s="15" t="s">
        <v>154</v>
      </c>
      <c r="U192" s="15" t="s">
        <v>154</v>
      </c>
      <c r="V192" s="15" t="s">
        <v>154</v>
      </c>
      <c r="W192" s="15" t="s">
        <v>154</v>
      </c>
      <c r="X192" s="15" t="s">
        <v>154</v>
      </c>
      <c r="Y192" s="15" t="s">
        <v>154</v>
      </c>
      <c r="Z192" s="15" t="s">
        <v>154</v>
      </c>
      <c r="AA192" s="15" t="s">
        <v>154</v>
      </c>
      <c r="AB192" s="90">
        <v>79</v>
      </c>
      <c r="AC192" s="28" t="s">
        <v>150</v>
      </c>
      <c r="AD192" s="126" t="s">
        <v>195</v>
      </c>
      <c r="AE192" s="126" t="s">
        <v>195</v>
      </c>
      <c r="AF192" s="147">
        <v>117</v>
      </c>
      <c r="AG192" s="28" t="s">
        <v>194</v>
      </c>
      <c r="AH192" s="279">
        <v>76</v>
      </c>
      <c r="AI192" s="199" t="s">
        <v>150</v>
      </c>
      <c r="AJ192" s="274" t="s">
        <v>195</v>
      </c>
      <c r="AK192" s="94" t="s">
        <v>195</v>
      </c>
    </row>
    <row r="193" spans="1:37" x14ac:dyDescent="0.25">
      <c r="A193" s="87" t="s">
        <v>506</v>
      </c>
      <c r="B193" s="88" t="s">
        <v>31</v>
      </c>
      <c r="C193" s="263" t="s">
        <v>90</v>
      </c>
      <c r="D193" s="89" t="s">
        <v>514</v>
      </c>
      <c r="E193" s="85" t="s">
        <v>191</v>
      </c>
      <c r="F193" s="87" t="s">
        <v>179</v>
      </c>
      <c r="G193" s="87" t="s">
        <v>147</v>
      </c>
      <c r="H193" s="85" t="s">
        <v>197</v>
      </c>
      <c r="I193" s="90">
        <v>40</v>
      </c>
      <c r="J193" s="15" t="s">
        <v>154</v>
      </c>
      <c r="K193" s="15" t="s">
        <v>154</v>
      </c>
      <c r="L193" s="15" t="s">
        <v>154</v>
      </c>
      <c r="M193" s="15" t="s">
        <v>154</v>
      </c>
      <c r="N193" s="15" t="s">
        <v>154</v>
      </c>
      <c r="O193" s="15" t="s">
        <v>154</v>
      </c>
      <c r="P193" s="15" t="s">
        <v>154</v>
      </c>
      <c r="Q193" s="15" t="s">
        <v>154</v>
      </c>
      <c r="R193" s="15" t="s">
        <v>154</v>
      </c>
      <c r="S193" s="15" t="s">
        <v>154</v>
      </c>
      <c r="T193" s="15" t="s">
        <v>154</v>
      </c>
      <c r="U193" s="15" t="s">
        <v>154</v>
      </c>
      <c r="V193" s="15" t="s">
        <v>154</v>
      </c>
      <c r="W193" s="15" t="s">
        <v>154</v>
      </c>
      <c r="X193" s="15" t="s">
        <v>154</v>
      </c>
      <c r="Y193" s="15" t="s">
        <v>154</v>
      </c>
      <c r="Z193" s="15" t="s">
        <v>154</v>
      </c>
      <c r="AA193" s="15" t="s">
        <v>154</v>
      </c>
      <c r="AB193" s="14">
        <v>55</v>
      </c>
      <c r="AC193" s="28" t="s">
        <v>194</v>
      </c>
      <c r="AD193" s="126" t="s">
        <v>195</v>
      </c>
      <c r="AE193" s="126" t="s">
        <v>195</v>
      </c>
      <c r="AF193" s="125">
        <v>79</v>
      </c>
      <c r="AG193" s="28" t="s">
        <v>194</v>
      </c>
      <c r="AH193" s="279">
        <v>64</v>
      </c>
      <c r="AI193" s="28" t="s">
        <v>194</v>
      </c>
      <c r="AJ193" s="274" t="s">
        <v>195</v>
      </c>
      <c r="AK193" s="94" t="s">
        <v>195</v>
      </c>
    </row>
    <row r="194" spans="1:37" x14ac:dyDescent="0.25">
      <c r="A194" s="87" t="s">
        <v>506</v>
      </c>
      <c r="B194" s="88" t="s">
        <v>31</v>
      </c>
      <c r="C194" s="263" t="s">
        <v>90</v>
      </c>
      <c r="D194" s="89" t="s">
        <v>514</v>
      </c>
      <c r="E194" s="85" t="s">
        <v>191</v>
      </c>
      <c r="F194" s="87" t="s">
        <v>179</v>
      </c>
      <c r="G194" s="87" t="s">
        <v>147</v>
      </c>
      <c r="H194" s="85" t="s">
        <v>207</v>
      </c>
      <c r="I194" s="83">
        <v>0.25</v>
      </c>
      <c r="J194" s="15" t="s">
        <v>154</v>
      </c>
      <c r="K194" s="15" t="s">
        <v>154</v>
      </c>
      <c r="L194" s="15" t="s">
        <v>154</v>
      </c>
      <c r="M194" s="15" t="s">
        <v>154</v>
      </c>
      <c r="N194" s="15" t="s">
        <v>154</v>
      </c>
      <c r="O194" s="15" t="s">
        <v>154</v>
      </c>
      <c r="P194" s="15" t="s">
        <v>154</v>
      </c>
      <c r="Q194" s="15" t="s">
        <v>154</v>
      </c>
      <c r="R194" s="15" t="s">
        <v>154</v>
      </c>
      <c r="S194" s="15" t="s">
        <v>154</v>
      </c>
      <c r="T194" s="15" t="s">
        <v>154</v>
      </c>
      <c r="U194" s="15" t="s">
        <v>154</v>
      </c>
      <c r="V194" s="15" t="s">
        <v>154</v>
      </c>
      <c r="W194" s="15" t="s">
        <v>154</v>
      </c>
      <c r="X194" s="15" t="s">
        <v>154</v>
      </c>
      <c r="Y194" s="15" t="s">
        <v>154</v>
      </c>
      <c r="Z194" s="15" t="s">
        <v>154</v>
      </c>
      <c r="AA194" s="15" t="s">
        <v>154</v>
      </c>
      <c r="AB194" s="11">
        <v>0.33333333333333331</v>
      </c>
      <c r="AC194" s="28" t="s">
        <v>194</v>
      </c>
      <c r="AD194" s="126" t="s">
        <v>195</v>
      </c>
      <c r="AE194" s="126" t="s">
        <v>195</v>
      </c>
      <c r="AF194" s="126">
        <v>0.47</v>
      </c>
      <c r="AG194" s="28" t="s">
        <v>194</v>
      </c>
      <c r="AH194" s="94">
        <v>0.65</v>
      </c>
      <c r="AI194" s="28" t="s">
        <v>194</v>
      </c>
      <c r="AJ194" s="274" t="s">
        <v>195</v>
      </c>
      <c r="AK194" s="94" t="s">
        <v>195</v>
      </c>
    </row>
    <row r="195" spans="1:37" x14ac:dyDescent="0.25">
      <c r="A195" s="87" t="s">
        <v>506</v>
      </c>
      <c r="B195" s="88" t="s">
        <v>31</v>
      </c>
      <c r="C195" s="263" t="s">
        <v>90</v>
      </c>
      <c r="D195" s="89" t="s">
        <v>514</v>
      </c>
      <c r="E195" s="85" t="s">
        <v>191</v>
      </c>
      <c r="F195" s="87" t="s">
        <v>179</v>
      </c>
      <c r="G195" s="87" t="s">
        <v>147</v>
      </c>
      <c r="H195" s="85" t="s">
        <v>186</v>
      </c>
      <c r="I195" s="83">
        <v>0.6</v>
      </c>
      <c r="J195" s="15" t="s">
        <v>154</v>
      </c>
      <c r="K195" s="15" t="s">
        <v>154</v>
      </c>
      <c r="L195" s="15" t="s">
        <v>154</v>
      </c>
      <c r="M195" s="15" t="s">
        <v>154</v>
      </c>
      <c r="N195" s="15" t="s">
        <v>154</v>
      </c>
      <c r="O195" s="15" t="s">
        <v>154</v>
      </c>
      <c r="P195" s="15" t="s">
        <v>154</v>
      </c>
      <c r="Q195" s="15" t="s">
        <v>154</v>
      </c>
      <c r="R195" s="15" t="s">
        <v>154</v>
      </c>
      <c r="S195" s="15" t="s">
        <v>154</v>
      </c>
      <c r="T195" s="15" t="s">
        <v>154</v>
      </c>
      <c r="U195" s="15" t="s">
        <v>154</v>
      </c>
      <c r="V195" s="15" t="s">
        <v>154</v>
      </c>
      <c r="W195" s="15" t="s">
        <v>154</v>
      </c>
      <c r="X195" s="15" t="s">
        <v>154</v>
      </c>
      <c r="Y195" s="15" t="s">
        <v>154</v>
      </c>
      <c r="Z195" s="15" t="s">
        <v>154</v>
      </c>
      <c r="AA195" s="15" t="s">
        <v>154</v>
      </c>
      <c r="AB195" s="11">
        <v>0.56999999999999995</v>
      </c>
      <c r="AC195" s="28" t="s">
        <v>194</v>
      </c>
      <c r="AD195" s="126" t="s">
        <v>195</v>
      </c>
      <c r="AE195" s="126" t="s">
        <v>195</v>
      </c>
      <c r="AF195" s="126">
        <v>0.72</v>
      </c>
      <c r="AG195" s="199" t="s">
        <v>150</v>
      </c>
      <c r="AH195" s="94">
        <v>0.72</v>
      </c>
      <c r="AI195" s="199" t="s">
        <v>150</v>
      </c>
      <c r="AJ195" s="274" t="s">
        <v>195</v>
      </c>
      <c r="AK195" s="94" t="s">
        <v>195</v>
      </c>
    </row>
    <row r="196" spans="1:37" x14ac:dyDescent="0.25">
      <c r="A196" s="87" t="s">
        <v>506</v>
      </c>
      <c r="B196" s="88" t="s">
        <v>31</v>
      </c>
      <c r="C196" s="263" t="s">
        <v>90</v>
      </c>
      <c r="D196" s="89" t="s">
        <v>514</v>
      </c>
      <c r="E196" s="85" t="s">
        <v>191</v>
      </c>
      <c r="F196" s="87" t="s">
        <v>179</v>
      </c>
      <c r="G196" s="87" t="s">
        <v>147</v>
      </c>
      <c r="H196" s="85" t="s">
        <v>188</v>
      </c>
      <c r="I196" s="86" t="s">
        <v>515</v>
      </c>
      <c r="J196" s="15" t="s">
        <v>154</v>
      </c>
      <c r="K196" s="15" t="s">
        <v>154</v>
      </c>
      <c r="L196" s="15" t="s">
        <v>154</v>
      </c>
      <c r="M196" s="15" t="s">
        <v>154</v>
      </c>
      <c r="N196" s="15" t="s">
        <v>154</v>
      </c>
      <c r="O196" s="15" t="s">
        <v>154</v>
      </c>
      <c r="P196" s="15" t="s">
        <v>154</v>
      </c>
      <c r="Q196" s="15" t="s">
        <v>154</v>
      </c>
      <c r="R196" s="15" t="s">
        <v>154</v>
      </c>
      <c r="S196" s="15" t="s">
        <v>154</v>
      </c>
      <c r="T196" s="15" t="s">
        <v>154</v>
      </c>
      <c r="U196" s="15" t="s">
        <v>154</v>
      </c>
      <c r="V196" s="15" t="s">
        <v>154</v>
      </c>
      <c r="W196" s="15" t="s">
        <v>154</v>
      </c>
      <c r="X196" s="15" t="s">
        <v>154</v>
      </c>
      <c r="Y196" s="15" t="s">
        <v>154</v>
      </c>
      <c r="Z196" s="15" t="s">
        <v>154</v>
      </c>
      <c r="AA196" s="15" t="s">
        <v>154</v>
      </c>
      <c r="AB196" s="123">
        <v>4.3749999999999997E-2</v>
      </c>
      <c r="AC196" s="28" t="s">
        <v>150</v>
      </c>
      <c r="AD196" s="126" t="s">
        <v>195</v>
      </c>
      <c r="AE196" s="126" t="s">
        <v>195</v>
      </c>
      <c r="AF196" s="252">
        <v>1.03</v>
      </c>
      <c r="AG196" s="199" t="s">
        <v>150</v>
      </c>
      <c r="AH196" s="280">
        <v>4.3749999999999997E-2</v>
      </c>
      <c r="AI196" s="199" t="s">
        <v>150</v>
      </c>
      <c r="AJ196" s="274" t="s">
        <v>195</v>
      </c>
      <c r="AK196" s="94" t="s">
        <v>195</v>
      </c>
    </row>
    <row r="197" spans="1:37" x14ac:dyDescent="0.25">
      <c r="A197" s="87" t="s">
        <v>506</v>
      </c>
      <c r="B197" s="88" t="s">
        <v>31</v>
      </c>
      <c r="C197" s="263" t="s">
        <v>90</v>
      </c>
      <c r="D197" s="89" t="s">
        <v>514</v>
      </c>
      <c r="E197" s="85" t="s">
        <v>191</v>
      </c>
      <c r="F197" s="87" t="s">
        <v>179</v>
      </c>
      <c r="G197" s="87" t="s">
        <v>147</v>
      </c>
      <c r="H197" s="85" t="s">
        <v>189</v>
      </c>
      <c r="I197" s="83">
        <v>0.35</v>
      </c>
      <c r="J197" s="15" t="s">
        <v>154</v>
      </c>
      <c r="K197" s="15" t="s">
        <v>154</v>
      </c>
      <c r="L197" s="15" t="s">
        <v>154</v>
      </c>
      <c r="M197" s="15" t="s">
        <v>154</v>
      </c>
      <c r="N197" s="15" t="s">
        <v>154</v>
      </c>
      <c r="O197" s="15" t="s">
        <v>154</v>
      </c>
      <c r="P197" s="15" t="s">
        <v>154</v>
      </c>
      <c r="Q197" s="15" t="s">
        <v>154</v>
      </c>
      <c r="R197" s="15" t="s">
        <v>154</v>
      </c>
      <c r="S197" s="15" t="s">
        <v>154</v>
      </c>
      <c r="T197" s="15" t="s">
        <v>154</v>
      </c>
      <c r="U197" s="15" t="s">
        <v>154</v>
      </c>
      <c r="V197" s="15" t="s">
        <v>154</v>
      </c>
      <c r="W197" s="15" t="s">
        <v>154</v>
      </c>
      <c r="X197" s="15" t="s">
        <v>154</v>
      </c>
      <c r="Y197" s="15" t="s">
        <v>154</v>
      </c>
      <c r="Z197" s="15" t="s">
        <v>154</v>
      </c>
      <c r="AA197" s="15" t="s">
        <v>154</v>
      </c>
      <c r="AB197" s="83">
        <v>0.17</v>
      </c>
      <c r="AC197" s="28" t="s">
        <v>150</v>
      </c>
      <c r="AD197" s="126" t="s">
        <v>195</v>
      </c>
      <c r="AE197" s="126" t="s">
        <v>195</v>
      </c>
      <c r="AF197" s="126">
        <v>0.28000000000000003</v>
      </c>
      <c r="AG197" s="199" t="s">
        <v>150</v>
      </c>
      <c r="AH197" s="94">
        <v>0.33</v>
      </c>
      <c r="AI197" s="199" t="s">
        <v>150</v>
      </c>
      <c r="AJ197" s="274" t="s">
        <v>195</v>
      </c>
      <c r="AK197" s="94" t="s">
        <v>195</v>
      </c>
    </row>
    <row r="198" spans="1:37" x14ac:dyDescent="0.25">
      <c r="A198" s="26" t="s">
        <v>30</v>
      </c>
      <c r="B198" s="5" t="s">
        <v>31</v>
      </c>
      <c r="C198" s="76" t="s">
        <v>32</v>
      </c>
      <c r="D198" s="26" t="s">
        <v>43</v>
      </c>
      <c r="E198" s="26" t="s">
        <v>191</v>
      </c>
      <c r="F198" s="26" t="s">
        <v>146</v>
      </c>
      <c r="G198" s="21" t="s">
        <v>147</v>
      </c>
      <c r="H198" s="21" t="s">
        <v>192</v>
      </c>
      <c r="I198" s="11" t="s">
        <v>193</v>
      </c>
      <c r="J198" s="11">
        <v>0.85</v>
      </c>
      <c r="K198" s="28" t="s">
        <v>150</v>
      </c>
      <c r="L198" s="15">
        <v>0.81907894736842102</v>
      </c>
      <c r="M198" s="28" t="s">
        <v>194</v>
      </c>
      <c r="N198" s="28" t="s">
        <v>195</v>
      </c>
      <c r="O198" s="28" t="s">
        <v>195</v>
      </c>
      <c r="P198" s="28" t="s">
        <v>195</v>
      </c>
      <c r="Q198" s="28" t="s">
        <v>195</v>
      </c>
      <c r="R198" s="28" t="s">
        <v>195</v>
      </c>
      <c r="S198" s="28" t="s">
        <v>196</v>
      </c>
      <c r="T198" s="28" t="s">
        <v>195</v>
      </c>
      <c r="U198" s="28" t="s">
        <v>195</v>
      </c>
      <c r="V198" s="28" t="s">
        <v>195</v>
      </c>
      <c r="W198" s="28" t="s">
        <v>195</v>
      </c>
      <c r="X198" s="28" t="s">
        <v>195</v>
      </c>
      <c r="Y198" s="28" t="s">
        <v>195</v>
      </c>
      <c r="Z198" s="28" t="s">
        <v>195</v>
      </c>
      <c r="AA198" s="28" t="s">
        <v>195</v>
      </c>
      <c r="AB198" s="97" t="s">
        <v>195</v>
      </c>
      <c r="AC198" s="90" t="s">
        <v>195</v>
      </c>
      <c r="AD198" s="97" t="s">
        <v>195</v>
      </c>
      <c r="AE198" s="97" t="s">
        <v>195</v>
      </c>
      <c r="AF198" s="102">
        <v>0.63</v>
      </c>
      <c r="AG198" s="28" t="s">
        <v>194</v>
      </c>
      <c r="AH198" s="97" t="s">
        <v>195</v>
      </c>
      <c r="AI198" s="97" t="s">
        <v>195</v>
      </c>
      <c r="AJ198" s="79">
        <v>0.79</v>
      </c>
      <c r="AK198" s="28" t="s">
        <v>194</v>
      </c>
    </row>
    <row r="199" spans="1:37" x14ac:dyDescent="0.25">
      <c r="A199" s="26" t="s">
        <v>30</v>
      </c>
      <c r="B199" s="5" t="s">
        <v>31</v>
      </c>
      <c r="C199" s="76" t="s">
        <v>32</v>
      </c>
      <c r="D199" s="26" t="s">
        <v>43</v>
      </c>
      <c r="E199" s="26" t="s">
        <v>191</v>
      </c>
      <c r="F199" s="21" t="s">
        <v>179</v>
      </c>
      <c r="G199" s="21" t="s">
        <v>147</v>
      </c>
      <c r="H199" s="27" t="s">
        <v>197</v>
      </c>
      <c r="I199" s="11" t="s">
        <v>198</v>
      </c>
      <c r="J199" s="11">
        <v>0.86</v>
      </c>
      <c r="K199" s="28" t="s">
        <v>150</v>
      </c>
      <c r="L199" s="15">
        <v>0.80487804878048785</v>
      </c>
      <c r="M199" s="28" t="s">
        <v>194</v>
      </c>
      <c r="N199" s="28" t="s">
        <v>195</v>
      </c>
      <c r="O199" s="28" t="s">
        <v>195</v>
      </c>
      <c r="P199" s="28" t="s">
        <v>195</v>
      </c>
      <c r="Q199" s="28" t="s">
        <v>195</v>
      </c>
      <c r="R199" s="28" t="s">
        <v>195</v>
      </c>
      <c r="S199" s="28" t="s">
        <v>196</v>
      </c>
      <c r="T199" s="28" t="s">
        <v>195</v>
      </c>
      <c r="U199" s="28" t="s">
        <v>195</v>
      </c>
      <c r="V199" s="28" t="s">
        <v>195</v>
      </c>
      <c r="W199" s="28" t="s">
        <v>195</v>
      </c>
      <c r="X199" s="28" t="s">
        <v>195</v>
      </c>
      <c r="Y199" s="28" t="s">
        <v>195</v>
      </c>
      <c r="Z199" s="28" t="s">
        <v>195</v>
      </c>
      <c r="AA199" s="28" t="s">
        <v>195</v>
      </c>
      <c r="AB199" s="97" t="s">
        <v>195</v>
      </c>
      <c r="AC199" s="90" t="s">
        <v>195</v>
      </c>
      <c r="AD199" s="97" t="s">
        <v>195</v>
      </c>
      <c r="AE199" s="97" t="s">
        <v>195</v>
      </c>
      <c r="AF199" s="102">
        <v>0.63</v>
      </c>
      <c r="AG199" s="28" t="s">
        <v>194</v>
      </c>
      <c r="AH199" s="97" t="s">
        <v>195</v>
      </c>
      <c r="AI199" s="97" t="s">
        <v>195</v>
      </c>
      <c r="AJ199" s="79">
        <v>0.77</v>
      </c>
      <c r="AK199" s="28" t="s">
        <v>194</v>
      </c>
    </row>
    <row r="200" spans="1:37" x14ac:dyDescent="0.25">
      <c r="A200" s="26" t="s">
        <v>30</v>
      </c>
      <c r="B200" s="5" t="s">
        <v>31</v>
      </c>
      <c r="C200" s="76" t="s">
        <v>32</v>
      </c>
      <c r="D200" s="26" t="s">
        <v>43</v>
      </c>
      <c r="E200" s="26" t="s">
        <v>191</v>
      </c>
      <c r="F200" s="21" t="s">
        <v>179</v>
      </c>
      <c r="G200" s="21" t="s">
        <v>147</v>
      </c>
      <c r="H200" s="27" t="s">
        <v>197</v>
      </c>
      <c r="I200" s="11" t="s">
        <v>199</v>
      </c>
      <c r="J200" s="11">
        <v>0.83</v>
      </c>
      <c r="K200" s="28" t="s">
        <v>194</v>
      </c>
      <c r="L200" s="15">
        <v>0.74747474747474751</v>
      </c>
      <c r="M200" s="28" t="s">
        <v>194</v>
      </c>
      <c r="N200" s="28" t="s">
        <v>195</v>
      </c>
      <c r="O200" s="28" t="s">
        <v>195</v>
      </c>
      <c r="P200" s="28" t="s">
        <v>195</v>
      </c>
      <c r="Q200" s="28" t="s">
        <v>195</v>
      </c>
      <c r="R200" s="28" t="s">
        <v>195</v>
      </c>
      <c r="S200" s="28" t="s">
        <v>196</v>
      </c>
      <c r="T200" s="28" t="s">
        <v>195</v>
      </c>
      <c r="U200" s="28" t="s">
        <v>195</v>
      </c>
      <c r="V200" s="28" t="s">
        <v>195</v>
      </c>
      <c r="W200" s="28" t="s">
        <v>195</v>
      </c>
      <c r="X200" s="28" t="s">
        <v>195</v>
      </c>
      <c r="Y200" s="28" t="s">
        <v>195</v>
      </c>
      <c r="Z200" s="28" t="s">
        <v>195</v>
      </c>
      <c r="AA200" s="28" t="s">
        <v>195</v>
      </c>
      <c r="AB200" s="97" t="s">
        <v>195</v>
      </c>
      <c r="AC200" s="90" t="s">
        <v>195</v>
      </c>
      <c r="AD200" s="97" t="s">
        <v>195</v>
      </c>
      <c r="AE200" s="97" t="s">
        <v>195</v>
      </c>
      <c r="AF200" s="102">
        <v>0.6</v>
      </c>
      <c r="AG200" s="28" t="s">
        <v>194</v>
      </c>
      <c r="AH200" s="97" t="s">
        <v>195</v>
      </c>
      <c r="AI200" s="97" t="s">
        <v>195</v>
      </c>
      <c r="AJ200" s="79">
        <v>0.78</v>
      </c>
      <c r="AK200" s="28" t="s">
        <v>194</v>
      </c>
    </row>
    <row r="201" spans="1:37" x14ac:dyDescent="0.25">
      <c r="A201" s="26" t="s">
        <v>30</v>
      </c>
      <c r="B201" s="5" t="s">
        <v>31</v>
      </c>
      <c r="C201" s="76" t="s">
        <v>32</v>
      </c>
      <c r="D201" s="26" t="s">
        <v>43</v>
      </c>
      <c r="E201" s="26" t="s">
        <v>191</v>
      </c>
      <c r="F201" s="26" t="s">
        <v>146</v>
      </c>
      <c r="G201" s="21" t="s">
        <v>147</v>
      </c>
      <c r="H201" s="21" t="s">
        <v>197</v>
      </c>
      <c r="I201" s="11" t="s">
        <v>200</v>
      </c>
      <c r="J201" s="11">
        <v>0.67</v>
      </c>
      <c r="K201" s="28" t="s">
        <v>194</v>
      </c>
      <c r="L201" s="15">
        <v>0.5</v>
      </c>
      <c r="M201" s="28" t="s">
        <v>194</v>
      </c>
      <c r="N201" s="28" t="s">
        <v>195</v>
      </c>
      <c r="O201" s="28" t="s">
        <v>195</v>
      </c>
      <c r="P201" s="28" t="s">
        <v>195</v>
      </c>
      <c r="Q201" s="28" t="s">
        <v>195</v>
      </c>
      <c r="R201" s="28" t="s">
        <v>195</v>
      </c>
      <c r="S201" s="28" t="s">
        <v>196</v>
      </c>
      <c r="T201" s="28" t="s">
        <v>195</v>
      </c>
      <c r="U201" s="28" t="s">
        <v>195</v>
      </c>
      <c r="V201" s="28" t="s">
        <v>195</v>
      </c>
      <c r="W201" s="28" t="s">
        <v>195</v>
      </c>
      <c r="X201" s="28" t="s">
        <v>195</v>
      </c>
      <c r="Y201" s="28" t="s">
        <v>195</v>
      </c>
      <c r="Z201" s="28" t="s">
        <v>195</v>
      </c>
      <c r="AA201" s="28" t="s">
        <v>195</v>
      </c>
      <c r="AB201" s="97" t="s">
        <v>195</v>
      </c>
      <c r="AC201" s="90" t="s">
        <v>195</v>
      </c>
      <c r="AD201" s="97" t="s">
        <v>195</v>
      </c>
      <c r="AE201" s="97" t="s">
        <v>195</v>
      </c>
      <c r="AF201" s="102">
        <v>0.75</v>
      </c>
      <c r="AG201" s="28" t="s">
        <v>194</v>
      </c>
      <c r="AH201" s="97" t="s">
        <v>195</v>
      </c>
      <c r="AI201" s="97" t="s">
        <v>195</v>
      </c>
      <c r="AJ201" s="79">
        <v>0.61</v>
      </c>
      <c r="AK201" s="28" t="s">
        <v>194</v>
      </c>
    </row>
    <row r="202" spans="1:37" x14ac:dyDescent="0.25">
      <c r="A202" s="26" t="s">
        <v>30</v>
      </c>
      <c r="B202" s="5" t="s">
        <v>31</v>
      </c>
      <c r="C202" s="76" t="s">
        <v>32</v>
      </c>
      <c r="D202" s="26" t="s">
        <v>43</v>
      </c>
      <c r="E202" s="26" t="s">
        <v>191</v>
      </c>
      <c r="F202" s="21" t="s">
        <v>179</v>
      </c>
      <c r="G202" s="21" t="s">
        <v>147</v>
      </c>
      <c r="H202" s="21" t="s">
        <v>188</v>
      </c>
      <c r="I202" s="30" t="s">
        <v>201</v>
      </c>
      <c r="J202" s="16">
        <v>4.5138888888888888E-2</v>
      </c>
      <c r="K202" s="28" t="s">
        <v>150</v>
      </c>
      <c r="L202" s="16">
        <v>4.5138888888888888E-2</v>
      </c>
      <c r="M202" s="28" t="s">
        <v>150</v>
      </c>
      <c r="N202" s="28" t="s">
        <v>195</v>
      </c>
      <c r="O202" s="28" t="s">
        <v>195</v>
      </c>
      <c r="P202" s="28" t="s">
        <v>195</v>
      </c>
      <c r="Q202" s="28" t="s">
        <v>195</v>
      </c>
      <c r="R202" s="28" t="s">
        <v>195</v>
      </c>
      <c r="S202" s="28" t="s">
        <v>196</v>
      </c>
      <c r="T202" s="28" t="s">
        <v>195</v>
      </c>
      <c r="U202" s="28" t="s">
        <v>195</v>
      </c>
      <c r="V202" s="28" t="s">
        <v>195</v>
      </c>
      <c r="W202" s="28" t="s">
        <v>195</v>
      </c>
      <c r="X202" s="28" t="s">
        <v>195</v>
      </c>
      <c r="Y202" s="28" t="s">
        <v>195</v>
      </c>
      <c r="Z202" s="28" t="s">
        <v>195</v>
      </c>
      <c r="AA202" s="28" t="s">
        <v>195</v>
      </c>
      <c r="AB202" s="97" t="s">
        <v>195</v>
      </c>
      <c r="AC202" s="90" t="s">
        <v>195</v>
      </c>
      <c r="AD202" s="97" t="s">
        <v>195</v>
      </c>
      <c r="AE202" s="127" t="s">
        <v>195</v>
      </c>
      <c r="AF202" s="105">
        <v>4.791666666666667E-2</v>
      </c>
      <c r="AG202" s="199" t="s">
        <v>150</v>
      </c>
      <c r="AH202" s="97" t="s">
        <v>195</v>
      </c>
      <c r="AI202" s="271" t="s">
        <v>195</v>
      </c>
      <c r="AJ202" s="281">
        <v>4.791666666666667E-2</v>
      </c>
      <c r="AK202" s="199" t="s">
        <v>150</v>
      </c>
    </row>
    <row r="203" spans="1:37" x14ac:dyDescent="0.25">
      <c r="A203" s="26" t="s">
        <v>30</v>
      </c>
      <c r="B203" s="5" t="s">
        <v>31</v>
      </c>
      <c r="C203" s="76" t="s">
        <v>32</v>
      </c>
      <c r="D203" s="26" t="s">
        <v>43</v>
      </c>
      <c r="E203" s="26" t="s">
        <v>191</v>
      </c>
      <c r="F203" s="26" t="s">
        <v>146</v>
      </c>
      <c r="G203" s="21" t="s">
        <v>147</v>
      </c>
      <c r="H203" s="21" t="s">
        <v>202</v>
      </c>
      <c r="I203" s="11" t="s">
        <v>203</v>
      </c>
      <c r="J203" s="11">
        <v>0.56000000000000005</v>
      </c>
      <c r="K203" s="28" t="s">
        <v>150</v>
      </c>
      <c r="L203" s="11">
        <v>0.46</v>
      </c>
      <c r="M203" s="28" t="s">
        <v>194</v>
      </c>
      <c r="N203" s="28" t="s">
        <v>195</v>
      </c>
      <c r="O203" s="28" t="s">
        <v>195</v>
      </c>
      <c r="P203" s="28" t="s">
        <v>195</v>
      </c>
      <c r="Q203" s="28" t="s">
        <v>195</v>
      </c>
      <c r="R203" s="28" t="s">
        <v>195</v>
      </c>
      <c r="S203" s="28" t="s">
        <v>196</v>
      </c>
      <c r="T203" s="28" t="s">
        <v>195</v>
      </c>
      <c r="U203" s="28" t="s">
        <v>195</v>
      </c>
      <c r="V203" s="28" t="s">
        <v>195</v>
      </c>
      <c r="W203" s="28" t="s">
        <v>195</v>
      </c>
      <c r="X203" s="28" t="s">
        <v>195</v>
      </c>
      <c r="Y203" s="28" t="s">
        <v>195</v>
      </c>
      <c r="Z203" s="28" t="s">
        <v>195</v>
      </c>
      <c r="AA203" s="28" t="s">
        <v>195</v>
      </c>
      <c r="AB203" s="97" t="s">
        <v>195</v>
      </c>
      <c r="AC203" s="90" t="s">
        <v>195</v>
      </c>
      <c r="AD203" s="97" t="s">
        <v>195</v>
      </c>
      <c r="AE203" s="97" t="s">
        <v>195</v>
      </c>
      <c r="AF203" s="102">
        <v>7.0000000000000007E-2</v>
      </c>
      <c r="AG203" s="28" t="s">
        <v>194</v>
      </c>
      <c r="AH203" s="97" t="s">
        <v>195</v>
      </c>
      <c r="AI203" s="97" t="s">
        <v>195</v>
      </c>
      <c r="AJ203" s="272">
        <v>0.23</v>
      </c>
      <c r="AK203" s="28" t="s">
        <v>194</v>
      </c>
    </row>
    <row r="204" spans="1:37" x14ac:dyDescent="0.25">
      <c r="A204" s="26" t="s">
        <v>30</v>
      </c>
      <c r="B204" s="5" t="s">
        <v>31</v>
      </c>
      <c r="C204" s="76" t="s">
        <v>32</v>
      </c>
      <c r="D204" s="26" t="s">
        <v>43</v>
      </c>
      <c r="E204" s="26" t="s">
        <v>191</v>
      </c>
      <c r="F204" s="26" t="s">
        <v>146</v>
      </c>
      <c r="G204" s="21" t="s">
        <v>147</v>
      </c>
      <c r="H204" s="21" t="s">
        <v>204</v>
      </c>
      <c r="I204" s="11" t="s">
        <v>205</v>
      </c>
      <c r="J204" s="28" t="s">
        <v>206</v>
      </c>
      <c r="K204" s="28" t="s">
        <v>206</v>
      </c>
      <c r="L204" s="15" t="s">
        <v>154</v>
      </c>
      <c r="M204" s="15" t="s">
        <v>154</v>
      </c>
      <c r="N204" s="28" t="s">
        <v>195</v>
      </c>
      <c r="O204" s="28" t="s">
        <v>195</v>
      </c>
      <c r="P204" s="28" t="s">
        <v>195</v>
      </c>
      <c r="Q204" s="28" t="s">
        <v>195</v>
      </c>
      <c r="R204" s="28" t="s">
        <v>195</v>
      </c>
      <c r="S204" s="28" t="s">
        <v>196</v>
      </c>
      <c r="T204" s="28" t="s">
        <v>195</v>
      </c>
      <c r="U204" s="28" t="s">
        <v>195</v>
      </c>
      <c r="V204" s="28" t="s">
        <v>195</v>
      </c>
      <c r="W204" s="28" t="s">
        <v>195</v>
      </c>
      <c r="X204" s="28" t="s">
        <v>195</v>
      </c>
      <c r="Y204" s="28" t="s">
        <v>195</v>
      </c>
      <c r="Z204" s="28" t="s">
        <v>195</v>
      </c>
      <c r="AA204" s="28" t="s">
        <v>195</v>
      </c>
      <c r="AB204" s="97" t="s">
        <v>195</v>
      </c>
      <c r="AC204" s="90" t="s">
        <v>195</v>
      </c>
      <c r="AD204" s="97" t="s">
        <v>195</v>
      </c>
      <c r="AE204" s="127" t="s">
        <v>195</v>
      </c>
      <c r="AF204" s="140" t="s">
        <v>154</v>
      </c>
      <c r="AG204" s="97" t="s">
        <v>154</v>
      </c>
      <c r="AH204" s="97" t="s">
        <v>195</v>
      </c>
      <c r="AI204" s="271" t="s">
        <v>195</v>
      </c>
      <c r="AJ204" s="79" t="s">
        <v>154</v>
      </c>
      <c r="AK204" s="271" t="s">
        <v>154</v>
      </c>
    </row>
    <row r="205" spans="1:37" x14ac:dyDescent="0.25">
      <c r="A205" s="26" t="s">
        <v>30</v>
      </c>
      <c r="B205" s="5" t="s">
        <v>31</v>
      </c>
      <c r="C205" s="76" t="s">
        <v>32</v>
      </c>
      <c r="D205" s="26" t="s">
        <v>43</v>
      </c>
      <c r="E205" s="26" t="s">
        <v>191</v>
      </c>
      <c r="F205" s="26" t="s">
        <v>146</v>
      </c>
      <c r="G205" s="21" t="s">
        <v>147</v>
      </c>
      <c r="H205" s="26" t="s">
        <v>174</v>
      </c>
      <c r="I205" s="11">
        <v>0.15</v>
      </c>
      <c r="J205" s="29">
        <v>0.15</v>
      </c>
      <c r="K205" s="28" t="s">
        <v>150</v>
      </c>
      <c r="L205" s="11">
        <v>0.16201117318435754</v>
      </c>
      <c r="M205" s="28" t="s">
        <v>150</v>
      </c>
      <c r="N205" s="28" t="s">
        <v>195</v>
      </c>
      <c r="O205" s="28" t="s">
        <v>195</v>
      </c>
      <c r="P205" s="28" t="s">
        <v>195</v>
      </c>
      <c r="Q205" s="28" t="s">
        <v>195</v>
      </c>
      <c r="R205" s="28" t="s">
        <v>195</v>
      </c>
      <c r="S205" s="28" t="s">
        <v>196</v>
      </c>
      <c r="T205" s="28" t="s">
        <v>195</v>
      </c>
      <c r="U205" s="28" t="s">
        <v>195</v>
      </c>
      <c r="V205" s="28" t="s">
        <v>195</v>
      </c>
      <c r="W205" s="28" t="s">
        <v>195</v>
      </c>
      <c r="X205" s="28" t="s">
        <v>195</v>
      </c>
      <c r="Y205" s="28" t="s">
        <v>195</v>
      </c>
      <c r="Z205" s="28" t="s">
        <v>195</v>
      </c>
      <c r="AA205" s="28" t="s">
        <v>195</v>
      </c>
      <c r="AB205" s="97" t="s">
        <v>195</v>
      </c>
      <c r="AC205" s="90" t="s">
        <v>195</v>
      </c>
      <c r="AD205" s="97" t="s">
        <v>195</v>
      </c>
      <c r="AE205" s="97" t="s">
        <v>195</v>
      </c>
      <c r="AF205" s="102">
        <v>0.15</v>
      </c>
      <c r="AG205" s="199" t="s">
        <v>150</v>
      </c>
      <c r="AH205" s="97" t="s">
        <v>195</v>
      </c>
      <c r="AI205" s="97" t="s">
        <v>195</v>
      </c>
      <c r="AJ205" s="272">
        <v>0.14238410596026491</v>
      </c>
      <c r="AK205" s="28" t="s">
        <v>194</v>
      </c>
    </row>
    <row r="206" spans="1:37" x14ac:dyDescent="0.25">
      <c r="A206" s="26" t="s">
        <v>30</v>
      </c>
      <c r="B206" s="5" t="s">
        <v>31</v>
      </c>
      <c r="C206" s="76" t="s">
        <v>32</v>
      </c>
      <c r="D206" s="26" t="s">
        <v>43</v>
      </c>
      <c r="E206" s="26" t="s">
        <v>191</v>
      </c>
      <c r="F206" s="21" t="s">
        <v>179</v>
      </c>
      <c r="G206" s="21" t="s">
        <v>147</v>
      </c>
      <c r="H206" s="21" t="s">
        <v>189</v>
      </c>
      <c r="I206" s="11">
        <v>0.15</v>
      </c>
      <c r="J206" s="29">
        <v>0.02</v>
      </c>
      <c r="K206" s="28" t="s">
        <v>150</v>
      </c>
      <c r="L206" s="11">
        <v>0.08</v>
      </c>
      <c r="M206" s="28" t="s">
        <v>194</v>
      </c>
      <c r="N206" s="28" t="s">
        <v>195</v>
      </c>
      <c r="O206" s="28" t="s">
        <v>195</v>
      </c>
      <c r="P206" s="28" t="s">
        <v>195</v>
      </c>
      <c r="Q206" s="28" t="s">
        <v>195</v>
      </c>
      <c r="R206" s="28" t="s">
        <v>195</v>
      </c>
      <c r="S206" s="28" t="s">
        <v>196</v>
      </c>
      <c r="T206" s="28" t="s">
        <v>195</v>
      </c>
      <c r="U206" s="28" t="s">
        <v>195</v>
      </c>
      <c r="V206" s="28" t="s">
        <v>195</v>
      </c>
      <c r="W206" s="28" t="s">
        <v>195</v>
      </c>
      <c r="X206" s="28" t="s">
        <v>195</v>
      </c>
      <c r="Y206" s="28" t="s">
        <v>195</v>
      </c>
      <c r="Z206" s="28" t="s">
        <v>195</v>
      </c>
      <c r="AA206" s="28" t="s">
        <v>195</v>
      </c>
      <c r="AB206" s="97" t="s">
        <v>195</v>
      </c>
      <c r="AC206" s="90" t="s">
        <v>195</v>
      </c>
      <c r="AD206" s="97" t="s">
        <v>195</v>
      </c>
      <c r="AE206" s="126" t="s">
        <v>195</v>
      </c>
      <c r="AF206" s="102">
        <v>0.03</v>
      </c>
      <c r="AG206" s="199" t="s">
        <v>150</v>
      </c>
      <c r="AH206" s="97" t="s">
        <v>195</v>
      </c>
      <c r="AI206" s="94" t="s">
        <v>195</v>
      </c>
      <c r="AJ206" s="272">
        <v>0.06</v>
      </c>
      <c r="AK206" s="199" t="s">
        <v>150</v>
      </c>
    </row>
    <row r="207" spans="1:37" x14ac:dyDescent="0.25">
      <c r="A207" s="26" t="s">
        <v>30</v>
      </c>
      <c r="B207" s="5" t="s">
        <v>31</v>
      </c>
      <c r="C207" s="76" t="s">
        <v>32</v>
      </c>
      <c r="D207" s="26" t="s">
        <v>43</v>
      </c>
      <c r="E207" s="26" t="s">
        <v>191</v>
      </c>
      <c r="F207" s="21" t="s">
        <v>179</v>
      </c>
      <c r="G207" s="21" t="s">
        <v>147</v>
      </c>
      <c r="H207" s="21" t="s">
        <v>207</v>
      </c>
      <c r="I207" s="11">
        <v>0.2</v>
      </c>
      <c r="J207" s="29">
        <v>0.16</v>
      </c>
      <c r="K207" s="28" t="s">
        <v>150</v>
      </c>
      <c r="L207" s="11">
        <v>0.13</v>
      </c>
      <c r="M207" s="28" t="s">
        <v>150</v>
      </c>
      <c r="N207" s="28" t="s">
        <v>195</v>
      </c>
      <c r="O207" s="28" t="s">
        <v>195</v>
      </c>
      <c r="P207" s="28" t="s">
        <v>195</v>
      </c>
      <c r="Q207" s="28" t="s">
        <v>195</v>
      </c>
      <c r="R207" s="28" t="s">
        <v>195</v>
      </c>
      <c r="S207" s="28" t="s">
        <v>196</v>
      </c>
      <c r="T207" s="28" t="s">
        <v>195</v>
      </c>
      <c r="U207" s="28" t="s">
        <v>195</v>
      </c>
      <c r="V207" s="28" t="s">
        <v>195</v>
      </c>
      <c r="W207" s="28" t="s">
        <v>195</v>
      </c>
      <c r="X207" s="28" t="s">
        <v>195</v>
      </c>
      <c r="Y207" s="28" t="s">
        <v>195</v>
      </c>
      <c r="Z207" s="28" t="s">
        <v>195</v>
      </c>
      <c r="AA207" s="28" t="s">
        <v>195</v>
      </c>
      <c r="AB207" s="97" t="s">
        <v>195</v>
      </c>
      <c r="AC207" s="90" t="s">
        <v>195</v>
      </c>
      <c r="AD207" s="97" t="s">
        <v>195</v>
      </c>
      <c r="AE207" s="127" t="s">
        <v>195</v>
      </c>
      <c r="AF207" s="102">
        <v>0.1</v>
      </c>
      <c r="AG207" s="199" t="s">
        <v>150</v>
      </c>
      <c r="AH207" s="97" t="s">
        <v>195</v>
      </c>
      <c r="AI207" s="271" t="s">
        <v>195</v>
      </c>
      <c r="AJ207" s="272">
        <v>0.1</v>
      </c>
      <c r="AK207" s="199" t="s">
        <v>150</v>
      </c>
    </row>
    <row r="208" spans="1:37" x14ac:dyDescent="0.25">
      <c r="A208" s="26" t="s">
        <v>30</v>
      </c>
      <c r="B208" s="5" t="s">
        <v>31</v>
      </c>
      <c r="C208" s="76" t="s">
        <v>32</v>
      </c>
      <c r="D208" s="26" t="s">
        <v>43</v>
      </c>
      <c r="E208" s="26" t="s">
        <v>191</v>
      </c>
      <c r="F208" s="21" t="s">
        <v>179</v>
      </c>
      <c r="G208" s="21" t="s">
        <v>147</v>
      </c>
      <c r="H208" s="27" t="s">
        <v>180</v>
      </c>
      <c r="I208" s="15" t="s">
        <v>208</v>
      </c>
      <c r="J208" s="28" t="s">
        <v>209</v>
      </c>
      <c r="K208" s="28" t="s">
        <v>150</v>
      </c>
      <c r="L208" s="14" t="s">
        <v>210</v>
      </c>
      <c r="M208" s="28" t="s">
        <v>150</v>
      </c>
      <c r="N208" s="28" t="s">
        <v>195</v>
      </c>
      <c r="O208" s="28" t="s">
        <v>195</v>
      </c>
      <c r="P208" s="28" t="s">
        <v>195</v>
      </c>
      <c r="Q208" s="28" t="s">
        <v>195</v>
      </c>
      <c r="R208" s="28" t="s">
        <v>195</v>
      </c>
      <c r="S208" s="28" t="s">
        <v>196</v>
      </c>
      <c r="T208" s="28" t="s">
        <v>195</v>
      </c>
      <c r="U208" s="28" t="s">
        <v>195</v>
      </c>
      <c r="V208" s="28" t="s">
        <v>195</v>
      </c>
      <c r="W208" s="28" t="s">
        <v>195</v>
      </c>
      <c r="X208" s="28" t="s">
        <v>195</v>
      </c>
      <c r="Y208" s="28" t="s">
        <v>195</v>
      </c>
      <c r="Z208" s="28" t="s">
        <v>195</v>
      </c>
      <c r="AA208" s="28" t="s">
        <v>195</v>
      </c>
      <c r="AB208" s="97" t="s">
        <v>195</v>
      </c>
      <c r="AC208" s="90" t="s">
        <v>195</v>
      </c>
      <c r="AD208" s="97" t="s">
        <v>195</v>
      </c>
      <c r="AE208" s="97" t="s">
        <v>195</v>
      </c>
      <c r="AF208" s="95">
        <v>129</v>
      </c>
      <c r="AG208" s="28" t="s">
        <v>194</v>
      </c>
      <c r="AH208" s="97" t="s">
        <v>195</v>
      </c>
      <c r="AI208" s="97" t="s">
        <v>195</v>
      </c>
      <c r="AJ208" s="282">
        <v>97</v>
      </c>
      <c r="AK208" s="28" t="s">
        <v>194</v>
      </c>
    </row>
    <row r="209" spans="1:37" x14ac:dyDescent="0.25">
      <c r="A209" s="26" t="s">
        <v>30</v>
      </c>
      <c r="B209" s="5" t="s">
        <v>31</v>
      </c>
      <c r="C209" s="76" t="s">
        <v>32</v>
      </c>
      <c r="D209" s="26" t="s">
        <v>43</v>
      </c>
      <c r="E209" s="26" t="s">
        <v>191</v>
      </c>
      <c r="F209" s="21" t="s">
        <v>179</v>
      </c>
      <c r="G209" s="21" t="s">
        <v>147</v>
      </c>
      <c r="H209" s="27" t="s">
        <v>197</v>
      </c>
      <c r="I209" s="15" t="s">
        <v>211</v>
      </c>
      <c r="J209" s="28" t="s">
        <v>212</v>
      </c>
      <c r="K209" s="28" t="s">
        <v>150</v>
      </c>
      <c r="L209" s="15" t="s">
        <v>212</v>
      </c>
      <c r="M209" s="28" t="s">
        <v>150</v>
      </c>
      <c r="N209" s="28" t="s">
        <v>195</v>
      </c>
      <c r="O209" s="28" t="s">
        <v>195</v>
      </c>
      <c r="P209" s="28" t="s">
        <v>195</v>
      </c>
      <c r="Q209" s="28" t="s">
        <v>195</v>
      </c>
      <c r="R209" s="28" t="s">
        <v>195</v>
      </c>
      <c r="S209" s="28" t="s">
        <v>196</v>
      </c>
      <c r="T209" s="28" t="s">
        <v>195</v>
      </c>
      <c r="U209" s="28" t="s">
        <v>195</v>
      </c>
      <c r="V209" s="28" t="s">
        <v>195</v>
      </c>
      <c r="W209" s="28" t="s">
        <v>195</v>
      </c>
      <c r="X209" s="28" t="s">
        <v>195</v>
      </c>
      <c r="Y209" s="28" t="s">
        <v>195</v>
      </c>
      <c r="Z209" s="28" t="s">
        <v>195</v>
      </c>
      <c r="AA209" s="28" t="s">
        <v>195</v>
      </c>
      <c r="AB209" s="97" t="s">
        <v>195</v>
      </c>
      <c r="AC209" s="90" t="s">
        <v>195</v>
      </c>
      <c r="AD209" s="97" t="s">
        <v>195</v>
      </c>
      <c r="AE209" s="97" t="s">
        <v>195</v>
      </c>
      <c r="AF209" s="95" t="s">
        <v>195</v>
      </c>
      <c r="AG209" s="140" t="s">
        <v>195</v>
      </c>
      <c r="AH209" s="97" t="s">
        <v>195</v>
      </c>
      <c r="AI209" s="97" t="s">
        <v>195</v>
      </c>
      <c r="AJ209" s="95" t="s">
        <v>195</v>
      </c>
      <c r="AK209" s="97" t="s">
        <v>195</v>
      </c>
    </row>
    <row r="210" spans="1:37" x14ac:dyDescent="0.25">
      <c r="A210" s="26" t="s">
        <v>30</v>
      </c>
      <c r="B210" s="5" t="s">
        <v>31</v>
      </c>
      <c r="C210" s="76" t="s">
        <v>32</v>
      </c>
      <c r="D210" s="26" t="s">
        <v>43</v>
      </c>
      <c r="E210" s="26" t="s">
        <v>191</v>
      </c>
      <c r="F210" s="21" t="s">
        <v>179</v>
      </c>
      <c r="G210" s="21" t="s">
        <v>147</v>
      </c>
      <c r="H210" s="27" t="s">
        <v>186</v>
      </c>
      <c r="I210" s="15">
        <v>0.75</v>
      </c>
      <c r="J210" s="29">
        <v>0.93</v>
      </c>
      <c r="K210" s="28" t="s">
        <v>150</v>
      </c>
      <c r="L210" s="15">
        <v>0.6</v>
      </c>
      <c r="M210" s="28" t="s">
        <v>194</v>
      </c>
      <c r="N210" s="28" t="s">
        <v>195</v>
      </c>
      <c r="O210" s="28" t="s">
        <v>195</v>
      </c>
      <c r="P210" s="28" t="s">
        <v>195</v>
      </c>
      <c r="Q210" s="28" t="s">
        <v>195</v>
      </c>
      <c r="R210" s="28" t="s">
        <v>195</v>
      </c>
      <c r="S210" s="28" t="s">
        <v>196</v>
      </c>
      <c r="T210" s="28" t="s">
        <v>195</v>
      </c>
      <c r="U210" s="28" t="s">
        <v>195</v>
      </c>
      <c r="V210" s="28" t="s">
        <v>195</v>
      </c>
      <c r="W210" s="28" t="s">
        <v>195</v>
      </c>
      <c r="X210" s="28" t="s">
        <v>195</v>
      </c>
      <c r="Y210" s="28" t="s">
        <v>195</v>
      </c>
      <c r="Z210" s="28" t="s">
        <v>195</v>
      </c>
      <c r="AA210" s="28" t="s">
        <v>195</v>
      </c>
      <c r="AB210" s="97" t="s">
        <v>195</v>
      </c>
      <c r="AC210" s="90" t="s">
        <v>195</v>
      </c>
      <c r="AD210" s="97" t="s">
        <v>195</v>
      </c>
      <c r="AE210" s="126" t="s">
        <v>195</v>
      </c>
      <c r="AF210" s="102">
        <v>0.72</v>
      </c>
      <c r="AG210" s="28" t="s">
        <v>194</v>
      </c>
      <c r="AH210" s="97" t="s">
        <v>195</v>
      </c>
      <c r="AI210" s="94" t="s">
        <v>195</v>
      </c>
      <c r="AJ210" s="102">
        <v>0.63</v>
      </c>
      <c r="AK210" s="28" t="s">
        <v>194</v>
      </c>
    </row>
    <row r="211" spans="1:37" x14ac:dyDescent="0.25">
      <c r="A211" s="26" t="s">
        <v>30</v>
      </c>
      <c r="B211" s="5" t="s">
        <v>31</v>
      </c>
      <c r="C211" s="76" t="s">
        <v>32</v>
      </c>
      <c r="D211" s="26" t="s">
        <v>43</v>
      </c>
      <c r="E211" s="26" t="s">
        <v>191</v>
      </c>
      <c r="F211" s="21" t="s">
        <v>179</v>
      </c>
      <c r="G211" s="21" t="s">
        <v>147</v>
      </c>
      <c r="H211" s="27" t="s">
        <v>190</v>
      </c>
      <c r="I211" s="15">
        <v>0.85</v>
      </c>
      <c r="J211" s="29">
        <v>0.62</v>
      </c>
      <c r="K211" s="28" t="s">
        <v>194</v>
      </c>
      <c r="L211" s="11">
        <v>0.54</v>
      </c>
      <c r="M211" s="28" t="s">
        <v>194</v>
      </c>
      <c r="N211" s="28" t="s">
        <v>195</v>
      </c>
      <c r="O211" s="28" t="s">
        <v>195</v>
      </c>
      <c r="P211" s="28" t="s">
        <v>195</v>
      </c>
      <c r="Q211" s="28" t="s">
        <v>195</v>
      </c>
      <c r="R211" s="28" t="s">
        <v>195</v>
      </c>
      <c r="S211" s="28" t="s">
        <v>196</v>
      </c>
      <c r="T211" s="28" t="s">
        <v>195</v>
      </c>
      <c r="U211" s="28" t="s">
        <v>195</v>
      </c>
      <c r="V211" s="28" t="s">
        <v>195</v>
      </c>
      <c r="W211" s="28" t="s">
        <v>195</v>
      </c>
      <c r="X211" s="28" t="s">
        <v>195</v>
      </c>
      <c r="Y211" s="28" t="s">
        <v>195</v>
      </c>
      <c r="Z211" s="28" t="s">
        <v>195</v>
      </c>
      <c r="AA211" s="28" t="s">
        <v>195</v>
      </c>
      <c r="AB211" s="97" t="s">
        <v>195</v>
      </c>
      <c r="AC211" s="90" t="s">
        <v>195</v>
      </c>
      <c r="AD211" s="97" t="s">
        <v>195</v>
      </c>
      <c r="AE211" s="126" t="s">
        <v>195</v>
      </c>
      <c r="AF211" s="102">
        <v>1.58</v>
      </c>
      <c r="AG211" s="199" t="s">
        <v>150</v>
      </c>
      <c r="AH211" s="97" t="s">
        <v>195</v>
      </c>
      <c r="AI211" s="94" t="s">
        <v>195</v>
      </c>
      <c r="AJ211" s="102">
        <v>0.73</v>
      </c>
      <c r="AK211" s="28" t="s">
        <v>194</v>
      </c>
    </row>
    <row r="212" spans="1:37" x14ac:dyDescent="0.25">
      <c r="A212" s="201" t="s">
        <v>37</v>
      </c>
      <c r="B212" s="202" t="s">
        <v>31</v>
      </c>
      <c r="C212" s="265" t="s">
        <v>90</v>
      </c>
      <c r="D212" s="203" t="s">
        <v>36</v>
      </c>
      <c r="E212" s="203" t="s">
        <v>145</v>
      </c>
      <c r="F212" s="201" t="s">
        <v>179</v>
      </c>
      <c r="G212" s="201" t="s">
        <v>147</v>
      </c>
      <c r="H212" s="203" t="s">
        <v>180</v>
      </c>
      <c r="I212" s="197" t="s">
        <v>218</v>
      </c>
      <c r="J212" s="228" t="s">
        <v>219</v>
      </c>
      <c r="K212" s="199" t="s">
        <v>194</v>
      </c>
      <c r="L212" s="228" t="s">
        <v>220</v>
      </c>
      <c r="M212" s="199" t="s">
        <v>194</v>
      </c>
      <c r="N212" s="228" t="s">
        <v>221</v>
      </c>
      <c r="O212" s="199" t="s">
        <v>194</v>
      </c>
      <c r="P212" s="199" t="s">
        <v>195</v>
      </c>
      <c r="Q212" s="199" t="s">
        <v>195</v>
      </c>
      <c r="R212" s="210" t="s">
        <v>154</v>
      </c>
      <c r="S212" s="197" t="s">
        <v>154</v>
      </c>
      <c r="T212" s="210" t="s">
        <v>154</v>
      </c>
      <c r="U212" s="197" t="s">
        <v>154</v>
      </c>
      <c r="V212" s="210" t="s">
        <v>154</v>
      </c>
      <c r="W212" s="197" t="s">
        <v>154</v>
      </c>
      <c r="X212" s="210" t="s">
        <v>154</v>
      </c>
      <c r="Y212" s="197" t="s">
        <v>154</v>
      </c>
      <c r="Z212" s="210" t="s">
        <v>154</v>
      </c>
      <c r="AA212" s="197" t="s">
        <v>154</v>
      </c>
      <c r="AB212" s="158" t="s">
        <v>154</v>
      </c>
      <c r="AC212" s="197" t="s">
        <v>154</v>
      </c>
      <c r="AD212" s="160" t="s">
        <v>154</v>
      </c>
      <c r="AE212" s="160" t="s">
        <v>154</v>
      </c>
      <c r="AF212" s="93" t="s">
        <v>154</v>
      </c>
      <c r="AG212" s="97" t="s">
        <v>154</v>
      </c>
      <c r="AH212" s="93" t="s">
        <v>154</v>
      </c>
      <c r="AI212" s="97" t="s">
        <v>154</v>
      </c>
      <c r="AJ212" s="93" t="s">
        <v>154</v>
      </c>
      <c r="AK212" s="97" t="s">
        <v>154</v>
      </c>
    </row>
    <row r="213" spans="1:37" x14ac:dyDescent="0.25">
      <c r="A213" s="21" t="s">
        <v>37</v>
      </c>
      <c r="B213" s="5" t="s">
        <v>31</v>
      </c>
      <c r="C213" s="76" t="s">
        <v>90</v>
      </c>
      <c r="D213" s="26" t="s">
        <v>36</v>
      </c>
      <c r="E213" s="26" t="s">
        <v>145</v>
      </c>
      <c r="F213" s="21" t="s">
        <v>179</v>
      </c>
      <c r="G213" s="21" t="s">
        <v>147</v>
      </c>
      <c r="H213" s="26" t="s">
        <v>197</v>
      </c>
      <c r="I213" s="15" t="s">
        <v>215</v>
      </c>
      <c r="J213" s="31" t="s">
        <v>222</v>
      </c>
      <c r="K213" s="28" t="s">
        <v>194</v>
      </c>
      <c r="L213" s="31" t="s">
        <v>223</v>
      </c>
      <c r="M213" s="28" t="s">
        <v>194</v>
      </c>
      <c r="N213" s="31" t="s">
        <v>224</v>
      </c>
      <c r="O213" s="28" t="s">
        <v>150</v>
      </c>
      <c r="P213" s="28" t="s">
        <v>195</v>
      </c>
      <c r="Q213" s="28" t="s">
        <v>195</v>
      </c>
      <c r="R213" s="17" t="s">
        <v>154</v>
      </c>
      <c r="S213" s="15" t="s">
        <v>154</v>
      </c>
      <c r="T213" s="17" t="s">
        <v>154</v>
      </c>
      <c r="U213" s="15" t="s">
        <v>154</v>
      </c>
      <c r="V213" s="17" t="s">
        <v>154</v>
      </c>
      <c r="W213" s="15" t="s">
        <v>154</v>
      </c>
      <c r="X213" s="17" t="s">
        <v>154</v>
      </c>
      <c r="Y213" s="15" t="s">
        <v>154</v>
      </c>
      <c r="Z213" s="17" t="s">
        <v>154</v>
      </c>
      <c r="AA213" s="15" t="s">
        <v>154</v>
      </c>
      <c r="AB213" s="93" t="s">
        <v>154</v>
      </c>
      <c r="AC213" s="15" t="s">
        <v>154</v>
      </c>
      <c r="AD213" s="97" t="s">
        <v>154</v>
      </c>
      <c r="AE213" s="97" t="s">
        <v>154</v>
      </c>
      <c r="AF213" s="93" t="s">
        <v>154</v>
      </c>
      <c r="AG213" s="97" t="s">
        <v>154</v>
      </c>
      <c r="AH213" s="93" t="s">
        <v>154</v>
      </c>
      <c r="AI213" s="97" t="s">
        <v>154</v>
      </c>
      <c r="AJ213" s="93" t="s">
        <v>154</v>
      </c>
      <c r="AK213" s="97" t="s">
        <v>154</v>
      </c>
    </row>
    <row r="214" spans="1:37" x14ac:dyDescent="0.25">
      <c r="A214" s="21" t="s">
        <v>37</v>
      </c>
      <c r="B214" s="5" t="s">
        <v>31</v>
      </c>
      <c r="C214" s="76" t="s">
        <v>90</v>
      </c>
      <c r="D214" s="26" t="s">
        <v>36</v>
      </c>
      <c r="E214" s="26" t="s">
        <v>145</v>
      </c>
      <c r="F214" s="21" t="s">
        <v>179</v>
      </c>
      <c r="G214" s="21" t="s">
        <v>147</v>
      </c>
      <c r="H214" s="26" t="s">
        <v>207</v>
      </c>
      <c r="I214" s="15">
        <v>0.1</v>
      </c>
      <c r="J214" s="32">
        <v>0.4</v>
      </c>
      <c r="K214" s="28" t="s">
        <v>194</v>
      </c>
      <c r="L214" s="32">
        <v>0.32</v>
      </c>
      <c r="M214" s="28" t="s">
        <v>194</v>
      </c>
      <c r="N214" s="32">
        <v>0</v>
      </c>
      <c r="O214" s="28" t="s">
        <v>150</v>
      </c>
      <c r="P214" s="28" t="s">
        <v>195</v>
      </c>
      <c r="Q214" s="28" t="s">
        <v>195</v>
      </c>
      <c r="R214" s="17" t="s">
        <v>154</v>
      </c>
      <c r="S214" s="15" t="s">
        <v>154</v>
      </c>
      <c r="T214" s="17" t="s">
        <v>154</v>
      </c>
      <c r="U214" s="15" t="s">
        <v>154</v>
      </c>
      <c r="V214" s="17" t="s">
        <v>154</v>
      </c>
      <c r="W214" s="15" t="s">
        <v>154</v>
      </c>
      <c r="X214" s="17" t="s">
        <v>154</v>
      </c>
      <c r="Y214" s="15" t="s">
        <v>154</v>
      </c>
      <c r="Z214" s="17" t="s">
        <v>154</v>
      </c>
      <c r="AA214" s="15" t="s">
        <v>154</v>
      </c>
      <c r="AB214" s="93" t="s">
        <v>154</v>
      </c>
      <c r="AC214" s="15" t="s">
        <v>154</v>
      </c>
      <c r="AD214" s="97" t="s">
        <v>154</v>
      </c>
      <c r="AE214" s="127" t="s">
        <v>154</v>
      </c>
      <c r="AF214" s="93" t="s">
        <v>154</v>
      </c>
      <c r="AG214" s="97" t="s">
        <v>154</v>
      </c>
      <c r="AH214" s="93" t="s">
        <v>154</v>
      </c>
      <c r="AI214" s="271" t="s">
        <v>154</v>
      </c>
      <c r="AJ214" s="93" t="s">
        <v>154</v>
      </c>
      <c r="AK214" s="271" t="s">
        <v>154</v>
      </c>
    </row>
    <row r="215" spans="1:37" x14ac:dyDescent="0.25">
      <c r="A215" s="21" t="s">
        <v>37</v>
      </c>
      <c r="B215" s="5" t="s">
        <v>31</v>
      </c>
      <c r="C215" s="76" t="s">
        <v>90</v>
      </c>
      <c r="D215" s="26" t="s">
        <v>36</v>
      </c>
      <c r="E215" s="26" t="s">
        <v>145</v>
      </c>
      <c r="F215" s="21" t="s">
        <v>179</v>
      </c>
      <c r="G215" s="21" t="s">
        <v>147</v>
      </c>
      <c r="H215" s="26" t="s">
        <v>186</v>
      </c>
      <c r="I215" s="15">
        <v>0.6</v>
      </c>
      <c r="J215" s="33">
        <v>0.77</v>
      </c>
      <c r="K215" s="28" t="s">
        <v>150</v>
      </c>
      <c r="L215" s="33">
        <v>0.51</v>
      </c>
      <c r="M215" s="28" t="s">
        <v>194</v>
      </c>
      <c r="N215" s="32">
        <v>0.63</v>
      </c>
      <c r="O215" s="28" t="s">
        <v>150</v>
      </c>
      <c r="P215" s="28" t="s">
        <v>195</v>
      </c>
      <c r="Q215" s="28" t="s">
        <v>195</v>
      </c>
      <c r="R215" s="17" t="s">
        <v>154</v>
      </c>
      <c r="S215" s="15" t="s">
        <v>154</v>
      </c>
      <c r="T215" s="17" t="s">
        <v>154</v>
      </c>
      <c r="U215" s="15" t="s">
        <v>154</v>
      </c>
      <c r="V215" s="17" t="s">
        <v>154</v>
      </c>
      <c r="W215" s="15" t="s">
        <v>154</v>
      </c>
      <c r="X215" s="17" t="s">
        <v>154</v>
      </c>
      <c r="Y215" s="15" t="s">
        <v>154</v>
      </c>
      <c r="Z215" s="17" t="s">
        <v>154</v>
      </c>
      <c r="AA215" s="15" t="s">
        <v>154</v>
      </c>
      <c r="AB215" s="93" t="s">
        <v>154</v>
      </c>
      <c r="AC215" s="15" t="s">
        <v>154</v>
      </c>
      <c r="AD215" s="97" t="s">
        <v>154</v>
      </c>
      <c r="AE215" s="126" t="s">
        <v>154</v>
      </c>
      <c r="AF215" s="93" t="s">
        <v>154</v>
      </c>
      <c r="AG215" s="97" t="s">
        <v>154</v>
      </c>
      <c r="AH215" s="93" t="s">
        <v>154</v>
      </c>
      <c r="AI215" s="94" t="s">
        <v>154</v>
      </c>
      <c r="AJ215" s="93" t="s">
        <v>154</v>
      </c>
      <c r="AK215" s="94" t="s">
        <v>154</v>
      </c>
    </row>
    <row r="216" spans="1:37" x14ac:dyDescent="0.25">
      <c r="A216" s="21" t="s">
        <v>37</v>
      </c>
      <c r="B216" s="5" t="s">
        <v>31</v>
      </c>
      <c r="C216" s="76" t="s">
        <v>90</v>
      </c>
      <c r="D216" s="26" t="s">
        <v>36</v>
      </c>
      <c r="E216" s="26" t="s">
        <v>145</v>
      </c>
      <c r="F216" s="21" t="s">
        <v>179</v>
      </c>
      <c r="G216" s="21" t="s">
        <v>147</v>
      </c>
      <c r="H216" s="26" t="s">
        <v>188</v>
      </c>
      <c r="I216" s="34">
        <v>4.6527777777777779E-2</v>
      </c>
      <c r="J216" s="35">
        <v>4.3749999999999997E-2</v>
      </c>
      <c r="K216" s="28" t="s">
        <v>150</v>
      </c>
      <c r="L216" s="35">
        <v>4.4444444444444446E-2</v>
      </c>
      <c r="M216" s="28" t="s">
        <v>150</v>
      </c>
      <c r="N216" s="35">
        <v>4.3749999999999997E-2</v>
      </c>
      <c r="O216" s="28" t="s">
        <v>150</v>
      </c>
      <c r="P216" s="28" t="s">
        <v>195</v>
      </c>
      <c r="Q216" s="28" t="s">
        <v>195</v>
      </c>
      <c r="R216" s="17" t="s">
        <v>154</v>
      </c>
      <c r="S216" s="15" t="s">
        <v>154</v>
      </c>
      <c r="T216" s="17" t="s">
        <v>154</v>
      </c>
      <c r="U216" s="15" t="s">
        <v>154</v>
      </c>
      <c r="V216" s="17" t="s">
        <v>154</v>
      </c>
      <c r="W216" s="15" t="s">
        <v>154</v>
      </c>
      <c r="X216" s="17" t="s">
        <v>154</v>
      </c>
      <c r="Y216" s="15" t="s">
        <v>154</v>
      </c>
      <c r="Z216" s="17" t="s">
        <v>154</v>
      </c>
      <c r="AA216" s="15" t="s">
        <v>154</v>
      </c>
      <c r="AB216" s="93" t="s">
        <v>154</v>
      </c>
      <c r="AC216" s="15" t="s">
        <v>154</v>
      </c>
      <c r="AD216" s="97" t="s">
        <v>154</v>
      </c>
      <c r="AE216" s="126" t="s">
        <v>154</v>
      </c>
      <c r="AF216" s="93" t="s">
        <v>154</v>
      </c>
      <c r="AG216" s="97" t="s">
        <v>154</v>
      </c>
      <c r="AH216" s="93" t="s">
        <v>154</v>
      </c>
      <c r="AI216" s="94" t="s">
        <v>154</v>
      </c>
      <c r="AJ216" s="93" t="s">
        <v>154</v>
      </c>
      <c r="AK216" s="94" t="s">
        <v>154</v>
      </c>
    </row>
    <row r="217" spans="1:37" x14ac:dyDescent="0.25">
      <c r="A217" s="21" t="s">
        <v>37</v>
      </c>
      <c r="B217" s="5" t="s">
        <v>31</v>
      </c>
      <c r="C217" s="76" t="s">
        <v>90</v>
      </c>
      <c r="D217" s="26" t="s">
        <v>36</v>
      </c>
      <c r="E217" s="26" t="s">
        <v>145</v>
      </c>
      <c r="F217" s="21" t="s">
        <v>179</v>
      </c>
      <c r="G217" s="21" t="s">
        <v>147</v>
      </c>
      <c r="H217" s="26" t="s">
        <v>189</v>
      </c>
      <c r="I217" s="15">
        <v>0.2</v>
      </c>
      <c r="J217" s="32">
        <v>0.1</v>
      </c>
      <c r="K217" s="28" t="s">
        <v>150</v>
      </c>
      <c r="L217" s="32">
        <v>0.12</v>
      </c>
      <c r="M217" s="28" t="s">
        <v>150</v>
      </c>
      <c r="N217" s="32">
        <v>0.25</v>
      </c>
      <c r="O217" s="28" t="s">
        <v>194</v>
      </c>
      <c r="P217" s="28" t="s">
        <v>195</v>
      </c>
      <c r="Q217" s="28" t="s">
        <v>195</v>
      </c>
      <c r="R217" s="17" t="s">
        <v>154</v>
      </c>
      <c r="S217" s="15" t="s">
        <v>154</v>
      </c>
      <c r="T217" s="17" t="s">
        <v>154</v>
      </c>
      <c r="U217" s="15" t="s">
        <v>154</v>
      </c>
      <c r="V217" s="17" t="s">
        <v>154</v>
      </c>
      <c r="W217" s="15" t="s">
        <v>154</v>
      </c>
      <c r="X217" s="17" t="s">
        <v>154</v>
      </c>
      <c r="Y217" s="15" t="s">
        <v>154</v>
      </c>
      <c r="Z217" s="17" t="s">
        <v>154</v>
      </c>
      <c r="AA217" s="15" t="s">
        <v>154</v>
      </c>
      <c r="AB217" s="93" t="s">
        <v>154</v>
      </c>
      <c r="AC217" s="15" t="s">
        <v>154</v>
      </c>
      <c r="AD217" s="97" t="s">
        <v>154</v>
      </c>
      <c r="AE217" s="126" t="s">
        <v>154</v>
      </c>
      <c r="AF217" s="93" t="s">
        <v>154</v>
      </c>
      <c r="AG217" s="97" t="s">
        <v>154</v>
      </c>
      <c r="AH217" s="93" t="s">
        <v>154</v>
      </c>
      <c r="AI217" s="94" t="s">
        <v>154</v>
      </c>
      <c r="AJ217" s="93" t="s">
        <v>154</v>
      </c>
      <c r="AK217" s="94" t="s">
        <v>154</v>
      </c>
    </row>
    <row r="218" spans="1:37" x14ac:dyDescent="0.25">
      <c r="A218" s="21" t="s">
        <v>37</v>
      </c>
      <c r="B218" s="5" t="s">
        <v>31</v>
      </c>
      <c r="C218" s="76" t="s">
        <v>90</v>
      </c>
      <c r="D218" s="26" t="s">
        <v>36</v>
      </c>
      <c r="E218" s="26" t="s">
        <v>145</v>
      </c>
      <c r="F218" s="21" t="s">
        <v>179</v>
      </c>
      <c r="G218" s="21" t="s">
        <v>147</v>
      </c>
      <c r="H218" s="27" t="s">
        <v>190</v>
      </c>
      <c r="I218" s="15">
        <v>0.9</v>
      </c>
      <c r="J218" s="32">
        <v>0.6</v>
      </c>
      <c r="K218" s="28" t="s">
        <v>194</v>
      </c>
      <c r="L218" s="32">
        <v>0.68</v>
      </c>
      <c r="M218" s="28" t="s">
        <v>194</v>
      </c>
      <c r="N218" s="32">
        <v>0.38</v>
      </c>
      <c r="O218" s="28" t="s">
        <v>194</v>
      </c>
      <c r="P218" s="28" t="s">
        <v>195</v>
      </c>
      <c r="Q218" s="28" t="s">
        <v>195</v>
      </c>
      <c r="R218" s="17" t="s">
        <v>154</v>
      </c>
      <c r="S218" s="15" t="s">
        <v>154</v>
      </c>
      <c r="T218" s="17" t="s">
        <v>154</v>
      </c>
      <c r="U218" s="15" t="s">
        <v>154</v>
      </c>
      <c r="V218" s="17" t="s">
        <v>154</v>
      </c>
      <c r="W218" s="15" t="s">
        <v>154</v>
      </c>
      <c r="X218" s="17" t="s">
        <v>154</v>
      </c>
      <c r="Y218" s="15" t="s">
        <v>154</v>
      </c>
      <c r="Z218" s="17" t="s">
        <v>154</v>
      </c>
      <c r="AA218" s="15" t="s">
        <v>154</v>
      </c>
      <c r="AB218" s="93" t="s">
        <v>154</v>
      </c>
      <c r="AC218" s="15" t="s">
        <v>154</v>
      </c>
      <c r="AD218" s="97" t="s">
        <v>154</v>
      </c>
      <c r="AE218" s="126" t="s">
        <v>154</v>
      </c>
      <c r="AF218" s="93" t="s">
        <v>154</v>
      </c>
      <c r="AG218" s="97" t="s">
        <v>154</v>
      </c>
      <c r="AH218" s="93" t="s">
        <v>154</v>
      </c>
      <c r="AI218" s="94" t="s">
        <v>154</v>
      </c>
      <c r="AJ218" s="93" t="s">
        <v>154</v>
      </c>
      <c r="AK218" s="94" t="s">
        <v>154</v>
      </c>
    </row>
    <row r="219" spans="1:37" x14ac:dyDescent="0.25">
      <c r="A219" s="161" t="s">
        <v>34</v>
      </c>
      <c r="B219" s="162" t="s">
        <v>31</v>
      </c>
      <c r="C219" s="264" t="s">
        <v>90</v>
      </c>
      <c r="D219" s="163" t="s">
        <v>36</v>
      </c>
      <c r="E219" s="163" t="s">
        <v>145</v>
      </c>
      <c r="F219" s="163" t="s">
        <v>146</v>
      </c>
      <c r="G219" s="161" t="s">
        <v>156</v>
      </c>
      <c r="H219" s="161" t="s">
        <v>213</v>
      </c>
      <c r="I219" s="170">
        <v>0.9</v>
      </c>
      <c r="J219" s="168" t="s">
        <v>195</v>
      </c>
      <c r="K219" s="167" t="s">
        <v>195</v>
      </c>
      <c r="L219" s="168" t="s">
        <v>195</v>
      </c>
      <c r="M219" s="167" t="s">
        <v>195</v>
      </c>
      <c r="N219" s="168" t="s">
        <v>195</v>
      </c>
      <c r="O219" s="167" t="s">
        <v>195</v>
      </c>
      <c r="P219" s="168" t="s">
        <v>195</v>
      </c>
      <c r="Q219" s="167" t="s">
        <v>195</v>
      </c>
      <c r="R219" s="167" t="s">
        <v>195</v>
      </c>
      <c r="S219" s="167" t="s">
        <v>196</v>
      </c>
      <c r="T219" s="167" t="s">
        <v>195</v>
      </c>
      <c r="U219" s="167" t="s">
        <v>195</v>
      </c>
      <c r="V219" s="167" t="s">
        <v>195</v>
      </c>
      <c r="W219" s="167" t="s">
        <v>195</v>
      </c>
      <c r="X219" s="167" t="s">
        <v>195</v>
      </c>
      <c r="Y219" s="167" t="s">
        <v>195</v>
      </c>
      <c r="Z219" s="167" t="s">
        <v>195</v>
      </c>
      <c r="AA219" s="167" t="s">
        <v>195</v>
      </c>
      <c r="AB219" s="169" t="s">
        <v>195</v>
      </c>
      <c r="AC219" s="175" t="s">
        <v>195</v>
      </c>
      <c r="AD219" s="174">
        <v>0.45</v>
      </c>
      <c r="AE219" s="167" t="s">
        <v>194</v>
      </c>
      <c r="AF219" s="95" t="s">
        <v>195</v>
      </c>
      <c r="AG219" s="140" t="s">
        <v>195</v>
      </c>
      <c r="AH219" s="95" t="s">
        <v>195</v>
      </c>
      <c r="AI219" s="94" t="s">
        <v>195</v>
      </c>
      <c r="AJ219" s="95" t="s">
        <v>195</v>
      </c>
      <c r="AK219" s="94" t="s">
        <v>195</v>
      </c>
    </row>
    <row r="220" spans="1:37" x14ac:dyDescent="0.25">
      <c r="A220" s="21" t="s">
        <v>34</v>
      </c>
      <c r="B220" s="5" t="s">
        <v>31</v>
      </c>
      <c r="C220" s="76" t="s">
        <v>90</v>
      </c>
      <c r="D220" s="26" t="s">
        <v>36</v>
      </c>
      <c r="E220" s="26" t="s">
        <v>145</v>
      </c>
      <c r="F220" s="26" t="s">
        <v>146</v>
      </c>
      <c r="G220" s="21" t="s">
        <v>156</v>
      </c>
      <c r="H220" s="21" t="s">
        <v>214</v>
      </c>
      <c r="I220" s="11">
        <v>0.9</v>
      </c>
      <c r="J220" s="17" t="s">
        <v>195</v>
      </c>
      <c r="K220" s="28" t="s">
        <v>195</v>
      </c>
      <c r="L220" s="17" t="s">
        <v>195</v>
      </c>
      <c r="M220" s="28" t="s">
        <v>195</v>
      </c>
      <c r="N220" s="17" t="s">
        <v>195</v>
      </c>
      <c r="O220" s="28" t="s">
        <v>195</v>
      </c>
      <c r="P220" s="17" t="s">
        <v>195</v>
      </c>
      <c r="Q220" s="28" t="s">
        <v>195</v>
      </c>
      <c r="R220" s="28" t="s">
        <v>195</v>
      </c>
      <c r="S220" s="28" t="s">
        <v>196</v>
      </c>
      <c r="T220" s="28" t="s">
        <v>195</v>
      </c>
      <c r="U220" s="28" t="s">
        <v>195</v>
      </c>
      <c r="V220" s="28" t="s">
        <v>195</v>
      </c>
      <c r="W220" s="28" t="s">
        <v>195</v>
      </c>
      <c r="X220" s="28" t="s">
        <v>195</v>
      </c>
      <c r="Y220" s="28" t="s">
        <v>195</v>
      </c>
      <c r="Z220" s="28" t="s">
        <v>195</v>
      </c>
      <c r="AA220" s="28" t="s">
        <v>195</v>
      </c>
      <c r="AB220" s="95" t="s">
        <v>195</v>
      </c>
      <c r="AC220" s="90" t="s">
        <v>195</v>
      </c>
      <c r="AD220" s="126" t="s">
        <v>195</v>
      </c>
      <c r="AE220" s="126" t="s">
        <v>195</v>
      </c>
      <c r="AF220" s="95" t="s">
        <v>195</v>
      </c>
      <c r="AG220" s="140" t="s">
        <v>195</v>
      </c>
      <c r="AH220" s="95" t="s">
        <v>195</v>
      </c>
      <c r="AI220" s="94" t="s">
        <v>195</v>
      </c>
      <c r="AJ220" s="95" t="s">
        <v>195</v>
      </c>
      <c r="AK220" s="94" t="s">
        <v>195</v>
      </c>
    </row>
    <row r="221" spans="1:37" x14ac:dyDescent="0.25">
      <c r="A221" s="201" t="s">
        <v>34</v>
      </c>
      <c r="B221" s="202" t="s">
        <v>31</v>
      </c>
      <c r="C221" s="265" t="s">
        <v>90</v>
      </c>
      <c r="D221" s="203" t="s">
        <v>36</v>
      </c>
      <c r="E221" s="203" t="s">
        <v>145</v>
      </c>
      <c r="F221" s="201" t="s">
        <v>179</v>
      </c>
      <c r="G221" s="201" t="s">
        <v>147</v>
      </c>
      <c r="H221" s="207" t="s">
        <v>197</v>
      </c>
      <c r="I221" s="208" t="s">
        <v>215</v>
      </c>
      <c r="J221" s="210" t="s">
        <v>195</v>
      </c>
      <c r="K221" s="199" t="s">
        <v>195</v>
      </c>
      <c r="L221" s="210" t="s">
        <v>195</v>
      </c>
      <c r="M221" s="199" t="s">
        <v>195</v>
      </c>
      <c r="N221" s="210" t="s">
        <v>195</v>
      </c>
      <c r="O221" s="199" t="s">
        <v>195</v>
      </c>
      <c r="P221" s="210" t="s">
        <v>195</v>
      </c>
      <c r="Q221" s="199" t="s">
        <v>195</v>
      </c>
      <c r="R221" s="199" t="s">
        <v>195</v>
      </c>
      <c r="S221" s="199" t="s">
        <v>196</v>
      </c>
      <c r="T221" s="199" t="s">
        <v>195</v>
      </c>
      <c r="U221" s="199" t="s">
        <v>195</v>
      </c>
      <c r="V221" s="199" t="s">
        <v>195</v>
      </c>
      <c r="W221" s="199" t="s">
        <v>195</v>
      </c>
      <c r="X221" s="199" t="s">
        <v>195</v>
      </c>
      <c r="Y221" s="199" t="s">
        <v>195</v>
      </c>
      <c r="Z221" s="199" t="s">
        <v>195</v>
      </c>
      <c r="AA221" s="199" t="s">
        <v>195</v>
      </c>
      <c r="AB221" s="206" t="s">
        <v>195</v>
      </c>
      <c r="AC221" s="196" t="s">
        <v>195</v>
      </c>
      <c r="AD221" s="160">
        <v>30</v>
      </c>
      <c r="AE221" s="199" t="s">
        <v>150</v>
      </c>
      <c r="AF221" s="95" t="s">
        <v>195</v>
      </c>
      <c r="AG221" s="140" t="s">
        <v>195</v>
      </c>
      <c r="AH221" s="95" t="s">
        <v>195</v>
      </c>
      <c r="AI221" s="97" t="s">
        <v>195</v>
      </c>
      <c r="AJ221" s="95" t="s">
        <v>195</v>
      </c>
      <c r="AK221" s="97" t="s">
        <v>195</v>
      </c>
    </row>
    <row r="222" spans="1:37" x14ac:dyDescent="0.25">
      <c r="A222" s="21" t="s">
        <v>34</v>
      </c>
      <c r="B222" s="5" t="s">
        <v>31</v>
      </c>
      <c r="C222" s="76" t="s">
        <v>90</v>
      </c>
      <c r="D222" s="26" t="s">
        <v>36</v>
      </c>
      <c r="E222" s="26" t="s">
        <v>145</v>
      </c>
      <c r="F222" s="21" t="s">
        <v>179</v>
      </c>
      <c r="G222" s="21" t="s">
        <v>147</v>
      </c>
      <c r="H222" s="27" t="s">
        <v>180</v>
      </c>
      <c r="I222" s="14" t="s">
        <v>216</v>
      </c>
      <c r="J222" s="17" t="s">
        <v>195</v>
      </c>
      <c r="K222" s="28" t="s">
        <v>195</v>
      </c>
      <c r="L222" s="17" t="s">
        <v>195</v>
      </c>
      <c r="M222" s="28" t="s">
        <v>195</v>
      </c>
      <c r="N222" s="17" t="s">
        <v>195</v>
      </c>
      <c r="O222" s="28" t="s">
        <v>195</v>
      </c>
      <c r="P222" s="17" t="s">
        <v>195</v>
      </c>
      <c r="Q222" s="28" t="s">
        <v>195</v>
      </c>
      <c r="R222" s="28" t="s">
        <v>195</v>
      </c>
      <c r="S222" s="28" t="s">
        <v>196</v>
      </c>
      <c r="T222" s="28" t="s">
        <v>195</v>
      </c>
      <c r="U222" s="28" t="s">
        <v>195</v>
      </c>
      <c r="V222" s="28" t="s">
        <v>195</v>
      </c>
      <c r="W222" s="28" t="s">
        <v>195</v>
      </c>
      <c r="X222" s="28" t="s">
        <v>195</v>
      </c>
      <c r="Y222" s="28" t="s">
        <v>195</v>
      </c>
      <c r="Z222" s="28" t="s">
        <v>195</v>
      </c>
      <c r="AA222" s="28" t="s">
        <v>195</v>
      </c>
      <c r="AB222" s="95" t="s">
        <v>195</v>
      </c>
      <c r="AC222" s="90" t="s">
        <v>195</v>
      </c>
      <c r="AD222" s="97">
        <v>45</v>
      </c>
      <c r="AE222" s="28" t="s">
        <v>150</v>
      </c>
      <c r="AF222" s="95" t="s">
        <v>195</v>
      </c>
      <c r="AG222" s="140" t="s">
        <v>195</v>
      </c>
      <c r="AH222" s="95" t="s">
        <v>195</v>
      </c>
      <c r="AI222" s="97" t="s">
        <v>195</v>
      </c>
      <c r="AJ222" s="95" t="s">
        <v>195</v>
      </c>
      <c r="AK222" s="97" t="s">
        <v>195</v>
      </c>
    </row>
    <row r="223" spans="1:37" x14ac:dyDescent="0.25">
      <c r="A223" s="21" t="s">
        <v>34</v>
      </c>
      <c r="B223" s="5" t="s">
        <v>31</v>
      </c>
      <c r="C223" s="76" t="s">
        <v>90</v>
      </c>
      <c r="D223" s="26" t="s">
        <v>36</v>
      </c>
      <c r="E223" s="26" t="s">
        <v>145</v>
      </c>
      <c r="F223" s="21" t="s">
        <v>179</v>
      </c>
      <c r="G223" s="21" t="s">
        <v>147</v>
      </c>
      <c r="H223" s="27" t="s">
        <v>186</v>
      </c>
      <c r="I223" s="14" t="s">
        <v>217</v>
      </c>
      <c r="J223" s="17" t="s">
        <v>195</v>
      </c>
      <c r="K223" s="28" t="s">
        <v>195</v>
      </c>
      <c r="L223" s="17" t="s">
        <v>195</v>
      </c>
      <c r="M223" s="28" t="s">
        <v>195</v>
      </c>
      <c r="N223" s="17" t="s">
        <v>195</v>
      </c>
      <c r="O223" s="28" t="s">
        <v>195</v>
      </c>
      <c r="P223" s="17" t="s">
        <v>195</v>
      </c>
      <c r="Q223" s="28" t="s">
        <v>195</v>
      </c>
      <c r="R223" s="28" t="s">
        <v>195</v>
      </c>
      <c r="S223" s="28" t="s">
        <v>196</v>
      </c>
      <c r="T223" s="28" t="s">
        <v>195</v>
      </c>
      <c r="U223" s="28" t="s">
        <v>195</v>
      </c>
      <c r="V223" s="28" t="s">
        <v>195</v>
      </c>
      <c r="W223" s="28" t="s">
        <v>195</v>
      </c>
      <c r="X223" s="28" t="s">
        <v>195</v>
      </c>
      <c r="Y223" s="28" t="s">
        <v>195</v>
      </c>
      <c r="Z223" s="28" t="s">
        <v>195</v>
      </c>
      <c r="AA223" s="28" t="s">
        <v>195</v>
      </c>
      <c r="AB223" s="95" t="s">
        <v>195</v>
      </c>
      <c r="AC223" s="90" t="s">
        <v>195</v>
      </c>
      <c r="AD223" s="126">
        <v>0.3</v>
      </c>
      <c r="AE223" s="28" t="s">
        <v>194</v>
      </c>
      <c r="AF223" s="95" t="s">
        <v>195</v>
      </c>
      <c r="AG223" s="140" t="s">
        <v>195</v>
      </c>
      <c r="AH223" s="95" t="s">
        <v>195</v>
      </c>
      <c r="AI223" s="94" t="s">
        <v>195</v>
      </c>
      <c r="AJ223" s="95" t="s">
        <v>195</v>
      </c>
      <c r="AK223" s="94" t="s">
        <v>195</v>
      </c>
    </row>
    <row r="224" spans="1:37" x14ac:dyDescent="0.25">
      <c r="A224" s="21" t="s">
        <v>34</v>
      </c>
      <c r="B224" s="5" t="s">
        <v>31</v>
      </c>
      <c r="C224" s="76" t="s">
        <v>90</v>
      </c>
      <c r="D224" s="26" t="s">
        <v>36</v>
      </c>
      <c r="E224" s="26" t="s">
        <v>145</v>
      </c>
      <c r="F224" s="21" t="s">
        <v>179</v>
      </c>
      <c r="G224" s="21" t="s">
        <v>147</v>
      </c>
      <c r="H224" s="27" t="s">
        <v>188</v>
      </c>
      <c r="I224" s="15">
        <v>0.1</v>
      </c>
      <c r="J224" s="17" t="s">
        <v>195</v>
      </c>
      <c r="K224" s="28" t="s">
        <v>195</v>
      </c>
      <c r="L224" s="17" t="s">
        <v>195</v>
      </c>
      <c r="M224" s="28" t="s">
        <v>195</v>
      </c>
      <c r="N224" s="17" t="s">
        <v>195</v>
      </c>
      <c r="O224" s="28" t="s">
        <v>195</v>
      </c>
      <c r="P224" s="17" t="s">
        <v>195</v>
      </c>
      <c r="Q224" s="28" t="s">
        <v>195</v>
      </c>
      <c r="R224" s="28" t="s">
        <v>195</v>
      </c>
      <c r="S224" s="28" t="s">
        <v>196</v>
      </c>
      <c r="T224" s="28" t="s">
        <v>195</v>
      </c>
      <c r="U224" s="28" t="s">
        <v>195</v>
      </c>
      <c r="V224" s="28" t="s">
        <v>195</v>
      </c>
      <c r="W224" s="28" t="s">
        <v>195</v>
      </c>
      <c r="X224" s="28" t="s">
        <v>195</v>
      </c>
      <c r="Y224" s="28" t="s">
        <v>195</v>
      </c>
      <c r="Z224" s="28" t="s">
        <v>195</v>
      </c>
      <c r="AA224" s="28" t="s">
        <v>195</v>
      </c>
      <c r="AB224" s="95" t="s">
        <v>195</v>
      </c>
      <c r="AC224" s="90" t="s">
        <v>195</v>
      </c>
      <c r="AD224" s="128">
        <v>0.1</v>
      </c>
      <c r="AE224" s="28" t="s">
        <v>150</v>
      </c>
      <c r="AF224" s="95" t="s">
        <v>195</v>
      </c>
      <c r="AG224" s="140" t="s">
        <v>195</v>
      </c>
      <c r="AH224" s="95" t="s">
        <v>195</v>
      </c>
      <c r="AI224" s="271" t="s">
        <v>195</v>
      </c>
      <c r="AJ224" s="95" t="s">
        <v>195</v>
      </c>
      <c r="AK224" s="271" t="s">
        <v>195</v>
      </c>
    </row>
    <row r="225" spans="1:37" x14ac:dyDescent="0.25">
      <c r="A225" s="21" t="s">
        <v>34</v>
      </c>
      <c r="B225" s="5" t="s">
        <v>31</v>
      </c>
      <c r="C225" s="76" t="s">
        <v>90</v>
      </c>
      <c r="D225" s="26" t="s">
        <v>36</v>
      </c>
      <c r="E225" s="26" t="s">
        <v>145</v>
      </c>
      <c r="F225" s="21" t="s">
        <v>179</v>
      </c>
      <c r="G225" s="21" t="s">
        <v>147</v>
      </c>
      <c r="H225" s="21" t="s">
        <v>207</v>
      </c>
      <c r="I225" s="15">
        <v>0.2</v>
      </c>
      <c r="J225" s="17" t="s">
        <v>195</v>
      </c>
      <c r="K225" s="28" t="s">
        <v>195</v>
      </c>
      <c r="L225" s="17" t="s">
        <v>195</v>
      </c>
      <c r="M225" s="28" t="s">
        <v>195</v>
      </c>
      <c r="N225" s="17" t="s">
        <v>195</v>
      </c>
      <c r="O225" s="28" t="s">
        <v>195</v>
      </c>
      <c r="P225" s="17" t="s">
        <v>195</v>
      </c>
      <c r="Q225" s="28" t="s">
        <v>195</v>
      </c>
      <c r="R225" s="28" t="s">
        <v>195</v>
      </c>
      <c r="S225" s="28" t="s">
        <v>196</v>
      </c>
      <c r="T225" s="28" t="s">
        <v>195</v>
      </c>
      <c r="U225" s="28" t="s">
        <v>195</v>
      </c>
      <c r="V225" s="28" t="s">
        <v>195</v>
      </c>
      <c r="W225" s="28" t="s">
        <v>195</v>
      </c>
      <c r="X225" s="28" t="s">
        <v>195</v>
      </c>
      <c r="Y225" s="28" t="s">
        <v>195</v>
      </c>
      <c r="Z225" s="28" t="s">
        <v>195</v>
      </c>
      <c r="AA225" s="28" t="s">
        <v>195</v>
      </c>
      <c r="AB225" s="95" t="s">
        <v>195</v>
      </c>
      <c r="AC225" s="90" t="s">
        <v>195</v>
      </c>
      <c r="AD225" s="128">
        <v>0.4</v>
      </c>
      <c r="AE225" s="28" t="s">
        <v>194</v>
      </c>
      <c r="AF225" s="95" t="s">
        <v>195</v>
      </c>
      <c r="AG225" s="140" t="s">
        <v>195</v>
      </c>
      <c r="AH225" s="95" t="s">
        <v>195</v>
      </c>
      <c r="AI225" s="271" t="s">
        <v>195</v>
      </c>
      <c r="AJ225" s="95" t="s">
        <v>195</v>
      </c>
      <c r="AK225" s="271" t="s">
        <v>195</v>
      </c>
    </row>
    <row r="226" spans="1:37" x14ac:dyDescent="0.25">
      <c r="A226" s="21" t="s">
        <v>34</v>
      </c>
      <c r="B226" s="5" t="s">
        <v>31</v>
      </c>
      <c r="C226" s="76" t="s">
        <v>90</v>
      </c>
      <c r="D226" s="26" t="s">
        <v>36</v>
      </c>
      <c r="E226" s="26" t="s">
        <v>145</v>
      </c>
      <c r="F226" s="21" t="s">
        <v>179</v>
      </c>
      <c r="G226" s="21" t="s">
        <v>147</v>
      </c>
      <c r="H226" s="21" t="s">
        <v>189</v>
      </c>
      <c r="I226" s="15">
        <v>0.3</v>
      </c>
      <c r="J226" s="17" t="s">
        <v>195</v>
      </c>
      <c r="K226" s="28" t="s">
        <v>195</v>
      </c>
      <c r="L226" s="17" t="s">
        <v>195</v>
      </c>
      <c r="M226" s="28" t="s">
        <v>195</v>
      </c>
      <c r="N226" s="17" t="s">
        <v>195</v>
      </c>
      <c r="O226" s="28" t="s">
        <v>195</v>
      </c>
      <c r="P226" s="17" t="s">
        <v>195</v>
      </c>
      <c r="Q226" s="28" t="s">
        <v>195</v>
      </c>
      <c r="R226" s="28" t="s">
        <v>195</v>
      </c>
      <c r="S226" s="28" t="s">
        <v>196</v>
      </c>
      <c r="T226" s="28" t="s">
        <v>195</v>
      </c>
      <c r="U226" s="28" t="s">
        <v>195</v>
      </c>
      <c r="V226" s="28" t="s">
        <v>195</v>
      </c>
      <c r="W226" s="28" t="s">
        <v>195</v>
      </c>
      <c r="X226" s="28" t="s">
        <v>195</v>
      </c>
      <c r="Y226" s="28" t="s">
        <v>195</v>
      </c>
      <c r="Z226" s="28" t="s">
        <v>195</v>
      </c>
      <c r="AA226" s="28" t="s">
        <v>195</v>
      </c>
      <c r="AB226" s="95" t="s">
        <v>195</v>
      </c>
      <c r="AC226" s="90" t="s">
        <v>195</v>
      </c>
      <c r="AD226" s="126">
        <v>0.3</v>
      </c>
      <c r="AE226" s="28" t="s">
        <v>150</v>
      </c>
      <c r="AF226" s="95" t="s">
        <v>195</v>
      </c>
      <c r="AG226" s="140" t="s">
        <v>195</v>
      </c>
      <c r="AH226" s="95" t="s">
        <v>195</v>
      </c>
      <c r="AI226" s="94" t="s">
        <v>195</v>
      </c>
      <c r="AJ226" s="95" t="s">
        <v>195</v>
      </c>
      <c r="AK226" s="94" t="s">
        <v>195</v>
      </c>
    </row>
    <row r="227" spans="1:37" x14ac:dyDescent="0.25">
      <c r="A227" s="21" t="s">
        <v>83</v>
      </c>
      <c r="B227" s="5" t="s">
        <v>42</v>
      </c>
      <c r="C227" s="263" t="s">
        <v>501</v>
      </c>
      <c r="D227" s="26" t="s">
        <v>43</v>
      </c>
      <c r="E227" s="26" t="s">
        <v>191</v>
      </c>
      <c r="F227" s="21" t="s">
        <v>179</v>
      </c>
      <c r="G227" s="21" t="s">
        <v>147</v>
      </c>
      <c r="H227" s="26" t="s">
        <v>180</v>
      </c>
      <c r="I227" s="11" t="s">
        <v>218</v>
      </c>
      <c r="J227" s="17" t="s">
        <v>195</v>
      </c>
      <c r="K227" s="28" t="s">
        <v>195</v>
      </c>
      <c r="L227" s="14">
        <v>215</v>
      </c>
      <c r="M227" s="28" t="s">
        <v>194</v>
      </c>
      <c r="N227" s="28" t="s">
        <v>196</v>
      </c>
      <c r="O227" s="28" t="s">
        <v>195</v>
      </c>
      <c r="P227" s="28" t="s">
        <v>196</v>
      </c>
      <c r="Q227" s="28" t="s">
        <v>195</v>
      </c>
      <c r="R227" s="28" t="s">
        <v>420</v>
      </c>
      <c r="S227" s="28" t="s">
        <v>194</v>
      </c>
      <c r="T227" s="14">
        <v>243</v>
      </c>
      <c r="U227" s="28" t="s">
        <v>194</v>
      </c>
      <c r="V227" s="14">
        <v>270</v>
      </c>
      <c r="W227" s="28" t="s">
        <v>194</v>
      </c>
      <c r="X227" s="28" t="s">
        <v>196</v>
      </c>
      <c r="Y227" s="28" t="s">
        <v>195</v>
      </c>
      <c r="Z227" s="28" t="s">
        <v>421</v>
      </c>
      <c r="AA227" s="28" t="s">
        <v>194</v>
      </c>
      <c r="AB227" s="14">
        <v>226</v>
      </c>
      <c r="AC227" s="28" t="s">
        <v>194</v>
      </c>
      <c r="AD227" s="95">
        <v>167</v>
      </c>
      <c r="AE227" s="28" t="s">
        <v>194</v>
      </c>
      <c r="AF227" s="95">
        <v>230</v>
      </c>
      <c r="AG227" s="28" t="s">
        <v>194</v>
      </c>
      <c r="AH227" s="95">
        <v>206</v>
      </c>
      <c r="AI227" s="28" t="s">
        <v>194</v>
      </c>
      <c r="AJ227" s="282">
        <v>221</v>
      </c>
      <c r="AK227" s="28" t="s">
        <v>194</v>
      </c>
    </row>
    <row r="228" spans="1:37" x14ac:dyDescent="0.25">
      <c r="A228" s="21" t="s">
        <v>83</v>
      </c>
      <c r="B228" s="5" t="s">
        <v>42</v>
      </c>
      <c r="C228" s="263" t="s">
        <v>501</v>
      </c>
      <c r="D228" s="26" t="s">
        <v>43</v>
      </c>
      <c r="E228" s="26" t="s">
        <v>191</v>
      </c>
      <c r="F228" s="21" t="s">
        <v>179</v>
      </c>
      <c r="G228" s="21" t="s">
        <v>147</v>
      </c>
      <c r="H228" s="26" t="s">
        <v>197</v>
      </c>
      <c r="I228" s="11" t="s">
        <v>211</v>
      </c>
      <c r="J228" s="17" t="s">
        <v>195</v>
      </c>
      <c r="K228" s="28" t="s">
        <v>195</v>
      </c>
      <c r="L228" s="14">
        <v>170</v>
      </c>
      <c r="M228" s="28" t="s">
        <v>194</v>
      </c>
      <c r="N228" s="28" t="s">
        <v>196</v>
      </c>
      <c r="O228" s="28" t="s">
        <v>195</v>
      </c>
      <c r="P228" s="28" t="s">
        <v>196</v>
      </c>
      <c r="Q228" s="28" t="s">
        <v>195</v>
      </c>
      <c r="R228" s="28" t="s">
        <v>422</v>
      </c>
      <c r="S228" s="28" t="s">
        <v>194</v>
      </c>
      <c r="T228" s="14">
        <v>118</v>
      </c>
      <c r="U228" s="28" t="s">
        <v>194</v>
      </c>
      <c r="V228" s="14">
        <v>113</v>
      </c>
      <c r="W228" s="28" t="s">
        <v>194</v>
      </c>
      <c r="X228" s="28" t="s">
        <v>196</v>
      </c>
      <c r="Y228" s="28" t="s">
        <v>195</v>
      </c>
      <c r="Z228" s="28" t="s">
        <v>423</v>
      </c>
      <c r="AA228" s="28" t="s">
        <v>194</v>
      </c>
      <c r="AB228" s="14">
        <v>128</v>
      </c>
      <c r="AC228" s="28" t="s">
        <v>194</v>
      </c>
      <c r="AD228" s="95">
        <v>113</v>
      </c>
      <c r="AE228" s="28" t="s">
        <v>194</v>
      </c>
      <c r="AF228" s="95">
        <v>98</v>
      </c>
      <c r="AG228" s="28" t="s">
        <v>194</v>
      </c>
      <c r="AH228" s="95">
        <v>106</v>
      </c>
      <c r="AI228" s="28" t="s">
        <v>194</v>
      </c>
      <c r="AJ228" s="282">
        <v>130</v>
      </c>
      <c r="AK228" s="28" t="s">
        <v>194</v>
      </c>
    </row>
    <row r="229" spans="1:37" x14ac:dyDescent="0.25">
      <c r="A229" s="21" t="s">
        <v>83</v>
      </c>
      <c r="B229" s="5" t="s">
        <v>42</v>
      </c>
      <c r="C229" s="263" t="s">
        <v>501</v>
      </c>
      <c r="D229" s="26" t="s">
        <v>43</v>
      </c>
      <c r="E229" s="26" t="s">
        <v>191</v>
      </c>
      <c r="F229" s="21" t="s">
        <v>179</v>
      </c>
      <c r="G229" s="21" t="s">
        <v>147</v>
      </c>
      <c r="H229" s="26" t="s">
        <v>207</v>
      </c>
      <c r="I229" s="11">
        <v>0.2</v>
      </c>
      <c r="J229" s="17" t="s">
        <v>195</v>
      </c>
      <c r="K229" s="28" t="s">
        <v>195</v>
      </c>
      <c r="L229" s="11">
        <v>0.79</v>
      </c>
      <c r="M229" s="28" t="s">
        <v>194</v>
      </c>
      <c r="N229" s="29">
        <v>0.85</v>
      </c>
      <c r="O229" s="28" t="s">
        <v>194</v>
      </c>
      <c r="P229" s="29">
        <v>0.85</v>
      </c>
      <c r="Q229" s="28" t="s">
        <v>194</v>
      </c>
      <c r="R229" s="29">
        <v>0.59</v>
      </c>
      <c r="S229" s="28" t="s">
        <v>194</v>
      </c>
      <c r="T229" s="11">
        <v>0.75</v>
      </c>
      <c r="U229" s="28" t="s">
        <v>194</v>
      </c>
      <c r="V229" s="11">
        <v>0.73</v>
      </c>
      <c r="W229" s="28" t="s">
        <v>194</v>
      </c>
      <c r="X229" s="28" t="s">
        <v>196</v>
      </c>
      <c r="Y229" s="28" t="s">
        <v>195</v>
      </c>
      <c r="Z229" s="11">
        <v>0.64</v>
      </c>
      <c r="AA229" s="28" t="s">
        <v>194</v>
      </c>
      <c r="AB229" s="11">
        <v>0.66836734693877553</v>
      </c>
      <c r="AC229" s="28" t="s">
        <v>194</v>
      </c>
      <c r="AD229" s="102">
        <v>0.71</v>
      </c>
      <c r="AE229" s="28" t="s">
        <v>194</v>
      </c>
      <c r="AF229" s="102">
        <v>0.72</v>
      </c>
      <c r="AG229" s="28" t="s">
        <v>194</v>
      </c>
      <c r="AH229" s="102">
        <v>0.82</v>
      </c>
      <c r="AI229" s="28" t="s">
        <v>194</v>
      </c>
      <c r="AJ229" s="102">
        <v>0.82</v>
      </c>
      <c r="AK229" s="28" t="s">
        <v>194</v>
      </c>
    </row>
    <row r="230" spans="1:37" x14ac:dyDescent="0.25">
      <c r="A230" s="21" t="s">
        <v>83</v>
      </c>
      <c r="B230" s="5" t="s">
        <v>42</v>
      </c>
      <c r="C230" s="263" t="s">
        <v>501</v>
      </c>
      <c r="D230" s="26" t="s">
        <v>43</v>
      </c>
      <c r="E230" s="26" t="s">
        <v>191</v>
      </c>
      <c r="F230" s="21" t="s">
        <v>179</v>
      </c>
      <c r="G230" s="21" t="s">
        <v>147</v>
      </c>
      <c r="H230" s="26" t="s">
        <v>186</v>
      </c>
      <c r="I230" s="11">
        <v>0.6</v>
      </c>
      <c r="J230" s="17" t="s">
        <v>195</v>
      </c>
      <c r="K230" s="28" t="s">
        <v>195</v>
      </c>
      <c r="L230" s="11">
        <v>0.67</v>
      </c>
      <c r="M230" s="28" t="s">
        <v>150</v>
      </c>
      <c r="N230" s="29">
        <v>0.73</v>
      </c>
      <c r="O230" s="28" t="s">
        <v>150</v>
      </c>
      <c r="P230" s="29">
        <v>0.61</v>
      </c>
      <c r="Q230" s="28" t="s">
        <v>150</v>
      </c>
      <c r="R230" s="29">
        <v>0.75</v>
      </c>
      <c r="S230" s="28" t="s">
        <v>150</v>
      </c>
      <c r="T230" s="11">
        <v>0.66</v>
      </c>
      <c r="U230" s="28" t="s">
        <v>150</v>
      </c>
      <c r="V230" s="11">
        <v>0.73</v>
      </c>
      <c r="W230" s="28" t="s">
        <v>150</v>
      </c>
      <c r="X230" s="28" t="s">
        <v>196</v>
      </c>
      <c r="Y230" s="28" t="s">
        <v>195</v>
      </c>
      <c r="Z230" s="29">
        <v>0.6</v>
      </c>
      <c r="AA230" s="28" t="s">
        <v>150</v>
      </c>
      <c r="AB230" s="11">
        <v>0.66</v>
      </c>
      <c r="AC230" s="28" t="s">
        <v>150</v>
      </c>
      <c r="AD230" s="102">
        <v>0.56999999999999995</v>
      </c>
      <c r="AE230" s="28" t="s">
        <v>194</v>
      </c>
      <c r="AF230" s="102">
        <v>0.63</v>
      </c>
      <c r="AG230" s="199" t="s">
        <v>150</v>
      </c>
      <c r="AH230" s="102">
        <v>0.65</v>
      </c>
      <c r="AI230" s="199" t="s">
        <v>150</v>
      </c>
      <c r="AJ230" s="272">
        <v>0.61</v>
      </c>
      <c r="AK230" s="199" t="s">
        <v>150</v>
      </c>
    </row>
    <row r="231" spans="1:37" x14ac:dyDescent="0.25">
      <c r="A231" s="21" t="s">
        <v>83</v>
      </c>
      <c r="B231" s="5" t="s">
        <v>42</v>
      </c>
      <c r="C231" s="263" t="s">
        <v>501</v>
      </c>
      <c r="D231" s="26" t="s">
        <v>43</v>
      </c>
      <c r="E231" s="26" t="s">
        <v>191</v>
      </c>
      <c r="F231" s="21" t="s">
        <v>179</v>
      </c>
      <c r="G231" s="21" t="s">
        <v>147</v>
      </c>
      <c r="H231" s="26" t="s">
        <v>188</v>
      </c>
      <c r="I231" s="30" t="s">
        <v>424</v>
      </c>
      <c r="J231" s="17" t="s">
        <v>195</v>
      </c>
      <c r="K231" s="28" t="s">
        <v>195</v>
      </c>
      <c r="L231" s="16">
        <v>4.583333333333333E-2</v>
      </c>
      <c r="M231" s="28" t="s">
        <v>150</v>
      </c>
      <c r="N231" s="16">
        <v>4.6527777777777779E-2</v>
      </c>
      <c r="O231" s="28" t="s">
        <v>150</v>
      </c>
      <c r="P231" s="16">
        <v>4.583333333333333E-2</v>
      </c>
      <c r="Q231" s="28" t="s">
        <v>150</v>
      </c>
      <c r="R231" s="16">
        <v>4.583333333333333E-2</v>
      </c>
      <c r="S231" s="28" t="s">
        <v>150</v>
      </c>
      <c r="T231" s="16">
        <v>5.2083333333333336E-2</v>
      </c>
      <c r="U231" s="28" t="s">
        <v>194</v>
      </c>
      <c r="V231" s="16">
        <v>5.6250000000000001E-2</v>
      </c>
      <c r="W231" s="28" t="s">
        <v>194</v>
      </c>
      <c r="X231" s="28" t="s">
        <v>196</v>
      </c>
      <c r="Y231" s="28" t="s">
        <v>195</v>
      </c>
      <c r="Z231" s="30" t="s">
        <v>424</v>
      </c>
      <c r="AA231" s="28" t="s">
        <v>150</v>
      </c>
      <c r="AB231" s="16">
        <v>5.1388888888888887E-2</v>
      </c>
      <c r="AC231" s="28" t="s">
        <v>194</v>
      </c>
      <c r="AD231" s="141">
        <v>5.5555555555555552E-2</v>
      </c>
      <c r="AE231" s="28" t="s">
        <v>194</v>
      </c>
      <c r="AF231" s="16">
        <v>5.1388888888888887E-2</v>
      </c>
      <c r="AG231" s="28" t="s">
        <v>194</v>
      </c>
      <c r="AH231" s="101" t="s">
        <v>571</v>
      </c>
      <c r="AI231" s="28" t="s">
        <v>194</v>
      </c>
      <c r="AJ231" s="283" t="s">
        <v>572</v>
      </c>
      <c r="AK231" s="28" t="s">
        <v>194</v>
      </c>
    </row>
    <row r="232" spans="1:37" x14ac:dyDescent="0.25">
      <c r="A232" s="21" t="s">
        <v>83</v>
      </c>
      <c r="B232" s="5" t="s">
        <v>42</v>
      </c>
      <c r="C232" s="263" t="s">
        <v>501</v>
      </c>
      <c r="D232" s="26" t="s">
        <v>43</v>
      </c>
      <c r="E232" s="26" t="s">
        <v>191</v>
      </c>
      <c r="F232" s="21" t="s">
        <v>179</v>
      </c>
      <c r="G232" s="21" t="s">
        <v>147</v>
      </c>
      <c r="H232" s="26" t="s">
        <v>189</v>
      </c>
      <c r="I232" s="11">
        <v>0.2</v>
      </c>
      <c r="J232" s="17" t="s">
        <v>195</v>
      </c>
      <c r="K232" s="28" t="s">
        <v>195</v>
      </c>
      <c r="L232" s="29">
        <v>0.16</v>
      </c>
      <c r="M232" s="28" t="s">
        <v>150</v>
      </c>
      <c r="N232" s="29">
        <v>0.08</v>
      </c>
      <c r="O232" s="28" t="s">
        <v>150</v>
      </c>
      <c r="P232" s="29">
        <v>0.17</v>
      </c>
      <c r="Q232" s="28" t="s">
        <v>150</v>
      </c>
      <c r="R232" s="29">
        <v>0.03</v>
      </c>
      <c r="S232" s="28" t="s">
        <v>150</v>
      </c>
      <c r="T232" s="29">
        <v>0.05</v>
      </c>
      <c r="U232" s="28" t="s">
        <v>150</v>
      </c>
      <c r="V232" s="29">
        <v>0.04</v>
      </c>
      <c r="W232" s="28" t="s">
        <v>150</v>
      </c>
      <c r="X232" s="28" t="s">
        <v>196</v>
      </c>
      <c r="Y232" s="28" t="s">
        <v>195</v>
      </c>
      <c r="Z232" s="29">
        <v>0.05</v>
      </c>
      <c r="AA232" s="28" t="s">
        <v>150</v>
      </c>
      <c r="AB232" s="102">
        <v>0.04</v>
      </c>
      <c r="AC232" s="28" t="s">
        <v>150</v>
      </c>
      <c r="AD232" s="102">
        <v>0.02</v>
      </c>
      <c r="AE232" s="28" t="s">
        <v>150</v>
      </c>
      <c r="AF232" s="102">
        <v>0.08</v>
      </c>
      <c r="AG232" s="199" t="s">
        <v>150</v>
      </c>
      <c r="AH232" s="102">
        <v>0.06</v>
      </c>
      <c r="AI232" s="199" t="s">
        <v>150</v>
      </c>
      <c r="AJ232" s="96">
        <v>0.17</v>
      </c>
      <c r="AK232" s="199" t="s">
        <v>150</v>
      </c>
    </row>
    <row r="233" spans="1:37" x14ac:dyDescent="0.25">
      <c r="A233" s="21" t="s">
        <v>83</v>
      </c>
      <c r="B233" s="5" t="s">
        <v>42</v>
      </c>
      <c r="C233" s="263" t="s">
        <v>501</v>
      </c>
      <c r="D233" s="26" t="s">
        <v>43</v>
      </c>
      <c r="E233" s="26" t="s">
        <v>191</v>
      </c>
      <c r="F233" s="21" t="s">
        <v>179</v>
      </c>
      <c r="G233" s="21" t="s">
        <v>147</v>
      </c>
      <c r="H233" s="26" t="s">
        <v>190</v>
      </c>
      <c r="I233" s="11">
        <v>0.85</v>
      </c>
      <c r="J233" s="17" t="s">
        <v>195</v>
      </c>
      <c r="K233" s="28" t="s">
        <v>195</v>
      </c>
      <c r="L233" s="28" t="s">
        <v>187</v>
      </c>
      <c r="M233" s="28" t="s">
        <v>187</v>
      </c>
      <c r="N233" s="28" t="s">
        <v>196</v>
      </c>
      <c r="O233" s="28" t="s">
        <v>195</v>
      </c>
      <c r="P233" s="28" t="s">
        <v>196</v>
      </c>
      <c r="Q233" s="28" t="s">
        <v>195</v>
      </c>
      <c r="R233" s="28" t="s">
        <v>195</v>
      </c>
      <c r="S233" s="28" t="s">
        <v>196</v>
      </c>
      <c r="T233" s="29">
        <v>0.22</v>
      </c>
      <c r="U233" s="28" t="s">
        <v>194</v>
      </c>
      <c r="V233" s="29">
        <v>0.72</v>
      </c>
      <c r="W233" s="28" t="s">
        <v>194</v>
      </c>
      <c r="X233" s="28" t="s">
        <v>196</v>
      </c>
      <c r="Y233" s="28" t="s">
        <v>195</v>
      </c>
      <c r="Z233" s="28" t="s">
        <v>206</v>
      </c>
      <c r="AA233" s="15" t="s">
        <v>154</v>
      </c>
      <c r="AB233" s="95" t="s">
        <v>206</v>
      </c>
      <c r="AC233" s="28" t="s">
        <v>150</v>
      </c>
      <c r="AD233" s="140" t="s">
        <v>154</v>
      </c>
      <c r="AE233" s="126" t="s">
        <v>154</v>
      </c>
      <c r="AF233" s="102">
        <v>0.87</v>
      </c>
      <c r="AG233" s="199" t="s">
        <v>150</v>
      </c>
      <c r="AH233" s="102">
        <v>0.7</v>
      </c>
      <c r="AI233" s="28" t="s">
        <v>194</v>
      </c>
      <c r="AJ233" s="102">
        <v>0.7</v>
      </c>
      <c r="AK233" s="28" t="s">
        <v>194</v>
      </c>
    </row>
    <row r="234" spans="1:37" x14ac:dyDescent="0.25">
      <c r="A234" s="21" t="s">
        <v>83</v>
      </c>
      <c r="B234" s="5" t="s">
        <v>42</v>
      </c>
      <c r="C234" s="263" t="s">
        <v>501</v>
      </c>
      <c r="D234" s="26" t="s">
        <v>43</v>
      </c>
      <c r="E234" s="26" t="s">
        <v>191</v>
      </c>
      <c r="F234" s="21" t="s">
        <v>179</v>
      </c>
      <c r="G234" s="21" t="s">
        <v>147</v>
      </c>
      <c r="H234" s="26" t="s">
        <v>425</v>
      </c>
      <c r="I234" s="11">
        <v>0.1</v>
      </c>
      <c r="J234" s="17" t="s">
        <v>195</v>
      </c>
      <c r="K234" s="28" t="s">
        <v>195</v>
      </c>
      <c r="L234" s="11">
        <v>7.0000000000000007E-2</v>
      </c>
      <c r="M234" s="28" t="s">
        <v>194</v>
      </c>
      <c r="N234" s="29">
        <v>0.09</v>
      </c>
      <c r="O234" s="28" t="s">
        <v>194</v>
      </c>
      <c r="P234" s="29">
        <v>0.08</v>
      </c>
      <c r="Q234" s="28" t="s">
        <v>194</v>
      </c>
      <c r="R234" s="29">
        <v>0.1</v>
      </c>
      <c r="S234" s="28" t="s">
        <v>194</v>
      </c>
      <c r="T234" s="29">
        <v>0.11</v>
      </c>
      <c r="U234" s="28" t="s">
        <v>194</v>
      </c>
      <c r="V234" s="29">
        <v>0.09</v>
      </c>
      <c r="W234" s="28" t="s">
        <v>194</v>
      </c>
      <c r="X234" s="28" t="s">
        <v>196</v>
      </c>
      <c r="Y234" s="28" t="s">
        <v>195</v>
      </c>
      <c r="Z234" s="29">
        <v>0.11</v>
      </c>
      <c r="AA234" s="28" t="s">
        <v>150</v>
      </c>
      <c r="AB234" s="102">
        <v>0.06</v>
      </c>
      <c r="AC234" s="28" t="s">
        <v>194</v>
      </c>
      <c r="AD234" s="95" t="s">
        <v>154</v>
      </c>
      <c r="AE234" s="97" t="s">
        <v>154</v>
      </c>
      <c r="AF234" s="140" t="s">
        <v>154</v>
      </c>
      <c r="AG234" s="97" t="s">
        <v>154</v>
      </c>
      <c r="AH234" s="79" t="s">
        <v>154</v>
      </c>
      <c r="AI234" s="97" t="s">
        <v>154</v>
      </c>
      <c r="AJ234" s="102" t="s">
        <v>154</v>
      </c>
      <c r="AK234" s="97" t="s">
        <v>154</v>
      </c>
    </row>
    <row r="235" spans="1:37" x14ac:dyDescent="0.25">
      <c r="A235" s="26" t="s">
        <v>38</v>
      </c>
      <c r="B235" s="5" t="s">
        <v>23</v>
      </c>
      <c r="C235" s="76" t="s">
        <v>24</v>
      </c>
      <c r="D235" s="26" t="s">
        <v>46</v>
      </c>
      <c r="E235" s="26" t="s">
        <v>145</v>
      </c>
      <c r="F235" s="26" t="s">
        <v>146</v>
      </c>
      <c r="G235" s="26" t="s">
        <v>147</v>
      </c>
      <c r="H235" s="26" t="s">
        <v>225</v>
      </c>
      <c r="I235" s="7" t="s">
        <v>226</v>
      </c>
      <c r="J235" s="15">
        <v>1</v>
      </c>
      <c r="K235" s="28" t="s">
        <v>150</v>
      </c>
      <c r="L235" s="15">
        <v>1</v>
      </c>
      <c r="M235" s="28" t="s">
        <v>150</v>
      </c>
      <c r="N235" s="15">
        <v>1</v>
      </c>
      <c r="O235" s="28" t="s">
        <v>150</v>
      </c>
      <c r="P235" s="15">
        <v>1</v>
      </c>
      <c r="Q235" s="28" t="s">
        <v>150</v>
      </c>
      <c r="R235" s="15">
        <v>1</v>
      </c>
      <c r="S235" s="28" t="s">
        <v>150</v>
      </c>
      <c r="T235" s="15">
        <v>1</v>
      </c>
      <c r="U235" s="28" t="s">
        <v>150</v>
      </c>
      <c r="V235" s="15">
        <v>1</v>
      </c>
      <c r="W235" s="28" t="s">
        <v>150</v>
      </c>
      <c r="X235" s="15">
        <v>1</v>
      </c>
      <c r="Y235" s="28" t="s">
        <v>150</v>
      </c>
      <c r="Z235" s="15">
        <v>1</v>
      </c>
      <c r="AA235" s="28" t="s">
        <v>150</v>
      </c>
      <c r="AB235" s="79">
        <v>1</v>
      </c>
      <c r="AC235" s="28" t="s">
        <v>150</v>
      </c>
      <c r="AD235" s="140">
        <v>1</v>
      </c>
      <c r="AE235" s="28" t="s">
        <v>150</v>
      </c>
      <c r="AF235" s="95" t="s">
        <v>195</v>
      </c>
      <c r="AG235" s="140" t="s">
        <v>195</v>
      </c>
      <c r="AH235" s="95" t="s">
        <v>195</v>
      </c>
      <c r="AI235" s="97" t="s">
        <v>195</v>
      </c>
      <c r="AJ235" s="95" t="s">
        <v>195</v>
      </c>
      <c r="AK235" s="97" t="s">
        <v>195</v>
      </c>
    </row>
    <row r="236" spans="1:37" x14ac:dyDescent="0.25">
      <c r="A236" s="26" t="s">
        <v>38</v>
      </c>
      <c r="B236" s="5" t="s">
        <v>23</v>
      </c>
      <c r="C236" s="76" t="s">
        <v>24</v>
      </c>
      <c r="D236" s="26" t="s">
        <v>46</v>
      </c>
      <c r="E236" s="26" t="s">
        <v>145</v>
      </c>
      <c r="F236" s="26" t="s">
        <v>146</v>
      </c>
      <c r="G236" s="26" t="s">
        <v>147</v>
      </c>
      <c r="H236" s="26" t="s">
        <v>227</v>
      </c>
      <c r="I236" s="36">
        <v>1</v>
      </c>
      <c r="J236" s="15">
        <v>1</v>
      </c>
      <c r="K236" s="28" t="s">
        <v>150</v>
      </c>
      <c r="L236" s="15">
        <v>1</v>
      </c>
      <c r="M236" s="28" t="s">
        <v>150</v>
      </c>
      <c r="N236" s="15">
        <v>1</v>
      </c>
      <c r="O236" s="28" t="s">
        <v>150</v>
      </c>
      <c r="P236" s="15">
        <v>1</v>
      </c>
      <c r="Q236" s="28" t="s">
        <v>150</v>
      </c>
      <c r="R236" s="15">
        <v>1</v>
      </c>
      <c r="S236" s="28" t="s">
        <v>150</v>
      </c>
      <c r="T236" s="15">
        <v>1</v>
      </c>
      <c r="U236" s="28" t="s">
        <v>150</v>
      </c>
      <c r="V236" s="15">
        <v>1</v>
      </c>
      <c r="W236" s="28" t="s">
        <v>150</v>
      </c>
      <c r="X236" s="15">
        <v>1</v>
      </c>
      <c r="Y236" s="28" t="s">
        <v>150</v>
      </c>
      <c r="Z236" s="15">
        <v>1</v>
      </c>
      <c r="AA236" s="28" t="s">
        <v>150</v>
      </c>
      <c r="AB236" s="79">
        <v>1</v>
      </c>
      <c r="AC236" s="28" t="s">
        <v>150</v>
      </c>
      <c r="AD236" s="142">
        <v>1</v>
      </c>
      <c r="AE236" s="28" t="s">
        <v>150</v>
      </c>
      <c r="AF236" s="95" t="s">
        <v>195</v>
      </c>
      <c r="AG236" s="140" t="s">
        <v>195</v>
      </c>
      <c r="AH236" s="95" t="s">
        <v>195</v>
      </c>
      <c r="AI236" s="97" t="s">
        <v>195</v>
      </c>
      <c r="AJ236" s="95" t="s">
        <v>195</v>
      </c>
      <c r="AK236" s="97" t="s">
        <v>195</v>
      </c>
    </row>
    <row r="237" spans="1:37" x14ac:dyDescent="0.25">
      <c r="A237" s="26" t="s">
        <v>38</v>
      </c>
      <c r="B237" s="5" t="s">
        <v>23</v>
      </c>
      <c r="C237" s="76" t="s">
        <v>24</v>
      </c>
      <c r="D237" s="26" t="s">
        <v>46</v>
      </c>
      <c r="E237" s="26" t="s">
        <v>145</v>
      </c>
      <c r="F237" s="26" t="s">
        <v>146</v>
      </c>
      <c r="G237" s="26" t="s">
        <v>147</v>
      </c>
      <c r="H237" s="26" t="s">
        <v>228</v>
      </c>
      <c r="I237" s="7" t="s">
        <v>229</v>
      </c>
      <c r="J237" s="17" t="s">
        <v>154</v>
      </c>
      <c r="K237" s="15" t="s">
        <v>154</v>
      </c>
      <c r="L237" s="17" t="s">
        <v>154</v>
      </c>
      <c r="M237" s="15" t="s">
        <v>154</v>
      </c>
      <c r="N237" s="17" t="s">
        <v>154</v>
      </c>
      <c r="O237" s="15" t="s">
        <v>154</v>
      </c>
      <c r="P237" s="17" t="s">
        <v>154</v>
      </c>
      <c r="Q237" s="15" t="s">
        <v>154</v>
      </c>
      <c r="R237" s="17" t="s">
        <v>154</v>
      </c>
      <c r="S237" s="15" t="s">
        <v>154</v>
      </c>
      <c r="T237" s="17" t="s">
        <v>154</v>
      </c>
      <c r="U237" s="15" t="s">
        <v>154</v>
      </c>
      <c r="V237" s="17" t="s">
        <v>154</v>
      </c>
      <c r="W237" s="15" t="s">
        <v>154</v>
      </c>
      <c r="X237" s="17" t="s">
        <v>154</v>
      </c>
      <c r="Y237" s="15" t="s">
        <v>154</v>
      </c>
      <c r="Z237" s="17" t="s">
        <v>154</v>
      </c>
      <c r="AA237" s="15" t="s">
        <v>154</v>
      </c>
      <c r="AB237" s="93" t="s">
        <v>154</v>
      </c>
      <c r="AC237" s="15" t="s">
        <v>154</v>
      </c>
      <c r="AD237" s="143" t="s">
        <v>154</v>
      </c>
      <c r="AE237" s="97" t="s">
        <v>154</v>
      </c>
      <c r="AF237" s="95" t="s">
        <v>195</v>
      </c>
      <c r="AG237" s="140" t="s">
        <v>195</v>
      </c>
      <c r="AH237" s="95" t="s">
        <v>195</v>
      </c>
      <c r="AI237" s="97" t="s">
        <v>195</v>
      </c>
      <c r="AJ237" s="93" t="s">
        <v>154</v>
      </c>
      <c r="AK237" s="97" t="s">
        <v>154</v>
      </c>
    </row>
    <row r="238" spans="1:37" x14ac:dyDescent="0.25">
      <c r="A238" s="26" t="s">
        <v>38</v>
      </c>
      <c r="B238" s="5" t="s">
        <v>23</v>
      </c>
      <c r="C238" s="76" t="s">
        <v>24</v>
      </c>
      <c r="D238" s="26" t="s">
        <v>46</v>
      </c>
      <c r="E238" s="26" t="s">
        <v>145</v>
      </c>
      <c r="F238" s="26" t="s">
        <v>146</v>
      </c>
      <c r="G238" s="26" t="s">
        <v>147</v>
      </c>
      <c r="H238" s="26" t="s">
        <v>230</v>
      </c>
      <c r="I238" s="7" t="s">
        <v>231</v>
      </c>
      <c r="J238" s="15">
        <v>1</v>
      </c>
      <c r="K238" s="28" t="s">
        <v>150</v>
      </c>
      <c r="L238" s="15">
        <v>1</v>
      </c>
      <c r="M238" s="28" t="s">
        <v>150</v>
      </c>
      <c r="N238" s="15">
        <v>1</v>
      </c>
      <c r="O238" s="28" t="s">
        <v>150</v>
      </c>
      <c r="P238" s="15">
        <v>1</v>
      </c>
      <c r="Q238" s="28" t="s">
        <v>150</v>
      </c>
      <c r="R238" s="15">
        <v>1</v>
      </c>
      <c r="S238" s="28" t="s">
        <v>150</v>
      </c>
      <c r="T238" s="15">
        <v>1</v>
      </c>
      <c r="U238" s="28" t="s">
        <v>150</v>
      </c>
      <c r="V238" s="15">
        <v>1</v>
      </c>
      <c r="W238" s="28" t="s">
        <v>150</v>
      </c>
      <c r="X238" s="15">
        <v>1</v>
      </c>
      <c r="Y238" s="28" t="s">
        <v>150</v>
      </c>
      <c r="Z238" s="15">
        <v>1</v>
      </c>
      <c r="AA238" s="28" t="s">
        <v>150</v>
      </c>
      <c r="AB238" s="79">
        <v>1</v>
      </c>
      <c r="AC238" s="28" t="s">
        <v>150</v>
      </c>
      <c r="AD238" s="142">
        <v>1</v>
      </c>
      <c r="AE238" s="28" t="s">
        <v>150</v>
      </c>
      <c r="AF238" s="95" t="s">
        <v>195</v>
      </c>
      <c r="AG238" s="140" t="s">
        <v>195</v>
      </c>
      <c r="AH238" s="95" t="s">
        <v>195</v>
      </c>
      <c r="AI238" s="97" t="s">
        <v>195</v>
      </c>
      <c r="AJ238" s="95" t="s">
        <v>195</v>
      </c>
      <c r="AK238" s="97" t="s">
        <v>195</v>
      </c>
    </row>
    <row r="239" spans="1:37" x14ac:dyDescent="0.25">
      <c r="A239" s="26" t="s">
        <v>38</v>
      </c>
      <c r="B239" s="5" t="s">
        <v>23</v>
      </c>
      <c r="C239" s="76" t="s">
        <v>24</v>
      </c>
      <c r="D239" s="26" t="s">
        <v>46</v>
      </c>
      <c r="E239" s="26" t="s">
        <v>145</v>
      </c>
      <c r="F239" s="26" t="s">
        <v>146</v>
      </c>
      <c r="G239" s="26" t="s">
        <v>147</v>
      </c>
      <c r="H239" s="26" t="s">
        <v>230</v>
      </c>
      <c r="I239" s="36">
        <v>1</v>
      </c>
      <c r="J239" s="15">
        <v>1</v>
      </c>
      <c r="K239" s="28" t="s">
        <v>150</v>
      </c>
      <c r="L239" s="15">
        <v>1</v>
      </c>
      <c r="M239" s="28" t="s">
        <v>150</v>
      </c>
      <c r="N239" s="15">
        <v>1</v>
      </c>
      <c r="O239" s="28" t="s">
        <v>150</v>
      </c>
      <c r="P239" s="15">
        <v>1</v>
      </c>
      <c r="Q239" s="28" t="s">
        <v>150</v>
      </c>
      <c r="R239" s="15">
        <v>1</v>
      </c>
      <c r="S239" s="28" t="s">
        <v>150</v>
      </c>
      <c r="T239" s="15">
        <v>1</v>
      </c>
      <c r="U239" s="28" t="s">
        <v>150</v>
      </c>
      <c r="V239" s="15">
        <v>1</v>
      </c>
      <c r="W239" s="28" t="s">
        <v>150</v>
      </c>
      <c r="X239" s="15">
        <v>1</v>
      </c>
      <c r="Y239" s="28" t="s">
        <v>150</v>
      </c>
      <c r="Z239" s="15">
        <v>1</v>
      </c>
      <c r="AA239" s="28" t="s">
        <v>150</v>
      </c>
      <c r="AB239" s="79">
        <v>1</v>
      </c>
      <c r="AC239" s="28" t="s">
        <v>150</v>
      </c>
      <c r="AD239" s="142">
        <v>1</v>
      </c>
      <c r="AE239" s="28" t="s">
        <v>150</v>
      </c>
      <c r="AF239" s="95" t="s">
        <v>195</v>
      </c>
      <c r="AG239" s="140" t="s">
        <v>195</v>
      </c>
      <c r="AH239" s="95" t="s">
        <v>195</v>
      </c>
      <c r="AI239" s="97" t="s">
        <v>195</v>
      </c>
      <c r="AJ239" s="95" t="s">
        <v>195</v>
      </c>
      <c r="AK239" s="97" t="s">
        <v>195</v>
      </c>
    </row>
    <row r="240" spans="1:37" x14ac:dyDescent="0.25">
      <c r="A240" s="21" t="s">
        <v>502</v>
      </c>
      <c r="B240" s="5" t="s">
        <v>42</v>
      </c>
      <c r="C240" s="263" t="s">
        <v>501</v>
      </c>
      <c r="D240" s="26" t="s">
        <v>43</v>
      </c>
      <c r="E240" s="26" t="s">
        <v>191</v>
      </c>
      <c r="F240" s="21" t="s">
        <v>179</v>
      </c>
      <c r="G240" s="21" t="s">
        <v>147</v>
      </c>
      <c r="H240" s="85" t="s">
        <v>180</v>
      </c>
      <c r="I240" s="83" t="s">
        <v>218</v>
      </c>
      <c r="J240" s="29" t="s">
        <v>206</v>
      </c>
      <c r="K240" s="29" t="s">
        <v>206</v>
      </c>
      <c r="L240" s="29" t="s">
        <v>206</v>
      </c>
      <c r="M240" s="29" t="s">
        <v>206</v>
      </c>
      <c r="N240" s="29" t="s">
        <v>206</v>
      </c>
      <c r="O240" s="29" t="s">
        <v>206</v>
      </c>
      <c r="P240" s="29" t="s">
        <v>206</v>
      </c>
      <c r="Q240" s="29" t="s">
        <v>206</v>
      </c>
      <c r="R240" s="29" t="s">
        <v>206</v>
      </c>
      <c r="S240" s="29" t="s">
        <v>206</v>
      </c>
      <c r="T240" s="29" t="s">
        <v>206</v>
      </c>
      <c r="U240" s="29" t="s">
        <v>206</v>
      </c>
      <c r="V240" s="29" t="s">
        <v>206</v>
      </c>
      <c r="W240" s="29" t="s">
        <v>206</v>
      </c>
      <c r="X240" s="29" t="s">
        <v>206</v>
      </c>
      <c r="Y240" s="29" t="s">
        <v>206</v>
      </c>
      <c r="Z240" s="29" t="s">
        <v>206</v>
      </c>
      <c r="AA240" s="29" t="s">
        <v>206</v>
      </c>
      <c r="AB240" s="90">
        <v>53</v>
      </c>
      <c r="AC240" s="28" t="s">
        <v>150</v>
      </c>
      <c r="AD240" s="144">
        <v>53</v>
      </c>
      <c r="AE240" s="28" t="s">
        <v>150</v>
      </c>
      <c r="AF240" s="147">
        <v>62</v>
      </c>
      <c r="AG240" s="199" t="s">
        <v>150</v>
      </c>
      <c r="AH240" s="95">
        <v>87</v>
      </c>
      <c r="AI240" s="199" t="s">
        <v>150</v>
      </c>
      <c r="AJ240" s="282">
        <v>53</v>
      </c>
      <c r="AK240" s="199" t="s">
        <v>150</v>
      </c>
    </row>
    <row r="241" spans="1:37" x14ac:dyDescent="0.25">
      <c r="A241" s="21" t="s">
        <v>502</v>
      </c>
      <c r="B241" s="5" t="s">
        <v>42</v>
      </c>
      <c r="C241" s="263" t="s">
        <v>501</v>
      </c>
      <c r="D241" s="26" t="s">
        <v>43</v>
      </c>
      <c r="E241" s="26" t="s">
        <v>191</v>
      </c>
      <c r="F241" s="21" t="s">
        <v>179</v>
      </c>
      <c r="G241" s="21" t="s">
        <v>147</v>
      </c>
      <c r="H241" s="85" t="s">
        <v>197</v>
      </c>
      <c r="I241" s="83" t="s">
        <v>211</v>
      </c>
      <c r="J241" s="29" t="s">
        <v>206</v>
      </c>
      <c r="K241" s="29" t="s">
        <v>206</v>
      </c>
      <c r="L241" s="29" t="s">
        <v>206</v>
      </c>
      <c r="M241" s="29" t="s">
        <v>206</v>
      </c>
      <c r="N241" s="29" t="s">
        <v>206</v>
      </c>
      <c r="O241" s="29" t="s">
        <v>206</v>
      </c>
      <c r="P241" s="29" t="s">
        <v>206</v>
      </c>
      <c r="Q241" s="29" t="s">
        <v>206</v>
      </c>
      <c r="R241" s="29" t="s">
        <v>206</v>
      </c>
      <c r="S241" s="29" t="s">
        <v>206</v>
      </c>
      <c r="T241" s="29" t="s">
        <v>206</v>
      </c>
      <c r="U241" s="29" t="s">
        <v>206</v>
      </c>
      <c r="V241" s="29" t="s">
        <v>206</v>
      </c>
      <c r="W241" s="29" t="s">
        <v>206</v>
      </c>
      <c r="X241" s="29" t="s">
        <v>206</v>
      </c>
      <c r="Y241" s="29" t="s">
        <v>206</v>
      </c>
      <c r="Z241" s="29" t="s">
        <v>206</v>
      </c>
      <c r="AA241" s="29" t="s">
        <v>206</v>
      </c>
      <c r="AB241" s="14">
        <v>25</v>
      </c>
      <c r="AC241" s="28" t="s">
        <v>150</v>
      </c>
      <c r="AD241" s="144">
        <v>25</v>
      </c>
      <c r="AE241" s="28" t="s">
        <v>150</v>
      </c>
      <c r="AF241" s="147">
        <v>22</v>
      </c>
      <c r="AG241" s="199" t="s">
        <v>150</v>
      </c>
      <c r="AH241" s="95">
        <v>22</v>
      </c>
      <c r="AI241" s="199" t="s">
        <v>150</v>
      </c>
      <c r="AJ241" s="282">
        <v>13</v>
      </c>
      <c r="AK241" s="199" t="s">
        <v>150</v>
      </c>
    </row>
    <row r="242" spans="1:37" x14ac:dyDescent="0.25">
      <c r="A242" s="21" t="s">
        <v>502</v>
      </c>
      <c r="B242" s="5" t="s">
        <v>42</v>
      </c>
      <c r="C242" s="263" t="s">
        <v>501</v>
      </c>
      <c r="D242" s="26" t="s">
        <v>43</v>
      </c>
      <c r="E242" s="26" t="s">
        <v>191</v>
      </c>
      <c r="F242" s="21" t="s">
        <v>179</v>
      </c>
      <c r="G242" s="21" t="s">
        <v>147</v>
      </c>
      <c r="H242" s="85" t="s">
        <v>207</v>
      </c>
      <c r="I242" s="83" t="s">
        <v>319</v>
      </c>
      <c r="J242" s="29" t="s">
        <v>206</v>
      </c>
      <c r="K242" s="29" t="s">
        <v>206</v>
      </c>
      <c r="L242" s="29" t="s">
        <v>206</v>
      </c>
      <c r="M242" s="29" t="s">
        <v>206</v>
      </c>
      <c r="N242" s="29" t="s">
        <v>206</v>
      </c>
      <c r="O242" s="29" t="s">
        <v>206</v>
      </c>
      <c r="P242" s="29" t="s">
        <v>206</v>
      </c>
      <c r="Q242" s="29" t="s">
        <v>206</v>
      </c>
      <c r="R242" s="29" t="s">
        <v>206</v>
      </c>
      <c r="S242" s="29" t="s">
        <v>206</v>
      </c>
      <c r="T242" s="29" t="s">
        <v>206</v>
      </c>
      <c r="U242" s="29" t="s">
        <v>206</v>
      </c>
      <c r="V242" s="29" t="s">
        <v>206</v>
      </c>
      <c r="W242" s="29" t="s">
        <v>206</v>
      </c>
      <c r="X242" s="29" t="s">
        <v>206</v>
      </c>
      <c r="Y242" s="29" t="s">
        <v>206</v>
      </c>
      <c r="Z242" s="29" t="s">
        <v>206</v>
      </c>
      <c r="AA242" s="29" t="s">
        <v>206</v>
      </c>
      <c r="AB242" s="11">
        <v>0</v>
      </c>
      <c r="AC242" s="28" t="s">
        <v>150</v>
      </c>
      <c r="AD242" s="145">
        <v>0</v>
      </c>
      <c r="AE242" s="28" t="s">
        <v>150</v>
      </c>
      <c r="AF242" s="11">
        <v>0</v>
      </c>
      <c r="AG242" s="199" t="s">
        <v>150</v>
      </c>
      <c r="AH242" s="272">
        <v>0</v>
      </c>
      <c r="AI242" s="199" t="s">
        <v>150</v>
      </c>
      <c r="AJ242" s="272">
        <v>0</v>
      </c>
      <c r="AK242" s="199" t="s">
        <v>150</v>
      </c>
    </row>
    <row r="243" spans="1:37" x14ac:dyDescent="0.25">
      <c r="A243" s="21" t="s">
        <v>502</v>
      </c>
      <c r="B243" s="5" t="s">
        <v>42</v>
      </c>
      <c r="C243" s="263" t="s">
        <v>501</v>
      </c>
      <c r="D243" s="26" t="s">
        <v>43</v>
      </c>
      <c r="E243" s="26" t="s">
        <v>191</v>
      </c>
      <c r="F243" s="21" t="s">
        <v>179</v>
      </c>
      <c r="G243" s="21" t="s">
        <v>147</v>
      </c>
      <c r="H243" s="85" t="s">
        <v>186</v>
      </c>
      <c r="I243" s="83">
        <v>0.6</v>
      </c>
      <c r="J243" s="29" t="s">
        <v>206</v>
      </c>
      <c r="K243" s="29" t="s">
        <v>206</v>
      </c>
      <c r="L243" s="29" t="s">
        <v>206</v>
      </c>
      <c r="M243" s="29" t="s">
        <v>206</v>
      </c>
      <c r="N243" s="29" t="s">
        <v>206</v>
      </c>
      <c r="O243" s="29" t="s">
        <v>206</v>
      </c>
      <c r="P243" s="29" t="s">
        <v>206</v>
      </c>
      <c r="Q243" s="29" t="s">
        <v>206</v>
      </c>
      <c r="R243" s="29" t="s">
        <v>206</v>
      </c>
      <c r="S243" s="29" t="s">
        <v>206</v>
      </c>
      <c r="T243" s="29" t="s">
        <v>206</v>
      </c>
      <c r="U243" s="29" t="s">
        <v>206</v>
      </c>
      <c r="V243" s="29" t="s">
        <v>206</v>
      </c>
      <c r="W243" s="29" t="s">
        <v>206</v>
      </c>
      <c r="X243" s="29" t="s">
        <v>206</v>
      </c>
      <c r="Y243" s="29" t="s">
        <v>206</v>
      </c>
      <c r="Z243" s="29" t="s">
        <v>206</v>
      </c>
      <c r="AA243" s="29" t="s">
        <v>206</v>
      </c>
      <c r="AB243" s="11">
        <v>0.99</v>
      </c>
      <c r="AC243" s="28" t="s">
        <v>150</v>
      </c>
      <c r="AD243" s="135">
        <v>0.99</v>
      </c>
      <c r="AE243" s="28" t="s">
        <v>150</v>
      </c>
      <c r="AF243" s="135">
        <v>0.91</v>
      </c>
      <c r="AG243" s="199" t="s">
        <v>150</v>
      </c>
      <c r="AH243" s="102">
        <v>0.96</v>
      </c>
      <c r="AI243" s="199" t="s">
        <v>150</v>
      </c>
      <c r="AJ243" s="272">
        <v>0.93</v>
      </c>
      <c r="AK243" s="199" t="s">
        <v>150</v>
      </c>
    </row>
    <row r="244" spans="1:37" x14ac:dyDescent="0.25">
      <c r="A244" s="21" t="s">
        <v>502</v>
      </c>
      <c r="B244" s="5" t="s">
        <v>42</v>
      </c>
      <c r="C244" s="263" t="s">
        <v>501</v>
      </c>
      <c r="D244" s="26" t="s">
        <v>43</v>
      </c>
      <c r="E244" s="26" t="s">
        <v>191</v>
      </c>
      <c r="F244" s="21" t="s">
        <v>179</v>
      </c>
      <c r="G244" s="21" t="s">
        <v>147</v>
      </c>
      <c r="H244" s="85" t="s">
        <v>188</v>
      </c>
      <c r="I244" s="86" t="s">
        <v>424</v>
      </c>
      <c r="J244" s="29" t="s">
        <v>206</v>
      </c>
      <c r="K244" s="29" t="s">
        <v>206</v>
      </c>
      <c r="L244" s="29" t="s">
        <v>206</v>
      </c>
      <c r="M244" s="29" t="s">
        <v>206</v>
      </c>
      <c r="N244" s="29" t="s">
        <v>206</v>
      </c>
      <c r="O244" s="29" t="s">
        <v>206</v>
      </c>
      <c r="P244" s="29" t="s">
        <v>206</v>
      </c>
      <c r="Q244" s="29" t="s">
        <v>206</v>
      </c>
      <c r="R244" s="29" t="s">
        <v>206</v>
      </c>
      <c r="S244" s="29" t="s">
        <v>206</v>
      </c>
      <c r="T244" s="29" t="s">
        <v>206</v>
      </c>
      <c r="U244" s="29" t="s">
        <v>206</v>
      </c>
      <c r="V244" s="29" t="s">
        <v>206</v>
      </c>
      <c r="W244" s="29" t="s">
        <v>206</v>
      </c>
      <c r="X244" s="29" t="s">
        <v>206</v>
      </c>
      <c r="Y244" s="29" t="s">
        <v>206</v>
      </c>
      <c r="Z244" s="29" t="s">
        <v>206</v>
      </c>
      <c r="AA244" s="29" t="s">
        <v>206</v>
      </c>
      <c r="AB244" s="86" t="s">
        <v>284</v>
      </c>
      <c r="AC244" s="28" t="s">
        <v>150</v>
      </c>
      <c r="AD244" s="146" t="s">
        <v>564</v>
      </c>
      <c r="AE244" s="28" t="s">
        <v>150</v>
      </c>
      <c r="AF244" s="146" t="s">
        <v>567</v>
      </c>
      <c r="AG244" s="199" t="s">
        <v>150</v>
      </c>
      <c r="AH244" s="101" t="s">
        <v>285</v>
      </c>
      <c r="AI244" s="199" t="s">
        <v>150</v>
      </c>
      <c r="AJ244" s="283" t="s">
        <v>285</v>
      </c>
      <c r="AK244" s="199" t="s">
        <v>150</v>
      </c>
    </row>
    <row r="245" spans="1:37" x14ac:dyDescent="0.25">
      <c r="A245" s="21" t="s">
        <v>502</v>
      </c>
      <c r="B245" s="5" t="s">
        <v>42</v>
      </c>
      <c r="C245" s="263" t="s">
        <v>501</v>
      </c>
      <c r="D245" s="26" t="s">
        <v>43</v>
      </c>
      <c r="E245" s="26" t="s">
        <v>191</v>
      </c>
      <c r="F245" s="21" t="s">
        <v>179</v>
      </c>
      <c r="G245" s="21" t="s">
        <v>147</v>
      </c>
      <c r="H245" s="85" t="s">
        <v>189</v>
      </c>
      <c r="I245" s="83">
        <v>0.2</v>
      </c>
      <c r="J245" s="29" t="s">
        <v>206</v>
      </c>
      <c r="K245" s="29" t="s">
        <v>206</v>
      </c>
      <c r="L245" s="29" t="s">
        <v>206</v>
      </c>
      <c r="M245" s="29" t="s">
        <v>206</v>
      </c>
      <c r="N245" s="29" t="s">
        <v>206</v>
      </c>
      <c r="O245" s="29" t="s">
        <v>206</v>
      </c>
      <c r="P245" s="29" t="s">
        <v>206</v>
      </c>
      <c r="Q245" s="29" t="s">
        <v>206</v>
      </c>
      <c r="R245" s="29" t="s">
        <v>206</v>
      </c>
      <c r="S245" s="29" t="s">
        <v>206</v>
      </c>
      <c r="T245" s="29" t="s">
        <v>206</v>
      </c>
      <c r="U245" s="29" t="s">
        <v>206</v>
      </c>
      <c r="V245" s="29" t="s">
        <v>206</v>
      </c>
      <c r="W245" s="29" t="s">
        <v>206</v>
      </c>
      <c r="X245" s="29" t="s">
        <v>206</v>
      </c>
      <c r="Y245" s="29" t="s">
        <v>206</v>
      </c>
      <c r="Z245" s="29" t="s">
        <v>206</v>
      </c>
      <c r="AA245" s="29" t="s">
        <v>206</v>
      </c>
      <c r="AB245" s="83">
        <v>0</v>
      </c>
      <c r="AC245" s="28" t="s">
        <v>150</v>
      </c>
      <c r="AD245" s="102">
        <v>0</v>
      </c>
      <c r="AE245" s="28" t="s">
        <v>150</v>
      </c>
      <c r="AF245" s="135">
        <v>0.25</v>
      </c>
      <c r="AG245" s="28" t="s">
        <v>194</v>
      </c>
      <c r="AH245" s="102">
        <v>0.25</v>
      </c>
      <c r="AI245" s="28" t="s">
        <v>194</v>
      </c>
      <c r="AJ245" s="272">
        <v>0.12</v>
      </c>
      <c r="AK245" s="199" t="s">
        <v>150</v>
      </c>
    </row>
    <row r="246" spans="1:37" x14ac:dyDescent="0.25">
      <c r="A246" s="21" t="s">
        <v>502</v>
      </c>
      <c r="B246" s="5" t="s">
        <v>42</v>
      </c>
      <c r="C246" s="263" t="s">
        <v>501</v>
      </c>
      <c r="D246" s="26" t="s">
        <v>43</v>
      </c>
      <c r="E246" s="26" t="s">
        <v>191</v>
      </c>
      <c r="F246" s="21" t="s">
        <v>179</v>
      </c>
      <c r="G246" s="21" t="s">
        <v>147</v>
      </c>
      <c r="H246" s="85" t="s">
        <v>190</v>
      </c>
      <c r="I246" s="83">
        <v>0.85</v>
      </c>
      <c r="J246" s="29" t="s">
        <v>206</v>
      </c>
      <c r="K246" s="29" t="s">
        <v>206</v>
      </c>
      <c r="L246" s="29" t="s">
        <v>206</v>
      </c>
      <c r="M246" s="29" t="s">
        <v>206</v>
      </c>
      <c r="N246" s="29" t="s">
        <v>206</v>
      </c>
      <c r="O246" s="29" t="s">
        <v>206</v>
      </c>
      <c r="P246" s="29" t="s">
        <v>206</v>
      </c>
      <c r="Q246" s="29" t="s">
        <v>206</v>
      </c>
      <c r="R246" s="29" t="s">
        <v>206</v>
      </c>
      <c r="S246" s="29" t="s">
        <v>206</v>
      </c>
      <c r="T246" s="29" t="s">
        <v>206</v>
      </c>
      <c r="U246" s="29" t="s">
        <v>206</v>
      </c>
      <c r="V246" s="29" t="s">
        <v>206</v>
      </c>
      <c r="W246" s="29" t="s">
        <v>206</v>
      </c>
      <c r="X246" s="29" t="s">
        <v>206</v>
      </c>
      <c r="Y246" s="29" t="s">
        <v>206</v>
      </c>
      <c r="Z246" s="29" t="s">
        <v>206</v>
      </c>
      <c r="AA246" s="29" t="s">
        <v>206</v>
      </c>
      <c r="AB246" s="83">
        <v>0.4</v>
      </c>
      <c r="AC246" s="28" t="s">
        <v>194</v>
      </c>
      <c r="AD246" s="102">
        <v>0.4</v>
      </c>
      <c r="AE246" s="28" t="s">
        <v>194</v>
      </c>
      <c r="AF246" s="135">
        <v>0.4</v>
      </c>
      <c r="AG246" s="28" t="s">
        <v>194</v>
      </c>
      <c r="AH246" s="102">
        <v>0.28999999999999998</v>
      </c>
      <c r="AI246" s="28" t="s">
        <v>194</v>
      </c>
      <c r="AJ246" s="272">
        <v>0.25</v>
      </c>
      <c r="AK246" s="28" t="s">
        <v>194</v>
      </c>
    </row>
    <row r="247" spans="1:37" x14ac:dyDescent="0.25">
      <c r="A247" s="161" t="s">
        <v>502</v>
      </c>
      <c r="B247" s="162" t="s">
        <v>42</v>
      </c>
      <c r="C247" s="263" t="s">
        <v>501</v>
      </c>
      <c r="D247" s="163" t="s">
        <v>43</v>
      </c>
      <c r="E247" s="163" t="s">
        <v>191</v>
      </c>
      <c r="F247" s="161" t="s">
        <v>179</v>
      </c>
      <c r="G247" s="161" t="s">
        <v>147</v>
      </c>
      <c r="H247" s="180" t="s">
        <v>174</v>
      </c>
      <c r="I247" s="181">
        <v>0.2</v>
      </c>
      <c r="J247" s="166" t="s">
        <v>206</v>
      </c>
      <c r="K247" s="166" t="s">
        <v>206</v>
      </c>
      <c r="L247" s="166" t="s">
        <v>206</v>
      </c>
      <c r="M247" s="166" t="s">
        <v>206</v>
      </c>
      <c r="N247" s="166" t="s">
        <v>206</v>
      </c>
      <c r="O247" s="166" t="s">
        <v>206</v>
      </c>
      <c r="P247" s="166" t="s">
        <v>206</v>
      </c>
      <c r="Q247" s="166" t="s">
        <v>206</v>
      </c>
      <c r="R247" s="166" t="s">
        <v>206</v>
      </c>
      <c r="S247" s="166" t="s">
        <v>206</v>
      </c>
      <c r="T247" s="166" t="s">
        <v>206</v>
      </c>
      <c r="U247" s="166" t="s">
        <v>206</v>
      </c>
      <c r="V247" s="166" t="s">
        <v>206</v>
      </c>
      <c r="W247" s="166" t="s">
        <v>206</v>
      </c>
      <c r="X247" s="166" t="s">
        <v>206</v>
      </c>
      <c r="Y247" s="166" t="s">
        <v>206</v>
      </c>
      <c r="Z247" s="166" t="s">
        <v>206</v>
      </c>
      <c r="AA247" s="166" t="s">
        <v>206</v>
      </c>
      <c r="AB247" s="175" t="s">
        <v>154</v>
      </c>
      <c r="AC247" s="165" t="s">
        <v>154</v>
      </c>
      <c r="AD247" s="182" t="s">
        <v>154</v>
      </c>
      <c r="AE247" s="174" t="s">
        <v>154</v>
      </c>
      <c r="AF247" s="147" t="s">
        <v>206</v>
      </c>
      <c r="AG247" s="199" t="s">
        <v>150</v>
      </c>
      <c r="AH247" s="79" t="s">
        <v>154</v>
      </c>
      <c r="AI247" s="94" t="s">
        <v>154</v>
      </c>
      <c r="AJ247" s="274" t="s">
        <v>206</v>
      </c>
      <c r="AK247" s="199" t="s">
        <v>150</v>
      </c>
    </row>
    <row r="248" spans="1:37" x14ac:dyDescent="0.25">
      <c r="A248" s="26" t="s">
        <v>232</v>
      </c>
      <c r="B248" s="5" t="s">
        <v>31</v>
      </c>
      <c r="C248" s="76" t="s">
        <v>39</v>
      </c>
      <c r="D248" s="26" t="s">
        <v>46</v>
      </c>
      <c r="E248" s="26" t="s">
        <v>145</v>
      </c>
      <c r="F248" s="26" t="s">
        <v>146</v>
      </c>
      <c r="G248" s="26" t="s">
        <v>147</v>
      </c>
      <c r="H248" s="26" t="s">
        <v>233</v>
      </c>
      <c r="I248" s="28" t="s">
        <v>234</v>
      </c>
      <c r="J248" s="15" t="s">
        <v>195</v>
      </c>
      <c r="K248" s="15" t="s">
        <v>195</v>
      </c>
      <c r="L248" s="15" t="s">
        <v>195</v>
      </c>
      <c r="M248" s="28" t="s">
        <v>195</v>
      </c>
      <c r="N248" s="15" t="s">
        <v>195</v>
      </c>
      <c r="O248" s="28" t="s">
        <v>195</v>
      </c>
      <c r="P248" s="15" t="s">
        <v>195</v>
      </c>
      <c r="Q248" s="28" t="s">
        <v>195</v>
      </c>
      <c r="R248" s="28" t="s">
        <v>195</v>
      </c>
      <c r="S248" s="28" t="s">
        <v>196</v>
      </c>
      <c r="T248" s="28" t="s">
        <v>195</v>
      </c>
      <c r="U248" s="28" t="s">
        <v>195</v>
      </c>
      <c r="V248" s="15" t="s">
        <v>154</v>
      </c>
      <c r="W248" s="15" t="s">
        <v>154</v>
      </c>
      <c r="X248" s="15" t="s">
        <v>195</v>
      </c>
      <c r="Y248" s="28" t="s">
        <v>195</v>
      </c>
      <c r="Z248" s="28" t="s">
        <v>195</v>
      </c>
      <c r="AA248" s="28" t="s">
        <v>195</v>
      </c>
      <c r="AB248" s="95" t="s">
        <v>195</v>
      </c>
      <c r="AC248" s="90" t="s">
        <v>195</v>
      </c>
      <c r="AD248" s="97" t="s">
        <v>195</v>
      </c>
      <c r="AE248" s="97" t="s">
        <v>195</v>
      </c>
      <c r="AF248" s="95" t="s">
        <v>195</v>
      </c>
      <c r="AG248" s="140" t="s">
        <v>195</v>
      </c>
      <c r="AH248" s="95" t="s">
        <v>195</v>
      </c>
      <c r="AI248" s="97" t="s">
        <v>195</v>
      </c>
      <c r="AJ248" s="95" t="s">
        <v>195</v>
      </c>
      <c r="AK248" s="97" t="s">
        <v>195</v>
      </c>
    </row>
    <row r="249" spans="1:37" x14ac:dyDescent="0.25">
      <c r="A249" s="26" t="s">
        <v>232</v>
      </c>
      <c r="B249" s="5" t="s">
        <v>31</v>
      </c>
      <c r="C249" s="76" t="s">
        <v>39</v>
      </c>
      <c r="D249" s="26" t="s">
        <v>46</v>
      </c>
      <c r="E249" s="26" t="s">
        <v>145</v>
      </c>
      <c r="F249" s="26" t="s">
        <v>146</v>
      </c>
      <c r="G249" s="26" t="s">
        <v>147</v>
      </c>
      <c r="H249" s="26" t="s">
        <v>235</v>
      </c>
      <c r="I249" s="28" t="s">
        <v>234</v>
      </c>
      <c r="J249" s="15" t="s">
        <v>195</v>
      </c>
      <c r="K249" s="15" t="s">
        <v>195</v>
      </c>
      <c r="L249" s="15" t="s">
        <v>195</v>
      </c>
      <c r="M249" s="28" t="s">
        <v>195</v>
      </c>
      <c r="N249" s="15" t="s">
        <v>195</v>
      </c>
      <c r="O249" s="28" t="s">
        <v>195</v>
      </c>
      <c r="P249" s="15" t="s">
        <v>195</v>
      </c>
      <c r="Q249" s="28" t="s">
        <v>195</v>
      </c>
      <c r="R249" s="28" t="s">
        <v>195</v>
      </c>
      <c r="S249" s="28" t="s">
        <v>196</v>
      </c>
      <c r="T249" s="28" t="s">
        <v>195</v>
      </c>
      <c r="U249" s="28" t="s">
        <v>195</v>
      </c>
      <c r="V249" s="15" t="s">
        <v>154</v>
      </c>
      <c r="W249" s="15" t="s">
        <v>154</v>
      </c>
      <c r="X249" s="15" t="s">
        <v>195</v>
      </c>
      <c r="Y249" s="28" t="s">
        <v>195</v>
      </c>
      <c r="Z249" s="28" t="s">
        <v>195</v>
      </c>
      <c r="AA249" s="28" t="s">
        <v>195</v>
      </c>
      <c r="AB249" s="95" t="s">
        <v>195</v>
      </c>
      <c r="AC249" s="90" t="s">
        <v>195</v>
      </c>
      <c r="AD249" s="97" t="s">
        <v>195</v>
      </c>
      <c r="AE249" s="97" t="s">
        <v>195</v>
      </c>
      <c r="AF249" s="95" t="s">
        <v>195</v>
      </c>
      <c r="AG249" s="140" t="s">
        <v>195</v>
      </c>
      <c r="AH249" s="95" t="s">
        <v>195</v>
      </c>
      <c r="AI249" s="97" t="s">
        <v>195</v>
      </c>
      <c r="AJ249" s="95" t="s">
        <v>195</v>
      </c>
      <c r="AK249" s="97" t="s">
        <v>195</v>
      </c>
    </row>
    <row r="250" spans="1:37" x14ac:dyDescent="0.25">
      <c r="A250" s="26" t="s">
        <v>232</v>
      </c>
      <c r="B250" s="5" t="s">
        <v>31</v>
      </c>
      <c r="C250" s="76" t="s">
        <v>39</v>
      </c>
      <c r="D250" s="26" t="s">
        <v>46</v>
      </c>
      <c r="E250" s="26" t="s">
        <v>145</v>
      </c>
      <c r="F250" s="26" t="s">
        <v>146</v>
      </c>
      <c r="G250" s="26" t="s">
        <v>147</v>
      </c>
      <c r="H250" s="26" t="s">
        <v>236</v>
      </c>
      <c r="I250" s="28" t="s">
        <v>234</v>
      </c>
      <c r="J250" s="15" t="s">
        <v>195</v>
      </c>
      <c r="K250" s="15" t="s">
        <v>195</v>
      </c>
      <c r="L250" s="15" t="s">
        <v>195</v>
      </c>
      <c r="M250" s="28" t="s">
        <v>195</v>
      </c>
      <c r="N250" s="15" t="s">
        <v>195</v>
      </c>
      <c r="O250" s="28" t="s">
        <v>195</v>
      </c>
      <c r="P250" s="15" t="s">
        <v>195</v>
      </c>
      <c r="Q250" s="28" t="s">
        <v>195</v>
      </c>
      <c r="R250" s="28" t="s">
        <v>195</v>
      </c>
      <c r="S250" s="28" t="s">
        <v>196</v>
      </c>
      <c r="T250" s="28" t="s">
        <v>195</v>
      </c>
      <c r="U250" s="28" t="s">
        <v>195</v>
      </c>
      <c r="V250" s="15" t="s">
        <v>154</v>
      </c>
      <c r="W250" s="15" t="s">
        <v>154</v>
      </c>
      <c r="X250" s="15" t="s">
        <v>195</v>
      </c>
      <c r="Y250" s="28" t="s">
        <v>195</v>
      </c>
      <c r="Z250" s="28" t="s">
        <v>195</v>
      </c>
      <c r="AA250" s="28" t="s">
        <v>195</v>
      </c>
      <c r="AB250" s="95" t="s">
        <v>195</v>
      </c>
      <c r="AC250" s="90" t="s">
        <v>195</v>
      </c>
      <c r="AD250" s="97" t="s">
        <v>195</v>
      </c>
      <c r="AE250" s="97" t="s">
        <v>195</v>
      </c>
      <c r="AF250" s="95" t="s">
        <v>195</v>
      </c>
      <c r="AG250" s="140" t="s">
        <v>195</v>
      </c>
      <c r="AH250" s="95" t="s">
        <v>195</v>
      </c>
      <c r="AI250" s="97" t="s">
        <v>195</v>
      </c>
      <c r="AJ250" s="95" t="s">
        <v>195</v>
      </c>
      <c r="AK250" s="97" t="s">
        <v>195</v>
      </c>
    </row>
    <row r="251" spans="1:37" x14ac:dyDescent="0.25">
      <c r="A251" s="26" t="s">
        <v>232</v>
      </c>
      <c r="B251" s="5" t="s">
        <v>31</v>
      </c>
      <c r="C251" s="76" t="s">
        <v>39</v>
      </c>
      <c r="D251" s="26" t="s">
        <v>46</v>
      </c>
      <c r="E251" s="26" t="s">
        <v>145</v>
      </c>
      <c r="F251" s="26" t="s">
        <v>146</v>
      </c>
      <c r="G251" s="26" t="s">
        <v>147</v>
      </c>
      <c r="H251" s="26" t="s">
        <v>237</v>
      </c>
      <c r="I251" s="28" t="s">
        <v>238</v>
      </c>
      <c r="J251" s="15" t="s">
        <v>195</v>
      </c>
      <c r="K251" s="15" t="s">
        <v>195</v>
      </c>
      <c r="L251" s="15" t="s">
        <v>195</v>
      </c>
      <c r="M251" s="28" t="s">
        <v>195</v>
      </c>
      <c r="N251" s="15" t="s">
        <v>195</v>
      </c>
      <c r="O251" s="28" t="s">
        <v>195</v>
      </c>
      <c r="P251" s="15" t="s">
        <v>195</v>
      </c>
      <c r="Q251" s="28" t="s">
        <v>195</v>
      </c>
      <c r="R251" s="28" t="s">
        <v>195</v>
      </c>
      <c r="S251" s="28" t="s">
        <v>196</v>
      </c>
      <c r="T251" s="28" t="s">
        <v>195</v>
      </c>
      <c r="U251" s="28" t="s">
        <v>195</v>
      </c>
      <c r="V251" s="15" t="s">
        <v>154</v>
      </c>
      <c r="W251" s="15" t="s">
        <v>154</v>
      </c>
      <c r="X251" s="15" t="s">
        <v>195</v>
      </c>
      <c r="Y251" s="28" t="s">
        <v>195</v>
      </c>
      <c r="Z251" s="28" t="s">
        <v>195</v>
      </c>
      <c r="AA251" s="28" t="s">
        <v>195</v>
      </c>
      <c r="AB251" s="95" t="s">
        <v>195</v>
      </c>
      <c r="AC251" s="90" t="s">
        <v>195</v>
      </c>
      <c r="AD251" s="97" t="s">
        <v>195</v>
      </c>
      <c r="AE251" s="97" t="s">
        <v>195</v>
      </c>
      <c r="AF251" s="95" t="s">
        <v>195</v>
      </c>
      <c r="AG251" s="140" t="s">
        <v>195</v>
      </c>
      <c r="AH251" s="95" t="s">
        <v>195</v>
      </c>
      <c r="AI251" s="97" t="s">
        <v>195</v>
      </c>
      <c r="AJ251" s="95" t="s">
        <v>195</v>
      </c>
      <c r="AK251" s="97" t="s">
        <v>195</v>
      </c>
    </row>
    <row r="252" spans="1:37" x14ac:dyDescent="0.25">
      <c r="A252" s="26" t="s">
        <v>232</v>
      </c>
      <c r="B252" s="5" t="s">
        <v>31</v>
      </c>
      <c r="C252" s="76" t="s">
        <v>39</v>
      </c>
      <c r="D252" s="26" t="s">
        <v>46</v>
      </c>
      <c r="E252" s="26" t="s">
        <v>145</v>
      </c>
      <c r="F252" s="26" t="s">
        <v>146</v>
      </c>
      <c r="G252" s="26" t="s">
        <v>147</v>
      </c>
      <c r="H252" s="26" t="s">
        <v>239</v>
      </c>
      <c r="I252" s="28" t="s">
        <v>240</v>
      </c>
      <c r="J252" s="15" t="s">
        <v>195</v>
      </c>
      <c r="K252" s="15" t="s">
        <v>195</v>
      </c>
      <c r="L252" s="15" t="s">
        <v>195</v>
      </c>
      <c r="M252" s="28" t="s">
        <v>195</v>
      </c>
      <c r="N252" s="15" t="s">
        <v>195</v>
      </c>
      <c r="O252" s="28" t="s">
        <v>195</v>
      </c>
      <c r="P252" s="15" t="s">
        <v>195</v>
      </c>
      <c r="Q252" s="28" t="s">
        <v>195</v>
      </c>
      <c r="R252" s="28" t="s">
        <v>195</v>
      </c>
      <c r="S252" s="28" t="s">
        <v>196</v>
      </c>
      <c r="T252" s="28" t="s">
        <v>195</v>
      </c>
      <c r="U252" s="28" t="s">
        <v>195</v>
      </c>
      <c r="V252" s="15" t="s">
        <v>154</v>
      </c>
      <c r="W252" s="15" t="s">
        <v>154</v>
      </c>
      <c r="X252" s="15" t="s">
        <v>195</v>
      </c>
      <c r="Y252" s="28" t="s">
        <v>195</v>
      </c>
      <c r="Z252" s="28" t="s">
        <v>195</v>
      </c>
      <c r="AA252" s="28" t="s">
        <v>195</v>
      </c>
      <c r="AB252" s="95" t="s">
        <v>195</v>
      </c>
      <c r="AC252" s="90" t="s">
        <v>195</v>
      </c>
      <c r="AD252" s="97" t="s">
        <v>195</v>
      </c>
      <c r="AE252" s="97" t="s">
        <v>195</v>
      </c>
      <c r="AF252" s="95" t="s">
        <v>195</v>
      </c>
      <c r="AG252" s="140" t="s">
        <v>195</v>
      </c>
      <c r="AH252" s="95" t="s">
        <v>195</v>
      </c>
      <c r="AI252" s="97" t="s">
        <v>195</v>
      </c>
      <c r="AJ252" s="95" t="s">
        <v>195</v>
      </c>
      <c r="AK252" s="97" t="s">
        <v>195</v>
      </c>
    </row>
    <row r="253" spans="1:37" x14ac:dyDescent="0.25">
      <c r="A253" s="26" t="s">
        <v>232</v>
      </c>
      <c r="B253" s="5" t="s">
        <v>31</v>
      </c>
      <c r="C253" s="76" t="s">
        <v>39</v>
      </c>
      <c r="D253" s="26" t="s">
        <v>46</v>
      </c>
      <c r="E253" s="26" t="s">
        <v>145</v>
      </c>
      <c r="F253" s="26" t="s">
        <v>146</v>
      </c>
      <c r="G253" s="26" t="s">
        <v>147</v>
      </c>
      <c r="H253" s="26" t="s">
        <v>241</v>
      </c>
      <c r="I253" s="28" t="s">
        <v>242</v>
      </c>
      <c r="J253" s="15" t="s">
        <v>195</v>
      </c>
      <c r="K253" s="15" t="s">
        <v>195</v>
      </c>
      <c r="L253" s="15" t="s">
        <v>195</v>
      </c>
      <c r="M253" s="28" t="s">
        <v>195</v>
      </c>
      <c r="N253" s="15" t="s">
        <v>195</v>
      </c>
      <c r="O253" s="28" t="s">
        <v>195</v>
      </c>
      <c r="P253" s="15" t="s">
        <v>195</v>
      </c>
      <c r="Q253" s="28" t="s">
        <v>195</v>
      </c>
      <c r="R253" s="28" t="s">
        <v>195</v>
      </c>
      <c r="S253" s="28" t="s">
        <v>196</v>
      </c>
      <c r="T253" s="28" t="s">
        <v>195</v>
      </c>
      <c r="U253" s="28" t="s">
        <v>195</v>
      </c>
      <c r="V253" s="15" t="s">
        <v>154</v>
      </c>
      <c r="W253" s="15" t="s">
        <v>154</v>
      </c>
      <c r="X253" s="15" t="s">
        <v>195</v>
      </c>
      <c r="Y253" s="28" t="s">
        <v>195</v>
      </c>
      <c r="Z253" s="28" t="s">
        <v>195</v>
      </c>
      <c r="AA253" s="28" t="s">
        <v>195</v>
      </c>
      <c r="AB253" s="95" t="s">
        <v>195</v>
      </c>
      <c r="AC253" s="90" t="s">
        <v>195</v>
      </c>
      <c r="AD253" s="97" t="s">
        <v>195</v>
      </c>
      <c r="AE253" s="97" t="s">
        <v>195</v>
      </c>
      <c r="AF253" s="95" t="s">
        <v>195</v>
      </c>
      <c r="AG253" s="140" t="s">
        <v>195</v>
      </c>
      <c r="AH253" s="95" t="s">
        <v>195</v>
      </c>
      <c r="AI253" s="97" t="s">
        <v>195</v>
      </c>
      <c r="AJ253" s="95" t="s">
        <v>195</v>
      </c>
      <c r="AK253" s="97" t="s">
        <v>195</v>
      </c>
    </row>
    <row r="254" spans="1:37" x14ac:dyDescent="0.25">
      <c r="A254" s="21" t="s">
        <v>243</v>
      </c>
      <c r="B254" s="5" t="s">
        <v>31</v>
      </c>
      <c r="C254" s="76" t="s">
        <v>39</v>
      </c>
      <c r="D254" s="26" t="s">
        <v>46</v>
      </c>
      <c r="E254" s="26" t="s">
        <v>145</v>
      </c>
      <c r="F254" s="21" t="s">
        <v>179</v>
      </c>
      <c r="G254" s="21" t="s">
        <v>147</v>
      </c>
      <c r="H254" s="27" t="s">
        <v>188</v>
      </c>
      <c r="I254" s="11">
        <v>0.2</v>
      </c>
      <c r="J254" s="11" t="s">
        <v>195</v>
      </c>
      <c r="K254" s="11" t="s">
        <v>195</v>
      </c>
      <c r="L254" s="11" t="s">
        <v>195</v>
      </c>
      <c r="M254" s="28" t="s">
        <v>195</v>
      </c>
      <c r="N254" s="11" t="s">
        <v>195</v>
      </c>
      <c r="O254" s="28" t="s">
        <v>195</v>
      </c>
      <c r="P254" s="11" t="s">
        <v>195</v>
      </c>
      <c r="Q254" s="28" t="s">
        <v>195</v>
      </c>
      <c r="R254" s="28" t="s">
        <v>195</v>
      </c>
      <c r="S254" s="28" t="s">
        <v>196</v>
      </c>
      <c r="T254" s="15" t="s">
        <v>195</v>
      </c>
      <c r="U254" s="28" t="s">
        <v>195</v>
      </c>
      <c r="V254" s="15" t="s">
        <v>154</v>
      </c>
      <c r="W254" s="15" t="s">
        <v>154</v>
      </c>
      <c r="X254" s="15" t="s">
        <v>195</v>
      </c>
      <c r="Y254" s="28" t="s">
        <v>195</v>
      </c>
      <c r="Z254" s="28" t="s">
        <v>195</v>
      </c>
      <c r="AA254" s="28" t="s">
        <v>195</v>
      </c>
      <c r="AB254" s="95" t="s">
        <v>195</v>
      </c>
      <c r="AC254" s="90" t="s">
        <v>195</v>
      </c>
      <c r="AD254" s="97" t="s">
        <v>195</v>
      </c>
      <c r="AE254" s="97" t="s">
        <v>195</v>
      </c>
      <c r="AF254" s="95" t="s">
        <v>195</v>
      </c>
      <c r="AG254" s="140" t="s">
        <v>195</v>
      </c>
      <c r="AH254" s="95" t="s">
        <v>195</v>
      </c>
      <c r="AI254" s="97" t="s">
        <v>195</v>
      </c>
      <c r="AJ254" s="272" t="s">
        <v>195</v>
      </c>
      <c r="AK254" s="97" t="s">
        <v>195</v>
      </c>
    </row>
    <row r="255" spans="1:37" x14ac:dyDescent="0.25">
      <c r="A255" s="21" t="s">
        <v>243</v>
      </c>
      <c r="B255" s="5" t="s">
        <v>31</v>
      </c>
      <c r="C255" s="76" t="s">
        <v>39</v>
      </c>
      <c r="D255" s="26" t="s">
        <v>46</v>
      </c>
      <c r="E255" s="26" t="s">
        <v>145</v>
      </c>
      <c r="F255" s="21" t="s">
        <v>179</v>
      </c>
      <c r="G255" s="21" t="s">
        <v>147</v>
      </c>
      <c r="H255" s="21" t="s">
        <v>189</v>
      </c>
      <c r="I255" s="11">
        <v>0.1</v>
      </c>
      <c r="J255" s="11" t="s">
        <v>195</v>
      </c>
      <c r="K255" s="11" t="s">
        <v>195</v>
      </c>
      <c r="L255" s="11" t="s">
        <v>195</v>
      </c>
      <c r="M255" s="28" t="s">
        <v>195</v>
      </c>
      <c r="N255" s="11" t="s">
        <v>195</v>
      </c>
      <c r="O255" s="28" t="s">
        <v>195</v>
      </c>
      <c r="P255" s="11" t="s">
        <v>195</v>
      </c>
      <c r="Q255" s="28" t="s">
        <v>195</v>
      </c>
      <c r="R255" s="28" t="s">
        <v>195</v>
      </c>
      <c r="S255" s="28" t="s">
        <v>196</v>
      </c>
      <c r="T255" s="29">
        <v>7.0000000000000007E-2</v>
      </c>
      <c r="U255" s="28" t="s">
        <v>150</v>
      </c>
      <c r="V255" s="15" t="s">
        <v>154</v>
      </c>
      <c r="W255" s="15" t="s">
        <v>154</v>
      </c>
      <c r="X255" s="15" t="s">
        <v>195</v>
      </c>
      <c r="Y255" s="28" t="s">
        <v>195</v>
      </c>
      <c r="Z255" s="28" t="s">
        <v>195</v>
      </c>
      <c r="AA255" s="28" t="s">
        <v>195</v>
      </c>
      <c r="AB255" s="95" t="s">
        <v>195</v>
      </c>
      <c r="AC255" s="90" t="s">
        <v>195</v>
      </c>
      <c r="AD255" s="97" t="s">
        <v>195</v>
      </c>
      <c r="AE255" s="126" t="s">
        <v>195</v>
      </c>
      <c r="AF255" s="95" t="s">
        <v>195</v>
      </c>
      <c r="AG255" s="140" t="s">
        <v>195</v>
      </c>
      <c r="AH255" s="95" t="s">
        <v>195</v>
      </c>
      <c r="AI255" s="94" t="s">
        <v>195</v>
      </c>
      <c r="AJ255" s="272" t="s">
        <v>195</v>
      </c>
      <c r="AK255" s="94" t="s">
        <v>195</v>
      </c>
    </row>
    <row r="256" spans="1:37" x14ac:dyDescent="0.25">
      <c r="A256" s="201" t="s">
        <v>255</v>
      </c>
      <c r="B256" s="202" t="s">
        <v>31</v>
      </c>
      <c r="C256" s="265" t="s">
        <v>39</v>
      </c>
      <c r="D256" s="203" t="s">
        <v>46</v>
      </c>
      <c r="E256" s="203" t="s">
        <v>145</v>
      </c>
      <c r="F256" s="203" t="s">
        <v>179</v>
      </c>
      <c r="G256" s="203" t="s">
        <v>147</v>
      </c>
      <c r="H256" s="207" t="s">
        <v>180</v>
      </c>
      <c r="I256" s="199" t="s">
        <v>208</v>
      </c>
      <c r="J256" s="229">
        <v>115</v>
      </c>
      <c r="K256" s="230" t="s">
        <v>194</v>
      </c>
      <c r="L256" s="230">
        <v>110</v>
      </c>
      <c r="M256" s="230" t="s">
        <v>194</v>
      </c>
      <c r="N256" s="230">
        <v>93</v>
      </c>
      <c r="O256" s="230" t="s">
        <v>194</v>
      </c>
      <c r="P256" s="230">
        <v>98</v>
      </c>
      <c r="Q256" s="230" t="s">
        <v>194</v>
      </c>
      <c r="R256" s="231" t="s">
        <v>154</v>
      </c>
      <c r="S256" s="232" t="s">
        <v>154</v>
      </c>
      <c r="T256" s="230">
        <v>115</v>
      </c>
      <c r="U256" s="230" t="s">
        <v>194</v>
      </c>
      <c r="V256" s="233">
        <v>92</v>
      </c>
      <c r="W256" s="230" t="s">
        <v>194</v>
      </c>
      <c r="X256" s="230" t="s">
        <v>195</v>
      </c>
      <c r="Y256" s="230" t="s">
        <v>195</v>
      </c>
      <c r="Z256" s="234">
        <v>83</v>
      </c>
      <c r="AA256" s="199" t="s">
        <v>150</v>
      </c>
      <c r="AB256" s="206">
        <v>106</v>
      </c>
      <c r="AC256" s="199" t="s">
        <v>194</v>
      </c>
      <c r="AD256" s="160">
        <v>105</v>
      </c>
      <c r="AE256" s="199" t="s">
        <v>194</v>
      </c>
      <c r="AF256" s="253">
        <v>102</v>
      </c>
      <c r="AG256" s="28" t="s">
        <v>194</v>
      </c>
      <c r="AH256" s="97">
        <v>121</v>
      </c>
      <c r="AI256" s="28" t="s">
        <v>194</v>
      </c>
      <c r="AJ256" s="284">
        <v>103</v>
      </c>
      <c r="AK256" s="28" t="s">
        <v>194</v>
      </c>
    </row>
    <row r="257" spans="1:37" x14ac:dyDescent="0.25">
      <c r="A257" s="161" t="s">
        <v>255</v>
      </c>
      <c r="B257" s="162" t="s">
        <v>31</v>
      </c>
      <c r="C257" s="264" t="s">
        <v>39</v>
      </c>
      <c r="D257" s="163" t="s">
        <v>46</v>
      </c>
      <c r="E257" s="163" t="s">
        <v>145</v>
      </c>
      <c r="F257" s="163" t="s">
        <v>179</v>
      </c>
      <c r="G257" s="163" t="s">
        <v>147</v>
      </c>
      <c r="H257" s="164" t="s">
        <v>197</v>
      </c>
      <c r="I257" s="167" t="s">
        <v>211</v>
      </c>
      <c r="J257" s="171">
        <v>18</v>
      </c>
      <c r="K257" s="167" t="s">
        <v>150</v>
      </c>
      <c r="L257" s="167" t="s">
        <v>154</v>
      </c>
      <c r="M257" s="165" t="s">
        <v>154</v>
      </c>
      <c r="N257" s="183">
        <v>25</v>
      </c>
      <c r="O257" s="167" t="s">
        <v>150</v>
      </c>
      <c r="P257" s="183">
        <v>19</v>
      </c>
      <c r="Q257" s="167" t="s">
        <v>150</v>
      </c>
      <c r="R257" s="167">
        <v>44</v>
      </c>
      <c r="S257" s="167" t="s">
        <v>150</v>
      </c>
      <c r="T257" s="167">
        <v>18</v>
      </c>
      <c r="U257" s="167" t="s">
        <v>150</v>
      </c>
      <c r="V257" s="184">
        <v>14</v>
      </c>
      <c r="W257" s="167" t="s">
        <v>150</v>
      </c>
      <c r="X257" s="167" t="s">
        <v>195</v>
      </c>
      <c r="Y257" s="167" t="s">
        <v>195</v>
      </c>
      <c r="Z257" s="184">
        <v>12</v>
      </c>
      <c r="AA257" s="167" t="s">
        <v>150</v>
      </c>
      <c r="AB257" s="169">
        <v>51</v>
      </c>
      <c r="AC257" s="167" t="s">
        <v>194</v>
      </c>
      <c r="AD257" s="156">
        <v>17</v>
      </c>
      <c r="AE257" s="167" t="s">
        <v>150</v>
      </c>
      <c r="AF257" s="95">
        <v>37</v>
      </c>
      <c r="AG257" s="199" t="s">
        <v>150</v>
      </c>
      <c r="AH257" s="97">
        <v>29</v>
      </c>
      <c r="AI257" s="199" t="s">
        <v>150</v>
      </c>
      <c r="AJ257" s="285">
        <v>27</v>
      </c>
      <c r="AK257" s="199" t="s">
        <v>150</v>
      </c>
    </row>
    <row r="258" spans="1:37" x14ac:dyDescent="0.25">
      <c r="A258" s="26" t="s">
        <v>244</v>
      </c>
      <c r="B258" s="5" t="s">
        <v>31</v>
      </c>
      <c r="C258" s="76" t="s">
        <v>39</v>
      </c>
      <c r="D258" s="26" t="s">
        <v>46</v>
      </c>
      <c r="E258" s="26" t="s">
        <v>145</v>
      </c>
      <c r="F258" s="26" t="s">
        <v>146</v>
      </c>
      <c r="G258" s="26" t="s">
        <v>147</v>
      </c>
      <c r="H258" s="26" t="s">
        <v>233</v>
      </c>
      <c r="I258" s="28" t="s">
        <v>245</v>
      </c>
      <c r="J258" s="14" t="s">
        <v>195</v>
      </c>
      <c r="K258" s="14" t="s">
        <v>195</v>
      </c>
      <c r="L258" s="14" t="s">
        <v>195</v>
      </c>
      <c r="M258" s="14" t="s">
        <v>195</v>
      </c>
      <c r="N258" s="28" t="s">
        <v>195</v>
      </c>
      <c r="O258" s="28" t="s">
        <v>195</v>
      </c>
      <c r="P258" s="28" t="s">
        <v>195</v>
      </c>
      <c r="Q258" s="28" t="s">
        <v>195</v>
      </c>
      <c r="R258" s="28" t="s">
        <v>195</v>
      </c>
      <c r="S258" s="28" t="s">
        <v>196</v>
      </c>
      <c r="T258" s="28" t="s">
        <v>246</v>
      </c>
      <c r="U258" s="28" t="s">
        <v>150</v>
      </c>
      <c r="V258" s="15" t="s">
        <v>154</v>
      </c>
      <c r="W258" s="15" t="s">
        <v>154</v>
      </c>
      <c r="X258" s="15" t="s">
        <v>195</v>
      </c>
      <c r="Y258" s="28" t="s">
        <v>195</v>
      </c>
      <c r="Z258" s="28" t="s">
        <v>195</v>
      </c>
      <c r="AA258" s="28" t="s">
        <v>195</v>
      </c>
      <c r="AB258" s="95" t="s">
        <v>195</v>
      </c>
      <c r="AC258" s="90" t="s">
        <v>195</v>
      </c>
      <c r="AD258" s="97" t="s">
        <v>195</v>
      </c>
      <c r="AE258" s="97" t="s">
        <v>195</v>
      </c>
      <c r="AF258" s="95" t="s">
        <v>195</v>
      </c>
      <c r="AG258" s="140" t="s">
        <v>195</v>
      </c>
      <c r="AH258" s="95" t="s">
        <v>195</v>
      </c>
      <c r="AI258" s="97" t="s">
        <v>195</v>
      </c>
      <c r="AJ258" s="272" t="s">
        <v>195</v>
      </c>
      <c r="AK258" s="97" t="s">
        <v>195</v>
      </c>
    </row>
    <row r="259" spans="1:37" x14ac:dyDescent="0.25">
      <c r="A259" s="26" t="s">
        <v>244</v>
      </c>
      <c r="B259" s="5" t="s">
        <v>31</v>
      </c>
      <c r="C259" s="76" t="s">
        <v>39</v>
      </c>
      <c r="D259" s="26" t="s">
        <v>46</v>
      </c>
      <c r="E259" s="26" t="s">
        <v>145</v>
      </c>
      <c r="F259" s="26" t="s">
        <v>146</v>
      </c>
      <c r="G259" s="26" t="s">
        <v>147</v>
      </c>
      <c r="H259" s="26" t="s">
        <v>235</v>
      </c>
      <c r="I259" s="28" t="s">
        <v>245</v>
      </c>
      <c r="J259" s="14" t="s">
        <v>195</v>
      </c>
      <c r="K259" s="14" t="s">
        <v>195</v>
      </c>
      <c r="L259" s="14" t="s">
        <v>195</v>
      </c>
      <c r="M259" s="28" t="s">
        <v>195</v>
      </c>
      <c r="N259" s="28" t="s">
        <v>195</v>
      </c>
      <c r="O259" s="28" t="s">
        <v>195</v>
      </c>
      <c r="P259" s="28" t="s">
        <v>195</v>
      </c>
      <c r="Q259" s="28" t="s">
        <v>195</v>
      </c>
      <c r="R259" s="28" t="s">
        <v>195</v>
      </c>
      <c r="S259" s="28" t="s">
        <v>196</v>
      </c>
      <c r="T259" s="28" t="s">
        <v>246</v>
      </c>
      <c r="U259" s="28" t="s">
        <v>150</v>
      </c>
      <c r="V259" s="15" t="s">
        <v>154</v>
      </c>
      <c r="W259" s="15" t="s">
        <v>154</v>
      </c>
      <c r="X259" s="15" t="s">
        <v>195</v>
      </c>
      <c r="Y259" s="28" t="s">
        <v>195</v>
      </c>
      <c r="Z259" s="28" t="s">
        <v>195</v>
      </c>
      <c r="AA259" s="28" t="s">
        <v>195</v>
      </c>
      <c r="AB259" s="95" t="s">
        <v>195</v>
      </c>
      <c r="AC259" s="90" t="s">
        <v>195</v>
      </c>
      <c r="AD259" s="97" t="s">
        <v>195</v>
      </c>
      <c r="AE259" s="97" t="s">
        <v>195</v>
      </c>
      <c r="AF259" s="95" t="s">
        <v>195</v>
      </c>
      <c r="AG259" s="140" t="s">
        <v>195</v>
      </c>
      <c r="AH259" s="95" t="s">
        <v>195</v>
      </c>
      <c r="AI259" s="97" t="s">
        <v>195</v>
      </c>
      <c r="AJ259" s="272" t="s">
        <v>195</v>
      </c>
      <c r="AK259" s="97" t="s">
        <v>195</v>
      </c>
    </row>
    <row r="260" spans="1:37" x14ac:dyDescent="0.25">
      <c r="A260" s="26" t="s">
        <v>244</v>
      </c>
      <c r="B260" s="5" t="s">
        <v>31</v>
      </c>
      <c r="C260" s="76" t="s">
        <v>39</v>
      </c>
      <c r="D260" s="26" t="s">
        <v>46</v>
      </c>
      <c r="E260" s="26" t="s">
        <v>145</v>
      </c>
      <c r="F260" s="26" t="s">
        <v>146</v>
      </c>
      <c r="G260" s="26" t="s">
        <v>147</v>
      </c>
      <c r="H260" s="26" t="s">
        <v>236</v>
      </c>
      <c r="I260" s="28" t="s">
        <v>245</v>
      </c>
      <c r="J260" s="14" t="s">
        <v>195</v>
      </c>
      <c r="K260" s="14" t="s">
        <v>195</v>
      </c>
      <c r="L260" s="14" t="s">
        <v>195</v>
      </c>
      <c r="M260" s="28" t="s">
        <v>195</v>
      </c>
      <c r="N260" s="28" t="s">
        <v>195</v>
      </c>
      <c r="O260" s="28" t="s">
        <v>195</v>
      </c>
      <c r="P260" s="28" t="s">
        <v>195</v>
      </c>
      <c r="Q260" s="28" t="s">
        <v>195</v>
      </c>
      <c r="R260" s="28" t="s">
        <v>195</v>
      </c>
      <c r="S260" s="28" t="s">
        <v>196</v>
      </c>
      <c r="T260" s="28" t="s">
        <v>246</v>
      </c>
      <c r="U260" s="28" t="s">
        <v>150</v>
      </c>
      <c r="V260" s="15" t="s">
        <v>154</v>
      </c>
      <c r="W260" s="15" t="s">
        <v>154</v>
      </c>
      <c r="X260" s="15" t="s">
        <v>195</v>
      </c>
      <c r="Y260" s="28" t="s">
        <v>195</v>
      </c>
      <c r="Z260" s="28" t="s">
        <v>195</v>
      </c>
      <c r="AA260" s="28" t="s">
        <v>195</v>
      </c>
      <c r="AB260" s="95" t="s">
        <v>195</v>
      </c>
      <c r="AC260" s="90" t="s">
        <v>195</v>
      </c>
      <c r="AD260" s="97" t="s">
        <v>195</v>
      </c>
      <c r="AE260" s="97" t="s">
        <v>195</v>
      </c>
      <c r="AF260" s="95" t="s">
        <v>195</v>
      </c>
      <c r="AG260" s="140" t="s">
        <v>195</v>
      </c>
      <c r="AH260" s="95" t="s">
        <v>195</v>
      </c>
      <c r="AI260" s="97" t="s">
        <v>195</v>
      </c>
      <c r="AJ260" s="272" t="s">
        <v>195</v>
      </c>
      <c r="AK260" s="97" t="s">
        <v>195</v>
      </c>
    </row>
    <row r="261" spans="1:37" x14ac:dyDescent="0.25">
      <c r="A261" s="26" t="s">
        <v>244</v>
      </c>
      <c r="B261" s="5" t="s">
        <v>31</v>
      </c>
      <c r="C261" s="76" t="s">
        <v>39</v>
      </c>
      <c r="D261" s="26" t="s">
        <v>46</v>
      </c>
      <c r="E261" s="26" t="s">
        <v>145</v>
      </c>
      <c r="F261" s="26" t="s">
        <v>146</v>
      </c>
      <c r="G261" s="26" t="s">
        <v>147</v>
      </c>
      <c r="H261" s="26" t="s">
        <v>237</v>
      </c>
      <c r="I261" s="28" t="s">
        <v>245</v>
      </c>
      <c r="J261" s="14" t="s">
        <v>195</v>
      </c>
      <c r="K261" s="14" t="s">
        <v>195</v>
      </c>
      <c r="L261" s="14" t="s">
        <v>195</v>
      </c>
      <c r="M261" s="28" t="s">
        <v>195</v>
      </c>
      <c r="N261" s="28" t="s">
        <v>195</v>
      </c>
      <c r="O261" s="28" t="s">
        <v>195</v>
      </c>
      <c r="P261" s="28" t="s">
        <v>195</v>
      </c>
      <c r="Q261" s="28" t="s">
        <v>195</v>
      </c>
      <c r="R261" s="28" t="s">
        <v>195</v>
      </c>
      <c r="S261" s="28" t="s">
        <v>196</v>
      </c>
      <c r="T261" s="28">
        <v>1</v>
      </c>
      <c r="U261" s="28" t="s">
        <v>150</v>
      </c>
      <c r="V261" s="15" t="s">
        <v>154</v>
      </c>
      <c r="W261" s="15" t="s">
        <v>154</v>
      </c>
      <c r="X261" s="15" t="s">
        <v>195</v>
      </c>
      <c r="Y261" s="28" t="s">
        <v>195</v>
      </c>
      <c r="Z261" s="28" t="s">
        <v>195</v>
      </c>
      <c r="AA261" s="28" t="s">
        <v>195</v>
      </c>
      <c r="AB261" s="95" t="s">
        <v>195</v>
      </c>
      <c r="AC261" s="90" t="s">
        <v>195</v>
      </c>
      <c r="AD261" s="97" t="s">
        <v>195</v>
      </c>
      <c r="AE261" s="97" t="s">
        <v>195</v>
      </c>
      <c r="AF261" s="95" t="s">
        <v>195</v>
      </c>
      <c r="AG261" s="140" t="s">
        <v>195</v>
      </c>
      <c r="AH261" s="95" t="s">
        <v>195</v>
      </c>
      <c r="AI261" s="97" t="s">
        <v>195</v>
      </c>
      <c r="AJ261" s="272" t="s">
        <v>195</v>
      </c>
      <c r="AK261" s="97" t="s">
        <v>195</v>
      </c>
    </row>
    <row r="262" spans="1:37" x14ac:dyDescent="0.25">
      <c r="A262" s="26" t="s">
        <v>244</v>
      </c>
      <c r="B262" s="5" t="s">
        <v>31</v>
      </c>
      <c r="C262" s="76" t="s">
        <v>39</v>
      </c>
      <c r="D262" s="26" t="s">
        <v>46</v>
      </c>
      <c r="E262" s="26" t="s">
        <v>145</v>
      </c>
      <c r="F262" s="26" t="s">
        <v>146</v>
      </c>
      <c r="G262" s="26" t="s">
        <v>147</v>
      </c>
      <c r="H262" s="26" t="s">
        <v>247</v>
      </c>
      <c r="I262" s="28" t="s">
        <v>248</v>
      </c>
      <c r="J262" s="14" t="s">
        <v>195</v>
      </c>
      <c r="K262" s="14" t="s">
        <v>195</v>
      </c>
      <c r="L262" s="14" t="s">
        <v>195</v>
      </c>
      <c r="M262" s="28" t="s">
        <v>195</v>
      </c>
      <c r="N262" s="28" t="s">
        <v>195</v>
      </c>
      <c r="O262" s="28" t="s">
        <v>195</v>
      </c>
      <c r="P262" s="28" t="s">
        <v>195</v>
      </c>
      <c r="Q262" s="28" t="s">
        <v>195</v>
      </c>
      <c r="R262" s="28" t="s">
        <v>195</v>
      </c>
      <c r="S262" s="28" t="s">
        <v>196</v>
      </c>
      <c r="T262" s="28" t="s">
        <v>249</v>
      </c>
      <c r="U262" s="28" t="s">
        <v>194</v>
      </c>
      <c r="V262" s="15" t="s">
        <v>154</v>
      </c>
      <c r="W262" s="15" t="s">
        <v>154</v>
      </c>
      <c r="X262" s="15" t="s">
        <v>195</v>
      </c>
      <c r="Y262" s="28" t="s">
        <v>195</v>
      </c>
      <c r="Z262" s="28" t="s">
        <v>195</v>
      </c>
      <c r="AA262" s="28" t="s">
        <v>195</v>
      </c>
      <c r="AB262" s="95" t="s">
        <v>195</v>
      </c>
      <c r="AC262" s="90" t="s">
        <v>195</v>
      </c>
      <c r="AD262" s="97" t="s">
        <v>195</v>
      </c>
      <c r="AE262" s="97" t="s">
        <v>195</v>
      </c>
      <c r="AF262" s="95" t="s">
        <v>195</v>
      </c>
      <c r="AG262" s="140" t="s">
        <v>195</v>
      </c>
      <c r="AH262" s="95" t="s">
        <v>195</v>
      </c>
      <c r="AI262" s="97" t="s">
        <v>195</v>
      </c>
      <c r="AJ262" s="272" t="s">
        <v>195</v>
      </c>
      <c r="AK262" s="97" t="s">
        <v>195</v>
      </c>
    </row>
    <row r="263" spans="1:37" x14ac:dyDescent="0.25">
      <c r="A263" s="26" t="s">
        <v>244</v>
      </c>
      <c r="B263" s="5" t="s">
        <v>31</v>
      </c>
      <c r="C263" s="76" t="s">
        <v>39</v>
      </c>
      <c r="D263" s="26" t="s">
        <v>46</v>
      </c>
      <c r="E263" s="26" t="s">
        <v>145</v>
      </c>
      <c r="F263" s="26" t="s">
        <v>146</v>
      </c>
      <c r="G263" s="26" t="s">
        <v>147</v>
      </c>
      <c r="H263" s="26" t="s">
        <v>250</v>
      </c>
      <c r="I263" s="28" t="s">
        <v>251</v>
      </c>
      <c r="J263" s="14" t="s">
        <v>195</v>
      </c>
      <c r="K263" s="14" t="s">
        <v>195</v>
      </c>
      <c r="L263" s="14" t="s">
        <v>195</v>
      </c>
      <c r="M263" s="28" t="s">
        <v>195</v>
      </c>
      <c r="N263" s="28" t="s">
        <v>195</v>
      </c>
      <c r="O263" s="28" t="s">
        <v>195</v>
      </c>
      <c r="P263" s="28" t="s">
        <v>195</v>
      </c>
      <c r="Q263" s="28" t="s">
        <v>195</v>
      </c>
      <c r="R263" s="28" t="s">
        <v>195</v>
      </c>
      <c r="S263" s="28" t="s">
        <v>196</v>
      </c>
      <c r="T263" s="28">
        <v>29</v>
      </c>
      <c r="U263" s="28" t="s">
        <v>150</v>
      </c>
      <c r="V263" s="15" t="s">
        <v>154</v>
      </c>
      <c r="W263" s="15" t="s">
        <v>154</v>
      </c>
      <c r="X263" s="15" t="s">
        <v>195</v>
      </c>
      <c r="Y263" s="28" t="s">
        <v>195</v>
      </c>
      <c r="Z263" s="28" t="s">
        <v>195</v>
      </c>
      <c r="AA263" s="28" t="s">
        <v>195</v>
      </c>
      <c r="AB263" s="95" t="s">
        <v>195</v>
      </c>
      <c r="AC263" s="90" t="s">
        <v>195</v>
      </c>
      <c r="AD263" s="97" t="s">
        <v>195</v>
      </c>
      <c r="AE263" s="97" t="s">
        <v>195</v>
      </c>
      <c r="AF263" s="95" t="s">
        <v>195</v>
      </c>
      <c r="AG263" s="140" t="s">
        <v>195</v>
      </c>
      <c r="AH263" s="95" t="s">
        <v>195</v>
      </c>
      <c r="AI263" s="97" t="s">
        <v>195</v>
      </c>
      <c r="AJ263" s="272" t="s">
        <v>195</v>
      </c>
      <c r="AK263" s="97" t="s">
        <v>195</v>
      </c>
    </row>
    <row r="264" spans="1:37" x14ac:dyDescent="0.25">
      <c r="A264" s="26" t="s">
        <v>244</v>
      </c>
      <c r="B264" s="5" t="s">
        <v>31</v>
      </c>
      <c r="C264" s="76" t="s">
        <v>39</v>
      </c>
      <c r="D264" s="26" t="s">
        <v>46</v>
      </c>
      <c r="E264" s="26" t="s">
        <v>145</v>
      </c>
      <c r="F264" s="26" t="s">
        <v>146</v>
      </c>
      <c r="G264" s="26" t="s">
        <v>147</v>
      </c>
      <c r="H264" s="26" t="s">
        <v>241</v>
      </c>
      <c r="I264" s="28" t="s">
        <v>252</v>
      </c>
      <c r="J264" s="14" t="s">
        <v>195</v>
      </c>
      <c r="K264" s="14" t="s">
        <v>195</v>
      </c>
      <c r="L264" s="14" t="s">
        <v>195</v>
      </c>
      <c r="M264" s="28" t="s">
        <v>195</v>
      </c>
      <c r="N264" s="28" t="s">
        <v>195</v>
      </c>
      <c r="O264" s="28" t="s">
        <v>195</v>
      </c>
      <c r="P264" s="28" t="s">
        <v>195</v>
      </c>
      <c r="Q264" s="28" t="s">
        <v>195</v>
      </c>
      <c r="R264" s="28" t="s">
        <v>195</v>
      </c>
      <c r="S264" s="28" t="s">
        <v>196</v>
      </c>
      <c r="T264" s="28">
        <v>11</v>
      </c>
      <c r="U264" s="28" t="s">
        <v>150</v>
      </c>
      <c r="V264" s="15" t="s">
        <v>154</v>
      </c>
      <c r="W264" s="15" t="s">
        <v>154</v>
      </c>
      <c r="X264" s="15" t="s">
        <v>195</v>
      </c>
      <c r="Y264" s="28" t="s">
        <v>195</v>
      </c>
      <c r="Z264" s="28" t="s">
        <v>195</v>
      </c>
      <c r="AA264" s="28" t="s">
        <v>195</v>
      </c>
      <c r="AB264" s="95" t="s">
        <v>195</v>
      </c>
      <c r="AC264" s="90" t="s">
        <v>195</v>
      </c>
      <c r="AD264" s="97" t="s">
        <v>195</v>
      </c>
      <c r="AE264" s="97" t="s">
        <v>195</v>
      </c>
      <c r="AF264" s="95" t="s">
        <v>195</v>
      </c>
      <c r="AG264" s="140" t="s">
        <v>195</v>
      </c>
      <c r="AH264" s="95" t="s">
        <v>195</v>
      </c>
      <c r="AI264" s="97" t="s">
        <v>195</v>
      </c>
      <c r="AJ264" s="272" t="s">
        <v>195</v>
      </c>
      <c r="AK264" s="97" t="s">
        <v>195</v>
      </c>
    </row>
    <row r="265" spans="1:37" x14ac:dyDescent="0.25">
      <c r="A265" s="26" t="s">
        <v>253</v>
      </c>
      <c r="B265" s="5" t="s">
        <v>31</v>
      </c>
      <c r="C265" s="76" t="s">
        <v>39</v>
      </c>
      <c r="D265" s="26" t="s">
        <v>46</v>
      </c>
      <c r="E265" s="26" t="s">
        <v>145</v>
      </c>
      <c r="F265" s="21" t="s">
        <v>179</v>
      </c>
      <c r="G265" s="21" t="s">
        <v>147</v>
      </c>
      <c r="H265" s="27" t="s">
        <v>197</v>
      </c>
      <c r="I265" s="14" t="s">
        <v>254</v>
      </c>
      <c r="J265" s="15" t="s">
        <v>195</v>
      </c>
      <c r="K265" s="15" t="s">
        <v>195</v>
      </c>
      <c r="L265" s="15" t="s">
        <v>195</v>
      </c>
      <c r="M265" s="28" t="s">
        <v>195</v>
      </c>
      <c r="N265" s="15" t="s">
        <v>195</v>
      </c>
      <c r="O265" s="28" t="s">
        <v>195</v>
      </c>
      <c r="P265" s="15" t="s">
        <v>195</v>
      </c>
      <c r="Q265" s="28" t="s">
        <v>195</v>
      </c>
      <c r="R265" s="28" t="s">
        <v>195</v>
      </c>
      <c r="S265" s="28" t="s">
        <v>196</v>
      </c>
      <c r="T265" s="28">
        <v>13</v>
      </c>
      <c r="U265" s="28" t="s">
        <v>150</v>
      </c>
      <c r="V265" s="15" t="s">
        <v>154</v>
      </c>
      <c r="W265" s="15" t="s">
        <v>154</v>
      </c>
      <c r="X265" s="15" t="s">
        <v>195</v>
      </c>
      <c r="Y265" s="28" t="s">
        <v>195</v>
      </c>
      <c r="Z265" s="28" t="s">
        <v>195</v>
      </c>
      <c r="AA265" s="28" t="s">
        <v>195</v>
      </c>
      <c r="AB265" s="95" t="s">
        <v>195</v>
      </c>
      <c r="AC265" s="90" t="s">
        <v>195</v>
      </c>
      <c r="AD265" s="97" t="s">
        <v>195</v>
      </c>
      <c r="AE265" s="97" t="s">
        <v>195</v>
      </c>
      <c r="AF265" s="95" t="s">
        <v>195</v>
      </c>
      <c r="AG265" s="140" t="s">
        <v>195</v>
      </c>
      <c r="AH265" s="95" t="s">
        <v>195</v>
      </c>
      <c r="AI265" s="97" t="s">
        <v>195</v>
      </c>
      <c r="AJ265" s="95" t="s">
        <v>195</v>
      </c>
      <c r="AK265" s="97" t="s">
        <v>195</v>
      </c>
    </row>
    <row r="266" spans="1:37" x14ac:dyDescent="0.25">
      <c r="A266" s="26" t="s">
        <v>253</v>
      </c>
      <c r="B266" s="5" t="s">
        <v>31</v>
      </c>
      <c r="C266" s="76" t="s">
        <v>39</v>
      </c>
      <c r="D266" s="26" t="s">
        <v>46</v>
      </c>
      <c r="E266" s="26" t="s">
        <v>145</v>
      </c>
      <c r="F266" s="21" t="s">
        <v>179</v>
      </c>
      <c r="G266" s="26" t="s">
        <v>147</v>
      </c>
      <c r="H266" s="27" t="s">
        <v>180</v>
      </c>
      <c r="I266" s="28" t="s">
        <v>256</v>
      </c>
      <c r="J266" s="15" t="s">
        <v>195</v>
      </c>
      <c r="K266" s="15" t="s">
        <v>195</v>
      </c>
      <c r="L266" s="15" t="s">
        <v>195</v>
      </c>
      <c r="M266" s="28" t="s">
        <v>195</v>
      </c>
      <c r="N266" s="15" t="s">
        <v>195</v>
      </c>
      <c r="O266" s="28" t="s">
        <v>195</v>
      </c>
      <c r="P266" s="15" t="s">
        <v>195</v>
      </c>
      <c r="Q266" s="28" t="s">
        <v>195</v>
      </c>
      <c r="R266" s="28" t="s">
        <v>195</v>
      </c>
      <c r="S266" s="28" t="s">
        <v>196</v>
      </c>
      <c r="T266" s="28" t="s">
        <v>195</v>
      </c>
      <c r="U266" s="28" t="s">
        <v>195</v>
      </c>
      <c r="V266" s="15" t="s">
        <v>154</v>
      </c>
      <c r="W266" s="15" t="s">
        <v>154</v>
      </c>
      <c r="X266" s="15" t="s">
        <v>195</v>
      </c>
      <c r="Y266" s="28" t="s">
        <v>195</v>
      </c>
      <c r="Z266" s="28" t="s">
        <v>195</v>
      </c>
      <c r="AA266" s="28" t="s">
        <v>195</v>
      </c>
      <c r="AB266" s="95" t="s">
        <v>195</v>
      </c>
      <c r="AC266" s="90" t="s">
        <v>195</v>
      </c>
      <c r="AD266" s="97" t="s">
        <v>195</v>
      </c>
      <c r="AE266" s="97" t="s">
        <v>195</v>
      </c>
      <c r="AF266" s="95" t="s">
        <v>195</v>
      </c>
      <c r="AG266" s="140" t="s">
        <v>195</v>
      </c>
      <c r="AH266" s="95" t="s">
        <v>195</v>
      </c>
      <c r="AI266" s="97" t="s">
        <v>195</v>
      </c>
      <c r="AJ266" s="95" t="s">
        <v>195</v>
      </c>
      <c r="AK266" s="97" t="s">
        <v>195</v>
      </c>
    </row>
    <row r="267" spans="1:37" x14ac:dyDescent="0.25">
      <c r="A267" s="26" t="s">
        <v>253</v>
      </c>
      <c r="B267" s="5" t="s">
        <v>31</v>
      </c>
      <c r="C267" s="76" t="s">
        <v>39</v>
      </c>
      <c r="D267" s="26" t="s">
        <v>46</v>
      </c>
      <c r="E267" s="26" t="s">
        <v>145</v>
      </c>
      <c r="F267" s="26" t="s">
        <v>146</v>
      </c>
      <c r="G267" s="26" t="s">
        <v>147</v>
      </c>
      <c r="H267" s="27" t="s">
        <v>197</v>
      </c>
      <c r="I267" s="28" t="s">
        <v>257</v>
      </c>
      <c r="J267" s="15" t="s">
        <v>195</v>
      </c>
      <c r="K267" s="15" t="s">
        <v>195</v>
      </c>
      <c r="L267" s="15" t="s">
        <v>195</v>
      </c>
      <c r="M267" s="28" t="s">
        <v>195</v>
      </c>
      <c r="N267" s="15" t="s">
        <v>195</v>
      </c>
      <c r="O267" s="28" t="s">
        <v>195</v>
      </c>
      <c r="P267" s="15" t="s">
        <v>195</v>
      </c>
      <c r="Q267" s="28" t="s">
        <v>195</v>
      </c>
      <c r="R267" s="28" t="s">
        <v>195</v>
      </c>
      <c r="S267" s="28" t="s">
        <v>196</v>
      </c>
      <c r="T267" s="28" t="s">
        <v>195</v>
      </c>
      <c r="U267" s="28" t="s">
        <v>195</v>
      </c>
      <c r="V267" s="15" t="s">
        <v>154</v>
      </c>
      <c r="W267" s="15" t="s">
        <v>154</v>
      </c>
      <c r="X267" s="15" t="s">
        <v>195</v>
      </c>
      <c r="Y267" s="28" t="s">
        <v>195</v>
      </c>
      <c r="Z267" s="28" t="s">
        <v>195</v>
      </c>
      <c r="AA267" s="28" t="s">
        <v>195</v>
      </c>
      <c r="AB267" s="95" t="s">
        <v>195</v>
      </c>
      <c r="AC267" s="90" t="s">
        <v>195</v>
      </c>
      <c r="AD267" s="97" t="s">
        <v>195</v>
      </c>
      <c r="AE267" s="97" t="s">
        <v>195</v>
      </c>
      <c r="AF267" s="95" t="s">
        <v>195</v>
      </c>
      <c r="AG267" s="140" t="s">
        <v>195</v>
      </c>
      <c r="AH267" s="95" t="s">
        <v>195</v>
      </c>
      <c r="AI267" s="97" t="s">
        <v>195</v>
      </c>
      <c r="AJ267" s="95" t="s">
        <v>195</v>
      </c>
      <c r="AK267" s="97" t="s">
        <v>195</v>
      </c>
    </row>
    <row r="268" spans="1:37" x14ac:dyDescent="0.25">
      <c r="A268" s="26" t="s">
        <v>253</v>
      </c>
      <c r="B268" s="5" t="s">
        <v>31</v>
      </c>
      <c r="C268" s="76" t="s">
        <v>39</v>
      </c>
      <c r="D268" s="26" t="s">
        <v>46</v>
      </c>
      <c r="E268" s="26" t="s">
        <v>145</v>
      </c>
      <c r="F268" s="21" t="s">
        <v>179</v>
      </c>
      <c r="G268" s="21" t="s">
        <v>147</v>
      </c>
      <c r="H268" s="26" t="s">
        <v>174</v>
      </c>
      <c r="I268" s="29" t="s">
        <v>258</v>
      </c>
      <c r="J268" s="15" t="s">
        <v>195</v>
      </c>
      <c r="K268" s="15" t="s">
        <v>195</v>
      </c>
      <c r="L268" s="15" t="s">
        <v>195</v>
      </c>
      <c r="M268" s="28" t="s">
        <v>195</v>
      </c>
      <c r="N268" s="15" t="s">
        <v>195</v>
      </c>
      <c r="O268" s="28" t="s">
        <v>195</v>
      </c>
      <c r="P268" s="15" t="s">
        <v>195</v>
      </c>
      <c r="Q268" s="28" t="s">
        <v>195</v>
      </c>
      <c r="R268" s="28" t="s">
        <v>195</v>
      </c>
      <c r="S268" s="28" t="s">
        <v>196</v>
      </c>
      <c r="T268" s="29">
        <v>0</v>
      </c>
      <c r="U268" s="28" t="s">
        <v>194</v>
      </c>
      <c r="V268" s="15" t="s">
        <v>154</v>
      </c>
      <c r="W268" s="15" t="s">
        <v>154</v>
      </c>
      <c r="X268" s="15" t="s">
        <v>195</v>
      </c>
      <c r="Y268" s="28" t="s">
        <v>195</v>
      </c>
      <c r="Z268" s="28" t="s">
        <v>195</v>
      </c>
      <c r="AA268" s="28" t="s">
        <v>195</v>
      </c>
      <c r="AB268" s="95" t="s">
        <v>195</v>
      </c>
      <c r="AC268" s="90" t="s">
        <v>195</v>
      </c>
      <c r="AD268" s="97" t="s">
        <v>195</v>
      </c>
      <c r="AE268" s="97" t="s">
        <v>195</v>
      </c>
      <c r="AF268" s="95" t="s">
        <v>195</v>
      </c>
      <c r="AG268" s="140" t="s">
        <v>195</v>
      </c>
      <c r="AH268" s="95" t="s">
        <v>195</v>
      </c>
      <c r="AI268" s="97" t="s">
        <v>195</v>
      </c>
      <c r="AJ268" s="95" t="s">
        <v>195</v>
      </c>
      <c r="AK268" s="97" t="s">
        <v>195</v>
      </c>
    </row>
    <row r="269" spans="1:37" x14ac:dyDescent="0.25">
      <c r="A269" s="26" t="s">
        <v>253</v>
      </c>
      <c r="B269" s="5" t="s">
        <v>31</v>
      </c>
      <c r="C269" s="76" t="s">
        <v>39</v>
      </c>
      <c r="D269" s="26" t="s">
        <v>46</v>
      </c>
      <c r="E269" s="26" t="s">
        <v>145</v>
      </c>
      <c r="F269" s="21" t="s">
        <v>179</v>
      </c>
      <c r="G269" s="21" t="s">
        <v>147</v>
      </c>
      <c r="H269" s="21" t="s">
        <v>207</v>
      </c>
      <c r="I269" s="15">
        <v>0.2</v>
      </c>
      <c r="J269" s="15" t="s">
        <v>195</v>
      </c>
      <c r="K269" s="15" t="s">
        <v>195</v>
      </c>
      <c r="L269" s="15" t="s">
        <v>195</v>
      </c>
      <c r="M269" s="28" t="s">
        <v>195</v>
      </c>
      <c r="N269" s="15" t="s">
        <v>195</v>
      </c>
      <c r="O269" s="28" t="s">
        <v>195</v>
      </c>
      <c r="P269" s="15" t="s">
        <v>195</v>
      </c>
      <c r="Q269" s="28" t="s">
        <v>195</v>
      </c>
      <c r="R269" s="28" t="s">
        <v>195</v>
      </c>
      <c r="S269" s="28" t="s">
        <v>196</v>
      </c>
      <c r="T269" s="29" t="s">
        <v>195</v>
      </c>
      <c r="U269" s="28" t="s">
        <v>195</v>
      </c>
      <c r="V269" s="15" t="s">
        <v>154</v>
      </c>
      <c r="W269" s="15" t="s">
        <v>154</v>
      </c>
      <c r="X269" s="15" t="s">
        <v>195</v>
      </c>
      <c r="Y269" s="28" t="s">
        <v>195</v>
      </c>
      <c r="Z269" s="28" t="s">
        <v>195</v>
      </c>
      <c r="AA269" s="28" t="s">
        <v>195</v>
      </c>
      <c r="AB269" s="95" t="s">
        <v>195</v>
      </c>
      <c r="AC269" s="90" t="s">
        <v>195</v>
      </c>
      <c r="AD269" s="97" t="s">
        <v>195</v>
      </c>
      <c r="AE269" s="127" t="s">
        <v>195</v>
      </c>
      <c r="AF269" s="95" t="s">
        <v>195</v>
      </c>
      <c r="AG269" s="140" t="s">
        <v>195</v>
      </c>
      <c r="AH269" s="95" t="s">
        <v>195</v>
      </c>
      <c r="AI269" s="271" t="s">
        <v>195</v>
      </c>
      <c r="AJ269" s="102" t="s">
        <v>195</v>
      </c>
      <c r="AK269" s="271" t="s">
        <v>195</v>
      </c>
    </row>
    <row r="270" spans="1:37" x14ac:dyDescent="0.25">
      <c r="A270" s="26" t="s">
        <v>253</v>
      </c>
      <c r="B270" s="5" t="s">
        <v>31</v>
      </c>
      <c r="C270" s="76" t="s">
        <v>39</v>
      </c>
      <c r="D270" s="26" t="s">
        <v>46</v>
      </c>
      <c r="E270" s="26" t="s">
        <v>145</v>
      </c>
      <c r="F270" s="21" t="s">
        <v>179</v>
      </c>
      <c r="G270" s="21" t="s">
        <v>147</v>
      </c>
      <c r="H270" s="27" t="s">
        <v>186</v>
      </c>
      <c r="I270" s="15">
        <v>0.75</v>
      </c>
      <c r="J270" s="15" t="s">
        <v>195</v>
      </c>
      <c r="K270" s="15" t="s">
        <v>195</v>
      </c>
      <c r="L270" s="15" t="s">
        <v>195</v>
      </c>
      <c r="M270" s="28" t="s">
        <v>195</v>
      </c>
      <c r="N270" s="15" t="s">
        <v>195</v>
      </c>
      <c r="O270" s="28" t="s">
        <v>195</v>
      </c>
      <c r="P270" s="15" t="s">
        <v>195</v>
      </c>
      <c r="Q270" s="28" t="s">
        <v>195</v>
      </c>
      <c r="R270" s="28" t="s">
        <v>195</v>
      </c>
      <c r="S270" s="28" t="s">
        <v>196</v>
      </c>
      <c r="T270" s="28" t="s">
        <v>195</v>
      </c>
      <c r="U270" s="28" t="s">
        <v>195</v>
      </c>
      <c r="V270" s="15" t="s">
        <v>154</v>
      </c>
      <c r="W270" s="15" t="s">
        <v>154</v>
      </c>
      <c r="X270" s="15" t="s">
        <v>195</v>
      </c>
      <c r="Y270" s="28" t="s">
        <v>195</v>
      </c>
      <c r="Z270" s="28" t="s">
        <v>195</v>
      </c>
      <c r="AA270" s="28" t="s">
        <v>195</v>
      </c>
      <c r="AB270" s="95" t="s">
        <v>195</v>
      </c>
      <c r="AC270" s="90" t="s">
        <v>195</v>
      </c>
      <c r="AD270" s="97" t="s">
        <v>195</v>
      </c>
      <c r="AE270" s="126" t="s">
        <v>195</v>
      </c>
      <c r="AF270" s="95" t="s">
        <v>195</v>
      </c>
      <c r="AG270" s="140" t="s">
        <v>195</v>
      </c>
      <c r="AH270" s="95" t="s">
        <v>195</v>
      </c>
      <c r="AI270" s="94" t="s">
        <v>195</v>
      </c>
      <c r="AJ270" s="95" t="s">
        <v>195</v>
      </c>
      <c r="AK270" s="94" t="s">
        <v>195</v>
      </c>
    </row>
    <row r="271" spans="1:37" x14ac:dyDescent="0.25">
      <c r="A271" s="217" t="s">
        <v>253</v>
      </c>
      <c r="B271" s="216" t="s">
        <v>31</v>
      </c>
      <c r="C271" s="266" t="s">
        <v>39</v>
      </c>
      <c r="D271" s="217" t="s">
        <v>46</v>
      </c>
      <c r="E271" s="217" t="s">
        <v>145</v>
      </c>
      <c r="F271" s="84" t="s">
        <v>179</v>
      </c>
      <c r="G271" s="84" t="s">
        <v>147</v>
      </c>
      <c r="H271" s="235" t="s">
        <v>190</v>
      </c>
      <c r="I271" s="221">
        <v>0.9</v>
      </c>
      <c r="J271" s="221" t="s">
        <v>195</v>
      </c>
      <c r="K271" s="221" t="s">
        <v>195</v>
      </c>
      <c r="L271" s="221" t="s">
        <v>195</v>
      </c>
      <c r="M271" s="220" t="s">
        <v>195</v>
      </c>
      <c r="N271" s="221" t="s">
        <v>195</v>
      </c>
      <c r="O271" s="220" t="s">
        <v>195</v>
      </c>
      <c r="P271" s="221" t="s">
        <v>195</v>
      </c>
      <c r="Q271" s="220" t="s">
        <v>195</v>
      </c>
      <c r="R271" s="223">
        <v>0.13</v>
      </c>
      <c r="S271" s="220" t="s">
        <v>194</v>
      </c>
      <c r="T271" s="223">
        <v>0.71</v>
      </c>
      <c r="U271" s="220" t="s">
        <v>194</v>
      </c>
      <c r="V271" s="221" t="s">
        <v>154</v>
      </c>
      <c r="W271" s="221" t="s">
        <v>154</v>
      </c>
      <c r="X271" s="221" t="s">
        <v>195</v>
      </c>
      <c r="Y271" s="220" t="s">
        <v>195</v>
      </c>
      <c r="Z271" s="220" t="s">
        <v>195</v>
      </c>
      <c r="AA271" s="220" t="s">
        <v>195</v>
      </c>
      <c r="AB271" s="236" t="s">
        <v>195</v>
      </c>
      <c r="AC271" s="226" t="s">
        <v>195</v>
      </c>
      <c r="AD271" s="237">
        <v>0.42</v>
      </c>
      <c r="AE271" s="220" t="s">
        <v>194</v>
      </c>
      <c r="AF271" s="95" t="s">
        <v>195</v>
      </c>
      <c r="AG271" s="140" t="s">
        <v>195</v>
      </c>
      <c r="AH271" s="95" t="s">
        <v>195</v>
      </c>
      <c r="AI271" s="94" t="s">
        <v>195</v>
      </c>
      <c r="AJ271" s="95" t="s">
        <v>195</v>
      </c>
      <c r="AK271" s="94" t="s">
        <v>195</v>
      </c>
    </row>
    <row r="272" spans="1:37" x14ac:dyDescent="0.25">
      <c r="A272" s="21" t="s">
        <v>40</v>
      </c>
      <c r="B272" s="5" t="s">
        <v>31</v>
      </c>
      <c r="C272" s="76" t="s">
        <v>39</v>
      </c>
      <c r="D272" s="26" t="s">
        <v>46</v>
      </c>
      <c r="E272" s="26" t="s">
        <v>145</v>
      </c>
      <c r="F272" s="21" t="s">
        <v>179</v>
      </c>
      <c r="G272" s="21" t="s">
        <v>147</v>
      </c>
      <c r="H272" s="27" t="s">
        <v>180</v>
      </c>
      <c r="I272" s="14" t="s">
        <v>259</v>
      </c>
      <c r="J272" s="28">
        <v>73</v>
      </c>
      <c r="K272" s="28" t="s">
        <v>194</v>
      </c>
      <c r="L272" s="28">
        <v>54</v>
      </c>
      <c r="M272" s="28" t="s">
        <v>194</v>
      </c>
      <c r="N272" s="14">
        <v>63</v>
      </c>
      <c r="O272" s="28" t="s">
        <v>194</v>
      </c>
      <c r="P272" s="14">
        <v>56</v>
      </c>
      <c r="Q272" s="28" t="s">
        <v>194</v>
      </c>
      <c r="R272" s="9">
        <v>71</v>
      </c>
      <c r="S272" s="28" t="s">
        <v>194</v>
      </c>
      <c r="T272" s="28">
        <v>56</v>
      </c>
      <c r="U272" s="28" t="s">
        <v>194</v>
      </c>
      <c r="V272" s="9">
        <v>56</v>
      </c>
      <c r="W272" s="28" t="s">
        <v>194</v>
      </c>
      <c r="X272" s="9">
        <v>61</v>
      </c>
      <c r="Y272" s="28" t="s">
        <v>194</v>
      </c>
      <c r="Z272" s="10">
        <v>66</v>
      </c>
      <c r="AA272" s="28" t="s">
        <v>194</v>
      </c>
      <c r="AB272" s="99">
        <v>45</v>
      </c>
      <c r="AC272" s="28" t="s">
        <v>150</v>
      </c>
      <c r="AD272" s="97" t="s">
        <v>195</v>
      </c>
      <c r="AE272" s="97" t="s">
        <v>195</v>
      </c>
      <c r="AF272" s="95" t="s">
        <v>195</v>
      </c>
      <c r="AG272" s="140" t="s">
        <v>195</v>
      </c>
      <c r="AH272" s="95" t="s">
        <v>195</v>
      </c>
      <c r="AI272" s="97" t="s">
        <v>195</v>
      </c>
      <c r="AJ272" s="95" t="s">
        <v>195</v>
      </c>
      <c r="AK272" s="97" t="s">
        <v>195</v>
      </c>
    </row>
    <row r="273" spans="1:37" x14ac:dyDescent="0.25">
      <c r="A273" s="21" t="s">
        <v>40</v>
      </c>
      <c r="B273" s="5" t="s">
        <v>31</v>
      </c>
      <c r="C273" s="76" t="s">
        <v>39</v>
      </c>
      <c r="D273" s="26" t="s">
        <v>46</v>
      </c>
      <c r="E273" s="26" t="s">
        <v>145</v>
      </c>
      <c r="F273" s="21" t="s">
        <v>179</v>
      </c>
      <c r="G273" s="21" t="s">
        <v>147</v>
      </c>
      <c r="H273" s="27" t="s">
        <v>180</v>
      </c>
      <c r="I273" s="14" t="s">
        <v>260</v>
      </c>
      <c r="J273" s="28">
        <v>108</v>
      </c>
      <c r="K273" s="28" t="s">
        <v>194</v>
      </c>
      <c r="L273" s="28">
        <v>59</v>
      </c>
      <c r="M273" s="28" t="s">
        <v>150</v>
      </c>
      <c r="N273" s="14">
        <v>114</v>
      </c>
      <c r="O273" s="28" t="s">
        <v>194</v>
      </c>
      <c r="P273" s="14">
        <v>85</v>
      </c>
      <c r="Q273" s="28" t="s">
        <v>150</v>
      </c>
      <c r="R273" s="9">
        <v>93</v>
      </c>
      <c r="S273" s="28" t="s">
        <v>194</v>
      </c>
      <c r="T273" s="28">
        <v>72</v>
      </c>
      <c r="U273" s="28" t="s">
        <v>150</v>
      </c>
      <c r="V273" s="9">
        <v>88</v>
      </c>
      <c r="W273" s="28" t="s">
        <v>150</v>
      </c>
      <c r="X273" s="9">
        <v>85</v>
      </c>
      <c r="Y273" s="28" t="s">
        <v>150</v>
      </c>
      <c r="Z273" s="10">
        <v>89</v>
      </c>
      <c r="AA273" s="28" t="s">
        <v>150</v>
      </c>
      <c r="AB273" s="99" t="s">
        <v>154</v>
      </c>
      <c r="AC273" s="15" t="s">
        <v>154</v>
      </c>
      <c r="AD273" s="97" t="s">
        <v>195</v>
      </c>
      <c r="AE273" s="97" t="s">
        <v>195</v>
      </c>
      <c r="AF273" s="95" t="s">
        <v>195</v>
      </c>
      <c r="AG273" s="140" t="s">
        <v>195</v>
      </c>
      <c r="AH273" s="95" t="s">
        <v>195</v>
      </c>
      <c r="AI273" s="97" t="s">
        <v>195</v>
      </c>
      <c r="AJ273" s="95" t="s">
        <v>195</v>
      </c>
      <c r="AK273" s="97" t="s">
        <v>195</v>
      </c>
    </row>
    <row r="274" spans="1:37" x14ac:dyDescent="0.25">
      <c r="A274" s="21" t="s">
        <v>40</v>
      </c>
      <c r="B274" s="5" t="s">
        <v>31</v>
      </c>
      <c r="C274" s="76" t="s">
        <v>39</v>
      </c>
      <c r="D274" s="26" t="s">
        <v>46</v>
      </c>
      <c r="E274" s="26" t="s">
        <v>145</v>
      </c>
      <c r="F274" s="21" t="s">
        <v>179</v>
      </c>
      <c r="G274" s="21" t="s">
        <v>147</v>
      </c>
      <c r="H274" s="27" t="s">
        <v>180</v>
      </c>
      <c r="I274" s="14" t="s">
        <v>261</v>
      </c>
      <c r="J274" s="28">
        <v>135</v>
      </c>
      <c r="K274" s="28" t="s">
        <v>194</v>
      </c>
      <c r="L274" s="28">
        <v>110</v>
      </c>
      <c r="M274" s="28" t="s">
        <v>194</v>
      </c>
      <c r="N274" s="14">
        <v>74</v>
      </c>
      <c r="O274" s="28" t="s">
        <v>150</v>
      </c>
      <c r="P274" s="14">
        <v>86</v>
      </c>
      <c r="Q274" s="28" t="s">
        <v>194</v>
      </c>
      <c r="R274" s="9">
        <v>97</v>
      </c>
      <c r="S274" s="28" t="s">
        <v>194</v>
      </c>
      <c r="T274" s="28" t="s">
        <v>154</v>
      </c>
      <c r="U274" s="28" t="s">
        <v>154</v>
      </c>
      <c r="V274" s="9">
        <v>82</v>
      </c>
      <c r="W274" s="28" t="s">
        <v>194</v>
      </c>
      <c r="X274" s="9">
        <v>82</v>
      </c>
      <c r="Y274" s="28" t="s">
        <v>194</v>
      </c>
      <c r="Z274" s="10">
        <v>67</v>
      </c>
      <c r="AA274" s="28" t="s">
        <v>150</v>
      </c>
      <c r="AB274" s="99">
        <v>68</v>
      </c>
      <c r="AC274" s="28" t="s">
        <v>150</v>
      </c>
      <c r="AD274" s="97" t="s">
        <v>195</v>
      </c>
      <c r="AE274" s="97" t="s">
        <v>195</v>
      </c>
      <c r="AF274" s="95" t="s">
        <v>195</v>
      </c>
      <c r="AG274" s="140" t="s">
        <v>195</v>
      </c>
      <c r="AH274" s="95" t="s">
        <v>195</v>
      </c>
      <c r="AI274" s="97" t="s">
        <v>195</v>
      </c>
      <c r="AJ274" s="95" t="s">
        <v>195</v>
      </c>
      <c r="AK274" s="97" t="s">
        <v>195</v>
      </c>
    </row>
    <row r="275" spans="1:37" x14ac:dyDescent="0.25">
      <c r="A275" s="21" t="s">
        <v>40</v>
      </c>
      <c r="B275" s="5" t="s">
        <v>31</v>
      </c>
      <c r="C275" s="76" t="s">
        <v>39</v>
      </c>
      <c r="D275" s="26" t="s">
        <v>46</v>
      </c>
      <c r="E275" s="26" t="s">
        <v>145</v>
      </c>
      <c r="F275" s="21" t="s">
        <v>179</v>
      </c>
      <c r="G275" s="21" t="s">
        <v>147</v>
      </c>
      <c r="H275" s="27" t="s">
        <v>197</v>
      </c>
      <c r="I275" s="14" t="s">
        <v>262</v>
      </c>
      <c r="J275" s="28">
        <v>32</v>
      </c>
      <c r="K275" s="28" t="s">
        <v>194</v>
      </c>
      <c r="L275" s="28">
        <v>27</v>
      </c>
      <c r="M275" s="28" t="s">
        <v>150</v>
      </c>
      <c r="N275" s="14">
        <v>38</v>
      </c>
      <c r="O275" s="28" t="s">
        <v>194</v>
      </c>
      <c r="P275" s="14">
        <v>29</v>
      </c>
      <c r="Q275" s="28" t="s">
        <v>150</v>
      </c>
      <c r="R275" s="9">
        <v>33</v>
      </c>
      <c r="S275" s="28" t="s">
        <v>194</v>
      </c>
      <c r="T275" s="28">
        <v>40</v>
      </c>
      <c r="U275" s="28" t="s">
        <v>194</v>
      </c>
      <c r="V275" s="9">
        <v>30</v>
      </c>
      <c r="W275" s="28" t="s">
        <v>150</v>
      </c>
      <c r="X275" s="9">
        <v>30</v>
      </c>
      <c r="Y275" s="28" t="s">
        <v>150</v>
      </c>
      <c r="Z275" s="10">
        <v>30</v>
      </c>
      <c r="AA275" s="28" t="s">
        <v>150</v>
      </c>
      <c r="AB275" s="99">
        <v>24</v>
      </c>
      <c r="AC275" s="28" t="s">
        <v>150</v>
      </c>
      <c r="AD275" s="97" t="s">
        <v>195</v>
      </c>
      <c r="AE275" s="97" t="s">
        <v>195</v>
      </c>
      <c r="AF275" s="95" t="s">
        <v>195</v>
      </c>
      <c r="AG275" s="140" t="s">
        <v>195</v>
      </c>
      <c r="AH275" s="95" t="s">
        <v>195</v>
      </c>
      <c r="AI275" s="97" t="s">
        <v>195</v>
      </c>
      <c r="AJ275" s="95" t="s">
        <v>195</v>
      </c>
      <c r="AK275" s="97" t="s">
        <v>195</v>
      </c>
    </row>
    <row r="276" spans="1:37" x14ac:dyDescent="0.25">
      <c r="A276" s="21" t="s">
        <v>40</v>
      </c>
      <c r="B276" s="5" t="s">
        <v>31</v>
      </c>
      <c r="C276" s="76" t="s">
        <v>39</v>
      </c>
      <c r="D276" s="26" t="s">
        <v>46</v>
      </c>
      <c r="E276" s="26" t="s">
        <v>145</v>
      </c>
      <c r="F276" s="21" t="s">
        <v>179</v>
      </c>
      <c r="G276" s="21" t="s">
        <v>147</v>
      </c>
      <c r="H276" s="27" t="s">
        <v>197</v>
      </c>
      <c r="I276" s="14" t="s">
        <v>263</v>
      </c>
      <c r="J276" s="28">
        <v>48</v>
      </c>
      <c r="K276" s="28" t="s">
        <v>194</v>
      </c>
      <c r="L276" s="28">
        <v>42</v>
      </c>
      <c r="M276" s="28" t="s">
        <v>150</v>
      </c>
      <c r="N276" s="14">
        <v>45</v>
      </c>
      <c r="O276" s="28" t="s">
        <v>150</v>
      </c>
      <c r="P276" s="14">
        <v>43</v>
      </c>
      <c r="Q276" s="28" t="s">
        <v>150</v>
      </c>
      <c r="R276" s="9">
        <v>54</v>
      </c>
      <c r="S276" s="28" t="s">
        <v>194</v>
      </c>
      <c r="T276" s="40">
        <v>34</v>
      </c>
      <c r="U276" s="28" t="s">
        <v>150</v>
      </c>
      <c r="V276" s="9">
        <v>40</v>
      </c>
      <c r="W276" s="28" t="s">
        <v>150</v>
      </c>
      <c r="X276" s="9">
        <v>33</v>
      </c>
      <c r="Y276" s="28" t="s">
        <v>150</v>
      </c>
      <c r="Z276" s="10">
        <v>45</v>
      </c>
      <c r="AA276" s="28" t="s">
        <v>150</v>
      </c>
      <c r="AB276" s="90">
        <v>57</v>
      </c>
      <c r="AC276" s="28" t="s">
        <v>194</v>
      </c>
      <c r="AD276" s="97" t="s">
        <v>195</v>
      </c>
      <c r="AE276" s="97" t="s">
        <v>195</v>
      </c>
      <c r="AF276" s="95" t="s">
        <v>195</v>
      </c>
      <c r="AG276" s="140" t="s">
        <v>195</v>
      </c>
      <c r="AH276" s="95" t="s">
        <v>195</v>
      </c>
      <c r="AI276" s="97" t="s">
        <v>195</v>
      </c>
      <c r="AJ276" s="95" t="s">
        <v>195</v>
      </c>
      <c r="AK276" s="97" t="s">
        <v>195</v>
      </c>
    </row>
    <row r="277" spans="1:37" x14ac:dyDescent="0.25">
      <c r="A277" s="21" t="s">
        <v>40</v>
      </c>
      <c r="B277" s="5" t="s">
        <v>31</v>
      </c>
      <c r="C277" s="76" t="s">
        <v>39</v>
      </c>
      <c r="D277" s="26" t="s">
        <v>46</v>
      </c>
      <c r="E277" s="26" t="s">
        <v>145</v>
      </c>
      <c r="F277" s="21" t="s">
        <v>179</v>
      </c>
      <c r="G277" s="21" t="s">
        <v>147</v>
      </c>
      <c r="H277" s="27" t="s">
        <v>197</v>
      </c>
      <c r="I277" s="14" t="s">
        <v>264</v>
      </c>
      <c r="J277" s="28">
        <v>56</v>
      </c>
      <c r="K277" s="28" t="s">
        <v>194</v>
      </c>
      <c r="L277" s="28">
        <v>33</v>
      </c>
      <c r="M277" s="28" t="s">
        <v>150</v>
      </c>
      <c r="N277" s="14">
        <v>13</v>
      </c>
      <c r="O277" s="28" t="s">
        <v>150</v>
      </c>
      <c r="P277" s="14">
        <v>32</v>
      </c>
      <c r="Q277" s="28" t="s">
        <v>150</v>
      </c>
      <c r="R277" s="9">
        <v>96</v>
      </c>
      <c r="S277" s="28" t="s">
        <v>194</v>
      </c>
      <c r="T277" s="9">
        <v>36</v>
      </c>
      <c r="U277" s="28" t="s">
        <v>150</v>
      </c>
      <c r="V277" s="9">
        <v>30</v>
      </c>
      <c r="W277" s="28" t="s">
        <v>150</v>
      </c>
      <c r="X277" s="9">
        <v>24</v>
      </c>
      <c r="Y277" s="28" t="s">
        <v>150</v>
      </c>
      <c r="Z277" s="10">
        <v>38</v>
      </c>
      <c r="AA277" s="28" t="s">
        <v>150</v>
      </c>
      <c r="AB277" s="99">
        <v>42</v>
      </c>
      <c r="AC277" s="28" t="s">
        <v>150</v>
      </c>
      <c r="AD277" s="97" t="s">
        <v>195</v>
      </c>
      <c r="AE277" s="97" t="s">
        <v>195</v>
      </c>
      <c r="AF277" s="95" t="s">
        <v>195</v>
      </c>
      <c r="AG277" s="140" t="s">
        <v>195</v>
      </c>
      <c r="AH277" s="95" t="s">
        <v>195</v>
      </c>
      <c r="AI277" s="97" t="s">
        <v>195</v>
      </c>
      <c r="AJ277" s="95" t="s">
        <v>195</v>
      </c>
      <c r="AK277" s="97" t="s">
        <v>195</v>
      </c>
    </row>
    <row r="278" spans="1:37" x14ac:dyDescent="0.25">
      <c r="A278" s="21" t="s">
        <v>40</v>
      </c>
      <c r="B278" s="5" t="s">
        <v>31</v>
      </c>
      <c r="C278" s="76" t="s">
        <v>39</v>
      </c>
      <c r="D278" s="26" t="s">
        <v>46</v>
      </c>
      <c r="E278" s="26" t="s">
        <v>145</v>
      </c>
      <c r="F278" s="26" t="s">
        <v>146</v>
      </c>
      <c r="G278" s="21" t="s">
        <v>156</v>
      </c>
      <c r="H278" s="21" t="s">
        <v>213</v>
      </c>
      <c r="I278" s="11">
        <v>0.9</v>
      </c>
      <c r="J278" s="29">
        <v>0.91</v>
      </c>
      <c r="K278" s="28" t="s">
        <v>150</v>
      </c>
      <c r="L278" s="29">
        <v>0.92</v>
      </c>
      <c r="M278" s="28" t="s">
        <v>150</v>
      </c>
      <c r="N278" s="15">
        <v>0.73684210526315785</v>
      </c>
      <c r="O278" s="28" t="s">
        <v>194</v>
      </c>
      <c r="P278" s="15">
        <v>0.84057971014492749</v>
      </c>
      <c r="Q278" s="28" t="s">
        <v>194</v>
      </c>
      <c r="R278" s="11">
        <v>0.63</v>
      </c>
      <c r="S278" s="28" t="s">
        <v>194</v>
      </c>
      <c r="T278" s="15">
        <v>0.60377358490566035</v>
      </c>
      <c r="U278" s="28" t="s">
        <v>194</v>
      </c>
      <c r="V278" s="11">
        <v>0.91</v>
      </c>
      <c r="W278" s="28" t="s">
        <v>150</v>
      </c>
      <c r="X278" s="11">
        <v>1</v>
      </c>
      <c r="Y278" s="28" t="s">
        <v>150</v>
      </c>
      <c r="Z278" s="12">
        <v>0.36</v>
      </c>
      <c r="AA278" s="28" t="s">
        <v>194</v>
      </c>
      <c r="AB278" s="100">
        <v>0.35</v>
      </c>
      <c r="AC278" s="28" t="s">
        <v>194</v>
      </c>
      <c r="AD278" s="97" t="s">
        <v>195</v>
      </c>
      <c r="AE278" s="126" t="s">
        <v>195</v>
      </c>
      <c r="AF278" s="95" t="s">
        <v>195</v>
      </c>
      <c r="AG278" s="140" t="s">
        <v>195</v>
      </c>
      <c r="AH278" s="95" t="s">
        <v>195</v>
      </c>
      <c r="AI278" s="94" t="s">
        <v>195</v>
      </c>
      <c r="AJ278" s="95" t="s">
        <v>195</v>
      </c>
      <c r="AK278" s="94" t="s">
        <v>195</v>
      </c>
    </row>
    <row r="279" spans="1:37" x14ac:dyDescent="0.25">
      <c r="A279" s="21" t="s">
        <v>40</v>
      </c>
      <c r="B279" s="5" t="s">
        <v>31</v>
      </c>
      <c r="C279" s="76" t="s">
        <v>39</v>
      </c>
      <c r="D279" s="26" t="s">
        <v>46</v>
      </c>
      <c r="E279" s="26" t="s">
        <v>145</v>
      </c>
      <c r="F279" s="26" t="s">
        <v>146</v>
      </c>
      <c r="G279" s="21" t="s">
        <v>156</v>
      </c>
      <c r="H279" s="21" t="s">
        <v>214</v>
      </c>
      <c r="I279" s="11">
        <v>0.9</v>
      </c>
      <c r="J279" s="29">
        <v>0.88</v>
      </c>
      <c r="K279" s="28" t="s">
        <v>194</v>
      </c>
      <c r="L279" s="29">
        <v>0.94</v>
      </c>
      <c r="M279" s="28" t="s">
        <v>150</v>
      </c>
      <c r="N279" s="15">
        <v>0.73809523809523814</v>
      </c>
      <c r="O279" s="28" t="s">
        <v>194</v>
      </c>
      <c r="P279" s="15">
        <v>0.80769230769230771</v>
      </c>
      <c r="Q279" s="28" t="s">
        <v>194</v>
      </c>
      <c r="R279" s="11">
        <v>0.7</v>
      </c>
      <c r="S279" s="28" t="s">
        <v>194</v>
      </c>
      <c r="T279" s="15">
        <v>0.25</v>
      </c>
      <c r="U279" s="28" t="s">
        <v>194</v>
      </c>
      <c r="V279" s="11">
        <v>0.5</v>
      </c>
      <c r="W279" s="28" t="s">
        <v>194</v>
      </c>
      <c r="X279" s="11">
        <v>0.55000000000000004</v>
      </c>
      <c r="Y279" s="28" t="s">
        <v>194</v>
      </c>
      <c r="Z279" s="12">
        <v>0.73</v>
      </c>
      <c r="AA279" s="28" t="s">
        <v>194</v>
      </c>
      <c r="AB279" s="100">
        <v>0.96</v>
      </c>
      <c r="AC279" s="28" t="s">
        <v>150</v>
      </c>
      <c r="AD279" s="97" t="s">
        <v>195</v>
      </c>
      <c r="AE279" s="126" t="s">
        <v>195</v>
      </c>
      <c r="AF279" s="95" t="s">
        <v>195</v>
      </c>
      <c r="AG279" s="140" t="s">
        <v>195</v>
      </c>
      <c r="AH279" s="95" t="s">
        <v>195</v>
      </c>
      <c r="AI279" s="94" t="s">
        <v>195</v>
      </c>
      <c r="AJ279" s="95" t="s">
        <v>195</v>
      </c>
      <c r="AK279" s="94" t="s">
        <v>195</v>
      </c>
    </row>
    <row r="280" spans="1:37" x14ac:dyDescent="0.25">
      <c r="A280" s="21" t="s">
        <v>40</v>
      </c>
      <c r="B280" s="5" t="s">
        <v>31</v>
      </c>
      <c r="C280" s="76" t="s">
        <v>39</v>
      </c>
      <c r="D280" s="26" t="s">
        <v>46</v>
      </c>
      <c r="E280" s="26" t="s">
        <v>145</v>
      </c>
      <c r="F280" s="21" t="s">
        <v>179</v>
      </c>
      <c r="G280" s="21" t="s">
        <v>147</v>
      </c>
      <c r="H280" s="27" t="s">
        <v>188</v>
      </c>
      <c r="I280" s="11">
        <v>0.2</v>
      </c>
      <c r="J280" s="29">
        <v>0.27</v>
      </c>
      <c r="K280" s="28" t="s">
        <v>150</v>
      </c>
      <c r="L280" s="29">
        <v>0.26</v>
      </c>
      <c r="M280" s="28" t="s">
        <v>150</v>
      </c>
      <c r="N280" s="11">
        <v>0.2</v>
      </c>
      <c r="O280" s="28" t="s">
        <v>150</v>
      </c>
      <c r="P280" s="11">
        <v>0.24</v>
      </c>
      <c r="Q280" s="28" t="s">
        <v>150</v>
      </c>
      <c r="R280" s="11">
        <v>0.18</v>
      </c>
      <c r="S280" s="28" t="s">
        <v>194</v>
      </c>
      <c r="T280" s="11">
        <v>0.16</v>
      </c>
      <c r="U280" s="28" t="s">
        <v>194</v>
      </c>
      <c r="V280" s="11">
        <v>0.16</v>
      </c>
      <c r="W280" s="28" t="s">
        <v>194</v>
      </c>
      <c r="X280" s="11">
        <v>0.16</v>
      </c>
      <c r="Y280" s="28" t="s">
        <v>194</v>
      </c>
      <c r="Z280" s="12">
        <v>0.18</v>
      </c>
      <c r="AA280" s="28" t="s">
        <v>194</v>
      </c>
      <c r="AB280" s="100">
        <v>0.14000000000000001</v>
      </c>
      <c r="AC280" s="28" t="s">
        <v>194</v>
      </c>
      <c r="AD280" s="97" t="s">
        <v>195</v>
      </c>
      <c r="AE280" s="126" t="s">
        <v>195</v>
      </c>
      <c r="AF280" s="95" t="s">
        <v>195</v>
      </c>
      <c r="AG280" s="140" t="s">
        <v>195</v>
      </c>
      <c r="AH280" s="95" t="s">
        <v>195</v>
      </c>
      <c r="AI280" s="94" t="s">
        <v>195</v>
      </c>
      <c r="AJ280" s="95" t="s">
        <v>195</v>
      </c>
      <c r="AK280" s="94" t="s">
        <v>195</v>
      </c>
    </row>
    <row r="281" spans="1:37" x14ac:dyDescent="0.25">
      <c r="A281" s="21" t="s">
        <v>40</v>
      </c>
      <c r="B281" s="5" t="s">
        <v>31</v>
      </c>
      <c r="C281" s="76" t="s">
        <v>39</v>
      </c>
      <c r="D281" s="26" t="s">
        <v>46</v>
      </c>
      <c r="E281" s="26" t="s">
        <v>145</v>
      </c>
      <c r="F281" s="21" t="s">
        <v>179</v>
      </c>
      <c r="G281" s="21" t="s">
        <v>147</v>
      </c>
      <c r="H281" s="21" t="s">
        <v>189</v>
      </c>
      <c r="I281" s="14" t="s">
        <v>265</v>
      </c>
      <c r="J281" s="29">
        <v>0.02</v>
      </c>
      <c r="K281" s="28" t="s">
        <v>150</v>
      </c>
      <c r="L281" s="29">
        <v>0</v>
      </c>
      <c r="M281" s="28" t="s">
        <v>150</v>
      </c>
      <c r="N281" s="11">
        <v>0.02</v>
      </c>
      <c r="O281" s="28" t="s">
        <v>150</v>
      </c>
      <c r="P281" s="11">
        <v>0.03</v>
      </c>
      <c r="Q281" s="28" t="s">
        <v>150</v>
      </c>
      <c r="R281" s="11">
        <v>0</v>
      </c>
      <c r="S281" s="28" t="s">
        <v>150</v>
      </c>
      <c r="T281" s="11">
        <v>0.05</v>
      </c>
      <c r="U281" s="28" t="s">
        <v>150</v>
      </c>
      <c r="V281" s="11">
        <v>0.04</v>
      </c>
      <c r="W281" s="28" t="s">
        <v>150</v>
      </c>
      <c r="X281" s="11">
        <v>0.06</v>
      </c>
      <c r="Y281" s="28" t="s">
        <v>150</v>
      </c>
      <c r="Z281" s="12">
        <v>0.03</v>
      </c>
      <c r="AA281" s="28" t="s">
        <v>150</v>
      </c>
      <c r="AB281" s="100">
        <v>0</v>
      </c>
      <c r="AC281" s="28" t="s">
        <v>150</v>
      </c>
      <c r="AD281" s="97" t="s">
        <v>195</v>
      </c>
      <c r="AE281" s="126" t="s">
        <v>195</v>
      </c>
      <c r="AF281" s="95" t="s">
        <v>195</v>
      </c>
      <c r="AG281" s="140" t="s">
        <v>195</v>
      </c>
      <c r="AH281" s="95" t="s">
        <v>195</v>
      </c>
      <c r="AI281" s="94" t="s">
        <v>195</v>
      </c>
      <c r="AJ281" s="95" t="s">
        <v>195</v>
      </c>
      <c r="AK281" s="94" t="s">
        <v>195</v>
      </c>
    </row>
    <row r="282" spans="1:37" x14ac:dyDescent="0.25">
      <c r="A282" s="21" t="s">
        <v>40</v>
      </c>
      <c r="B282" s="5" t="s">
        <v>31</v>
      </c>
      <c r="C282" s="76" t="s">
        <v>39</v>
      </c>
      <c r="D282" s="26" t="s">
        <v>46</v>
      </c>
      <c r="E282" s="26" t="s">
        <v>145</v>
      </c>
      <c r="F282" s="21" t="s">
        <v>179</v>
      </c>
      <c r="G282" s="21" t="s">
        <v>147</v>
      </c>
      <c r="H282" s="21" t="s">
        <v>207</v>
      </c>
      <c r="I282" s="15">
        <v>0.2</v>
      </c>
      <c r="J282" s="29">
        <v>0.3</v>
      </c>
      <c r="K282" s="28" t="s">
        <v>194</v>
      </c>
      <c r="L282" s="29">
        <v>0.22</v>
      </c>
      <c r="M282" s="28" t="s">
        <v>194</v>
      </c>
      <c r="N282" s="15">
        <v>0.31578947368421051</v>
      </c>
      <c r="O282" s="28" t="s">
        <v>194</v>
      </c>
      <c r="P282" s="15">
        <v>0.31578947368421051</v>
      </c>
      <c r="Q282" s="28" t="s">
        <v>194</v>
      </c>
      <c r="R282" s="11">
        <v>0.2</v>
      </c>
      <c r="S282" s="28" t="s">
        <v>150</v>
      </c>
      <c r="T282" s="11">
        <v>0.21</v>
      </c>
      <c r="U282" s="28" t="s">
        <v>194</v>
      </c>
      <c r="V282" s="11">
        <v>0.21</v>
      </c>
      <c r="W282" s="28" t="s">
        <v>194</v>
      </c>
      <c r="X282" s="11">
        <v>0.21</v>
      </c>
      <c r="Y282" s="28" t="s">
        <v>194</v>
      </c>
      <c r="Z282" s="12">
        <v>0.22</v>
      </c>
      <c r="AA282" s="28" t="s">
        <v>194</v>
      </c>
      <c r="AB282" s="100">
        <v>0.2</v>
      </c>
      <c r="AC282" s="28" t="s">
        <v>150</v>
      </c>
      <c r="AD282" s="97" t="s">
        <v>195</v>
      </c>
      <c r="AE282" s="127" t="s">
        <v>195</v>
      </c>
      <c r="AF282" s="95" t="s">
        <v>195</v>
      </c>
      <c r="AG282" s="140" t="s">
        <v>195</v>
      </c>
      <c r="AH282" s="95" t="s">
        <v>195</v>
      </c>
      <c r="AI282" s="271" t="s">
        <v>195</v>
      </c>
      <c r="AJ282" s="95" t="s">
        <v>195</v>
      </c>
      <c r="AK282" s="271" t="s">
        <v>195</v>
      </c>
    </row>
    <row r="283" spans="1:37" x14ac:dyDescent="0.25">
      <c r="A283" s="21" t="s">
        <v>40</v>
      </c>
      <c r="B283" s="5" t="s">
        <v>31</v>
      </c>
      <c r="C283" s="76" t="s">
        <v>39</v>
      </c>
      <c r="D283" s="26" t="s">
        <v>46</v>
      </c>
      <c r="E283" s="26" t="s">
        <v>145</v>
      </c>
      <c r="F283" s="21" t="s">
        <v>179</v>
      </c>
      <c r="G283" s="21" t="s">
        <v>147</v>
      </c>
      <c r="H283" s="27" t="s">
        <v>186</v>
      </c>
      <c r="I283" s="15">
        <v>0.75</v>
      </c>
      <c r="J283" s="29">
        <v>0.78</v>
      </c>
      <c r="K283" s="28" t="s">
        <v>150</v>
      </c>
      <c r="L283" s="29">
        <v>0.78</v>
      </c>
      <c r="M283" s="28" t="s">
        <v>150</v>
      </c>
      <c r="N283" s="11">
        <v>0.72</v>
      </c>
      <c r="O283" s="28" t="s">
        <v>194</v>
      </c>
      <c r="P283" s="11">
        <v>0.76</v>
      </c>
      <c r="Q283" s="28" t="s">
        <v>150</v>
      </c>
      <c r="R283" s="41">
        <v>0.77</v>
      </c>
      <c r="S283" s="28" t="s">
        <v>150</v>
      </c>
      <c r="T283" s="15">
        <v>0.86746987951807231</v>
      </c>
      <c r="U283" s="28" t="s">
        <v>150</v>
      </c>
      <c r="V283" s="11">
        <v>0.8</v>
      </c>
      <c r="W283" s="28" t="s">
        <v>150</v>
      </c>
      <c r="X283" s="11">
        <v>0.81</v>
      </c>
      <c r="Y283" s="28" t="s">
        <v>150</v>
      </c>
      <c r="Z283" s="12">
        <v>0.86</v>
      </c>
      <c r="AA283" s="28" t="s">
        <v>150</v>
      </c>
      <c r="AB283" s="100">
        <v>0.95</v>
      </c>
      <c r="AC283" s="28" t="s">
        <v>150</v>
      </c>
      <c r="AD283" s="97" t="s">
        <v>195</v>
      </c>
      <c r="AE283" s="126" t="s">
        <v>195</v>
      </c>
      <c r="AF283" s="95" t="s">
        <v>195</v>
      </c>
      <c r="AG283" s="140" t="s">
        <v>195</v>
      </c>
      <c r="AH283" s="95" t="s">
        <v>195</v>
      </c>
      <c r="AI283" s="94" t="s">
        <v>195</v>
      </c>
      <c r="AJ283" s="95" t="s">
        <v>195</v>
      </c>
      <c r="AK283" s="94" t="s">
        <v>195</v>
      </c>
    </row>
    <row r="284" spans="1:37" x14ac:dyDescent="0.25">
      <c r="A284" s="201" t="s">
        <v>53</v>
      </c>
      <c r="B284" s="202" t="s">
        <v>27</v>
      </c>
      <c r="C284" s="5" t="s">
        <v>568</v>
      </c>
      <c r="D284" s="203" t="s">
        <v>29</v>
      </c>
      <c r="E284" s="203" t="s">
        <v>145</v>
      </c>
      <c r="F284" s="203" t="s">
        <v>146</v>
      </c>
      <c r="G284" s="201" t="s">
        <v>147</v>
      </c>
      <c r="H284" s="207" t="s">
        <v>197</v>
      </c>
      <c r="I284" s="208" t="s">
        <v>215</v>
      </c>
      <c r="J284" s="238" t="s">
        <v>154</v>
      </c>
      <c r="K284" s="197" t="s">
        <v>154</v>
      </c>
      <c r="L284" s="197" t="s">
        <v>206</v>
      </c>
      <c r="M284" s="197" t="s">
        <v>154</v>
      </c>
      <c r="N284" s="197" t="s">
        <v>206</v>
      </c>
      <c r="O284" s="197" t="s">
        <v>154</v>
      </c>
      <c r="P284" s="197" t="s">
        <v>206</v>
      </c>
      <c r="Q284" s="197" t="s">
        <v>154</v>
      </c>
      <c r="R284" s="210" t="s">
        <v>154</v>
      </c>
      <c r="S284" s="197" t="s">
        <v>154</v>
      </c>
      <c r="T284" s="210" t="s">
        <v>154</v>
      </c>
      <c r="U284" s="197" t="s">
        <v>154</v>
      </c>
      <c r="V284" s="210" t="s">
        <v>154</v>
      </c>
      <c r="W284" s="197" t="s">
        <v>154</v>
      </c>
      <c r="X284" s="210" t="s">
        <v>154</v>
      </c>
      <c r="Y284" s="197" t="s">
        <v>154</v>
      </c>
      <c r="Z284" s="210" t="s">
        <v>154</v>
      </c>
      <c r="AA284" s="197" t="s">
        <v>154</v>
      </c>
      <c r="AB284" s="158" t="s">
        <v>154</v>
      </c>
      <c r="AC284" s="197" t="s">
        <v>154</v>
      </c>
      <c r="AD284" s="160" t="s">
        <v>154</v>
      </c>
      <c r="AE284" s="160" t="s">
        <v>154</v>
      </c>
      <c r="AF284" s="93" t="s">
        <v>154</v>
      </c>
      <c r="AG284" s="97" t="s">
        <v>154</v>
      </c>
      <c r="AH284" s="93" t="s">
        <v>154</v>
      </c>
      <c r="AI284" s="97" t="s">
        <v>154</v>
      </c>
      <c r="AJ284" s="93" t="s">
        <v>154</v>
      </c>
      <c r="AK284" s="97" t="s">
        <v>154</v>
      </c>
    </row>
    <row r="285" spans="1:37" x14ac:dyDescent="0.25">
      <c r="A285" s="21" t="s">
        <v>53</v>
      </c>
      <c r="B285" s="5" t="s">
        <v>27</v>
      </c>
      <c r="C285" s="5" t="s">
        <v>568</v>
      </c>
      <c r="D285" s="26" t="s">
        <v>29</v>
      </c>
      <c r="E285" s="26" t="s">
        <v>145</v>
      </c>
      <c r="F285" s="26" t="s">
        <v>146</v>
      </c>
      <c r="G285" s="21" t="s">
        <v>147</v>
      </c>
      <c r="H285" s="27" t="s">
        <v>180</v>
      </c>
      <c r="I285" s="14" t="s">
        <v>304</v>
      </c>
      <c r="J285" s="53" t="s">
        <v>154</v>
      </c>
      <c r="K285" s="15" t="s">
        <v>154</v>
      </c>
      <c r="L285" s="15" t="s">
        <v>206</v>
      </c>
      <c r="M285" s="15" t="s">
        <v>154</v>
      </c>
      <c r="N285" s="15" t="s">
        <v>206</v>
      </c>
      <c r="O285" s="15" t="s">
        <v>154</v>
      </c>
      <c r="P285" s="15" t="s">
        <v>206</v>
      </c>
      <c r="Q285" s="15" t="s">
        <v>154</v>
      </c>
      <c r="R285" s="17" t="s">
        <v>154</v>
      </c>
      <c r="S285" s="15" t="s">
        <v>154</v>
      </c>
      <c r="T285" s="17" t="s">
        <v>154</v>
      </c>
      <c r="U285" s="15" t="s">
        <v>154</v>
      </c>
      <c r="V285" s="17" t="s">
        <v>154</v>
      </c>
      <c r="W285" s="15" t="s">
        <v>154</v>
      </c>
      <c r="X285" s="17" t="s">
        <v>154</v>
      </c>
      <c r="Y285" s="15" t="s">
        <v>154</v>
      </c>
      <c r="Z285" s="17" t="s">
        <v>154</v>
      </c>
      <c r="AA285" s="15" t="s">
        <v>154</v>
      </c>
      <c r="AB285" s="93" t="s">
        <v>154</v>
      </c>
      <c r="AC285" s="15" t="s">
        <v>154</v>
      </c>
      <c r="AD285" s="97" t="s">
        <v>154</v>
      </c>
      <c r="AE285" s="97" t="s">
        <v>154</v>
      </c>
      <c r="AF285" s="93" t="s">
        <v>154</v>
      </c>
      <c r="AG285" s="97" t="s">
        <v>154</v>
      </c>
      <c r="AH285" s="93" t="s">
        <v>154</v>
      </c>
      <c r="AI285" s="97" t="s">
        <v>154</v>
      </c>
      <c r="AJ285" s="93" t="s">
        <v>154</v>
      </c>
      <c r="AK285" s="97" t="s">
        <v>154</v>
      </c>
    </row>
    <row r="286" spans="1:37" x14ac:dyDescent="0.25">
      <c r="A286" s="21" t="s">
        <v>53</v>
      </c>
      <c r="B286" s="5" t="s">
        <v>27</v>
      </c>
      <c r="C286" s="5" t="s">
        <v>568</v>
      </c>
      <c r="D286" s="26" t="s">
        <v>29</v>
      </c>
      <c r="E286" s="26" t="s">
        <v>145</v>
      </c>
      <c r="F286" s="21" t="s">
        <v>179</v>
      </c>
      <c r="G286" s="21" t="s">
        <v>147</v>
      </c>
      <c r="H286" s="21" t="s">
        <v>207</v>
      </c>
      <c r="I286" s="15">
        <v>0.2</v>
      </c>
      <c r="J286" s="53" t="s">
        <v>154</v>
      </c>
      <c r="K286" s="15" t="s">
        <v>154</v>
      </c>
      <c r="L286" s="15" t="s">
        <v>206</v>
      </c>
      <c r="M286" s="15" t="s">
        <v>154</v>
      </c>
      <c r="N286" s="15" t="s">
        <v>206</v>
      </c>
      <c r="O286" s="15" t="s">
        <v>154</v>
      </c>
      <c r="P286" s="15" t="s">
        <v>206</v>
      </c>
      <c r="Q286" s="15" t="s">
        <v>154</v>
      </c>
      <c r="R286" s="17" t="s">
        <v>154</v>
      </c>
      <c r="S286" s="15" t="s">
        <v>154</v>
      </c>
      <c r="T286" s="17" t="s">
        <v>154</v>
      </c>
      <c r="U286" s="15" t="s">
        <v>154</v>
      </c>
      <c r="V286" s="17" t="s">
        <v>154</v>
      </c>
      <c r="W286" s="15" t="s">
        <v>154</v>
      </c>
      <c r="X286" s="17" t="s">
        <v>154</v>
      </c>
      <c r="Y286" s="15" t="s">
        <v>154</v>
      </c>
      <c r="Z286" s="17" t="s">
        <v>154</v>
      </c>
      <c r="AA286" s="15" t="s">
        <v>154</v>
      </c>
      <c r="AB286" s="93" t="s">
        <v>154</v>
      </c>
      <c r="AC286" s="15" t="s">
        <v>154</v>
      </c>
      <c r="AD286" s="97" t="s">
        <v>154</v>
      </c>
      <c r="AE286" s="127" t="s">
        <v>154</v>
      </c>
      <c r="AF286" s="93" t="s">
        <v>154</v>
      </c>
      <c r="AG286" s="97" t="s">
        <v>154</v>
      </c>
      <c r="AH286" s="93" t="s">
        <v>154</v>
      </c>
      <c r="AI286" s="271" t="s">
        <v>154</v>
      </c>
      <c r="AJ286" s="93" t="s">
        <v>154</v>
      </c>
      <c r="AK286" s="271" t="s">
        <v>154</v>
      </c>
    </row>
    <row r="287" spans="1:37" x14ac:dyDescent="0.25">
      <c r="A287" s="21" t="s">
        <v>53</v>
      </c>
      <c r="B287" s="5" t="s">
        <v>27</v>
      </c>
      <c r="C287" s="5" t="s">
        <v>568</v>
      </c>
      <c r="D287" s="26" t="s">
        <v>29</v>
      </c>
      <c r="E287" s="26" t="s">
        <v>145</v>
      </c>
      <c r="F287" s="21" t="s">
        <v>179</v>
      </c>
      <c r="G287" s="21" t="s">
        <v>147</v>
      </c>
      <c r="H287" s="27" t="s">
        <v>186</v>
      </c>
      <c r="I287" s="15">
        <v>0.7</v>
      </c>
      <c r="J287" s="53" t="s">
        <v>154</v>
      </c>
      <c r="K287" s="15" t="s">
        <v>154</v>
      </c>
      <c r="L287" s="15" t="s">
        <v>206</v>
      </c>
      <c r="M287" s="15" t="s">
        <v>154</v>
      </c>
      <c r="N287" s="15" t="s">
        <v>206</v>
      </c>
      <c r="O287" s="15" t="s">
        <v>154</v>
      </c>
      <c r="P287" s="15" t="s">
        <v>206</v>
      </c>
      <c r="Q287" s="15" t="s">
        <v>154</v>
      </c>
      <c r="R287" s="17" t="s">
        <v>154</v>
      </c>
      <c r="S287" s="15" t="s">
        <v>154</v>
      </c>
      <c r="T287" s="17" t="s">
        <v>154</v>
      </c>
      <c r="U287" s="15" t="s">
        <v>154</v>
      </c>
      <c r="V287" s="17" t="s">
        <v>154</v>
      </c>
      <c r="W287" s="15" t="s">
        <v>154</v>
      </c>
      <c r="X287" s="17" t="s">
        <v>154</v>
      </c>
      <c r="Y287" s="15" t="s">
        <v>154</v>
      </c>
      <c r="Z287" s="17" t="s">
        <v>154</v>
      </c>
      <c r="AA287" s="15" t="s">
        <v>154</v>
      </c>
      <c r="AB287" s="93" t="s">
        <v>154</v>
      </c>
      <c r="AC287" s="15" t="s">
        <v>154</v>
      </c>
      <c r="AD287" s="97" t="s">
        <v>154</v>
      </c>
      <c r="AE287" s="126" t="s">
        <v>154</v>
      </c>
      <c r="AF287" s="93" t="s">
        <v>154</v>
      </c>
      <c r="AG287" s="97" t="s">
        <v>154</v>
      </c>
      <c r="AH287" s="93" t="s">
        <v>154</v>
      </c>
      <c r="AI287" s="94" t="s">
        <v>154</v>
      </c>
      <c r="AJ287" s="93" t="s">
        <v>154</v>
      </c>
      <c r="AK287" s="94" t="s">
        <v>154</v>
      </c>
    </row>
    <row r="288" spans="1:37" x14ac:dyDescent="0.25">
      <c r="A288" s="21" t="s">
        <v>53</v>
      </c>
      <c r="B288" s="5" t="s">
        <v>27</v>
      </c>
      <c r="C288" s="5" t="s">
        <v>568</v>
      </c>
      <c r="D288" s="26" t="s">
        <v>29</v>
      </c>
      <c r="E288" s="26" t="s">
        <v>145</v>
      </c>
      <c r="F288" s="21" t="s">
        <v>179</v>
      </c>
      <c r="G288" s="21" t="s">
        <v>147</v>
      </c>
      <c r="H288" s="27" t="s">
        <v>188</v>
      </c>
      <c r="I288" s="15">
        <v>0.5</v>
      </c>
      <c r="J288" s="53" t="s">
        <v>154</v>
      </c>
      <c r="K288" s="15" t="s">
        <v>154</v>
      </c>
      <c r="L288" s="15" t="s">
        <v>206</v>
      </c>
      <c r="M288" s="15" t="s">
        <v>154</v>
      </c>
      <c r="N288" s="15" t="s">
        <v>206</v>
      </c>
      <c r="O288" s="15" t="s">
        <v>154</v>
      </c>
      <c r="P288" s="15" t="s">
        <v>206</v>
      </c>
      <c r="Q288" s="15" t="s">
        <v>154</v>
      </c>
      <c r="R288" s="17" t="s">
        <v>154</v>
      </c>
      <c r="S288" s="15" t="s">
        <v>154</v>
      </c>
      <c r="T288" s="17" t="s">
        <v>154</v>
      </c>
      <c r="U288" s="15" t="s">
        <v>154</v>
      </c>
      <c r="V288" s="17" t="s">
        <v>154</v>
      </c>
      <c r="W288" s="15" t="s">
        <v>154</v>
      </c>
      <c r="X288" s="17" t="s">
        <v>154</v>
      </c>
      <c r="Y288" s="15" t="s">
        <v>154</v>
      </c>
      <c r="Z288" s="17" t="s">
        <v>154</v>
      </c>
      <c r="AA288" s="15" t="s">
        <v>154</v>
      </c>
      <c r="AB288" s="93" t="s">
        <v>154</v>
      </c>
      <c r="AC288" s="15" t="s">
        <v>154</v>
      </c>
      <c r="AD288" s="97" t="s">
        <v>154</v>
      </c>
      <c r="AE288" s="126" t="s">
        <v>154</v>
      </c>
      <c r="AF288" s="93" t="s">
        <v>154</v>
      </c>
      <c r="AG288" s="97" t="s">
        <v>154</v>
      </c>
      <c r="AH288" s="93" t="s">
        <v>154</v>
      </c>
      <c r="AI288" s="94" t="s">
        <v>154</v>
      </c>
      <c r="AJ288" s="93" t="s">
        <v>154</v>
      </c>
      <c r="AK288" s="94" t="s">
        <v>154</v>
      </c>
    </row>
    <row r="289" spans="1:37" x14ac:dyDescent="0.25">
      <c r="A289" s="21" t="s">
        <v>53</v>
      </c>
      <c r="B289" s="5" t="s">
        <v>27</v>
      </c>
      <c r="C289" s="5" t="s">
        <v>568</v>
      </c>
      <c r="D289" s="26" t="s">
        <v>29</v>
      </c>
      <c r="E289" s="26" t="s">
        <v>145</v>
      </c>
      <c r="F289" s="21" t="s">
        <v>179</v>
      </c>
      <c r="G289" s="21" t="s">
        <v>147</v>
      </c>
      <c r="H289" s="21" t="s">
        <v>189</v>
      </c>
      <c r="I289" s="15">
        <v>0.2</v>
      </c>
      <c r="J289" s="53" t="s">
        <v>154</v>
      </c>
      <c r="K289" s="15" t="s">
        <v>154</v>
      </c>
      <c r="L289" s="15" t="s">
        <v>206</v>
      </c>
      <c r="M289" s="15" t="s">
        <v>154</v>
      </c>
      <c r="N289" s="15" t="s">
        <v>206</v>
      </c>
      <c r="O289" s="15" t="s">
        <v>154</v>
      </c>
      <c r="P289" s="15" t="s">
        <v>206</v>
      </c>
      <c r="Q289" s="15" t="s">
        <v>154</v>
      </c>
      <c r="R289" s="17" t="s">
        <v>154</v>
      </c>
      <c r="S289" s="15" t="s">
        <v>154</v>
      </c>
      <c r="T289" s="17" t="s">
        <v>154</v>
      </c>
      <c r="U289" s="15" t="s">
        <v>154</v>
      </c>
      <c r="V289" s="17" t="s">
        <v>154</v>
      </c>
      <c r="W289" s="15" t="s">
        <v>154</v>
      </c>
      <c r="X289" s="17" t="s">
        <v>154</v>
      </c>
      <c r="Y289" s="15" t="s">
        <v>154</v>
      </c>
      <c r="Z289" s="17" t="s">
        <v>154</v>
      </c>
      <c r="AA289" s="15" t="s">
        <v>154</v>
      </c>
      <c r="AB289" s="93" t="s">
        <v>154</v>
      </c>
      <c r="AC289" s="15" t="s">
        <v>154</v>
      </c>
      <c r="AD289" s="97" t="s">
        <v>154</v>
      </c>
      <c r="AE289" s="126" t="s">
        <v>154</v>
      </c>
      <c r="AF289" s="93" t="s">
        <v>154</v>
      </c>
      <c r="AG289" s="97" t="s">
        <v>154</v>
      </c>
      <c r="AH289" s="93" t="s">
        <v>154</v>
      </c>
      <c r="AI289" s="94" t="s">
        <v>154</v>
      </c>
      <c r="AJ289" s="93" t="s">
        <v>154</v>
      </c>
      <c r="AK289" s="94" t="s">
        <v>154</v>
      </c>
    </row>
    <row r="290" spans="1:37" x14ac:dyDescent="0.25">
      <c r="A290" s="161" t="s">
        <v>53</v>
      </c>
      <c r="B290" s="162" t="s">
        <v>27</v>
      </c>
      <c r="C290" s="5" t="s">
        <v>568</v>
      </c>
      <c r="D290" s="163" t="s">
        <v>29</v>
      </c>
      <c r="E290" s="163" t="s">
        <v>145</v>
      </c>
      <c r="F290" s="161" t="s">
        <v>179</v>
      </c>
      <c r="G290" s="161" t="s">
        <v>147</v>
      </c>
      <c r="H290" s="164" t="s">
        <v>190</v>
      </c>
      <c r="I290" s="165">
        <v>0.2</v>
      </c>
      <c r="J290" s="185" t="s">
        <v>154</v>
      </c>
      <c r="K290" s="165" t="s">
        <v>154</v>
      </c>
      <c r="L290" s="165" t="s">
        <v>206</v>
      </c>
      <c r="M290" s="165" t="s">
        <v>154</v>
      </c>
      <c r="N290" s="165" t="s">
        <v>206</v>
      </c>
      <c r="O290" s="165" t="s">
        <v>154</v>
      </c>
      <c r="P290" s="165" t="s">
        <v>206</v>
      </c>
      <c r="Q290" s="165" t="s">
        <v>154</v>
      </c>
      <c r="R290" s="168" t="s">
        <v>154</v>
      </c>
      <c r="S290" s="165" t="s">
        <v>154</v>
      </c>
      <c r="T290" s="168" t="s">
        <v>154</v>
      </c>
      <c r="U290" s="165" t="s">
        <v>154</v>
      </c>
      <c r="V290" s="168" t="s">
        <v>154</v>
      </c>
      <c r="W290" s="165" t="s">
        <v>154</v>
      </c>
      <c r="X290" s="168" t="s">
        <v>154</v>
      </c>
      <c r="Y290" s="165" t="s">
        <v>154</v>
      </c>
      <c r="Z290" s="168" t="s">
        <v>154</v>
      </c>
      <c r="AA290" s="165" t="s">
        <v>154</v>
      </c>
      <c r="AB290" s="159" t="s">
        <v>154</v>
      </c>
      <c r="AC290" s="165" t="s">
        <v>154</v>
      </c>
      <c r="AD290" s="156" t="s">
        <v>154</v>
      </c>
      <c r="AE290" s="174" t="s">
        <v>154</v>
      </c>
      <c r="AF290" s="93" t="s">
        <v>154</v>
      </c>
      <c r="AG290" s="97" t="s">
        <v>154</v>
      </c>
      <c r="AH290" s="93" t="s">
        <v>154</v>
      </c>
      <c r="AI290" s="94" t="s">
        <v>154</v>
      </c>
      <c r="AJ290" s="93" t="s">
        <v>154</v>
      </c>
      <c r="AK290" s="94" t="s">
        <v>154</v>
      </c>
    </row>
    <row r="291" spans="1:37" x14ac:dyDescent="0.25">
      <c r="A291" s="21" t="s">
        <v>78</v>
      </c>
      <c r="B291" s="5" t="s">
        <v>23</v>
      </c>
      <c r="C291" s="76" t="s">
        <v>24</v>
      </c>
      <c r="D291" s="26" t="s">
        <v>91</v>
      </c>
      <c r="E291" s="26" t="s">
        <v>191</v>
      </c>
      <c r="F291" s="21" t="s">
        <v>179</v>
      </c>
      <c r="G291" s="21" t="s">
        <v>147</v>
      </c>
      <c r="H291" s="27" t="s">
        <v>180</v>
      </c>
      <c r="I291" s="14" t="s">
        <v>383</v>
      </c>
      <c r="J291" s="28" t="s">
        <v>154</v>
      </c>
      <c r="K291" s="28" t="s">
        <v>154</v>
      </c>
      <c r="L291" s="28" t="s">
        <v>400</v>
      </c>
      <c r="M291" s="28" t="s">
        <v>150</v>
      </c>
      <c r="N291" s="28">
        <v>72</v>
      </c>
      <c r="O291" s="28" t="s">
        <v>150</v>
      </c>
      <c r="P291" s="28">
        <v>70</v>
      </c>
      <c r="Q291" s="28" t="s">
        <v>150</v>
      </c>
      <c r="R291" s="28">
        <v>150</v>
      </c>
      <c r="S291" s="28" t="s">
        <v>194</v>
      </c>
      <c r="T291" s="28">
        <v>47</v>
      </c>
      <c r="U291" s="28" t="s">
        <v>150</v>
      </c>
      <c r="V291" s="28" t="s">
        <v>195</v>
      </c>
      <c r="W291" s="28" t="s">
        <v>195</v>
      </c>
      <c r="X291" s="28" t="s">
        <v>195</v>
      </c>
      <c r="Y291" s="28" t="s">
        <v>195</v>
      </c>
      <c r="Z291" s="28" t="s">
        <v>195</v>
      </c>
      <c r="AA291" s="28" t="s">
        <v>195</v>
      </c>
      <c r="AB291" s="97" t="s">
        <v>195</v>
      </c>
      <c r="AC291" s="90" t="s">
        <v>195</v>
      </c>
      <c r="AD291" s="97" t="s">
        <v>195</v>
      </c>
      <c r="AE291" s="97" t="s">
        <v>195</v>
      </c>
      <c r="AF291" s="95" t="s">
        <v>195</v>
      </c>
      <c r="AG291" s="140" t="s">
        <v>195</v>
      </c>
      <c r="AH291" s="95" t="s">
        <v>195</v>
      </c>
      <c r="AI291" s="97" t="s">
        <v>195</v>
      </c>
      <c r="AJ291" s="95" t="s">
        <v>195</v>
      </c>
      <c r="AK291" s="97" t="s">
        <v>195</v>
      </c>
    </row>
    <row r="292" spans="1:37" x14ac:dyDescent="0.25">
      <c r="A292" s="21" t="s">
        <v>78</v>
      </c>
      <c r="B292" s="5" t="s">
        <v>23</v>
      </c>
      <c r="C292" s="76" t="s">
        <v>24</v>
      </c>
      <c r="D292" s="26" t="s">
        <v>91</v>
      </c>
      <c r="E292" s="26" t="s">
        <v>191</v>
      </c>
      <c r="F292" s="21" t="s">
        <v>179</v>
      </c>
      <c r="G292" s="21" t="s">
        <v>147</v>
      </c>
      <c r="H292" s="27" t="s">
        <v>197</v>
      </c>
      <c r="I292" s="14" t="s">
        <v>216</v>
      </c>
      <c r="J292" s="28">
        <v>55</v>
      </c>
      <c r="K292" s="28" t="s">
        <v>194</v>
      </c>
      <c r="L292" s="28">
        <v>49</v>
      </c>
      <c r="M292" s="28" t="s">
        <v>194</v>
      </c>
      <c r="N292" s="28">
        <v>48</v>
      </c>
      <c r="O292" s="28" t="s">
        <v>194</v>
      </c>
      <c r="P292" s="28">
        <v>48</v>
      </c>
      <c r="Q292" s="28" t="s">
        <v>194</v>
      </c>
      <c r="R292" s="28">
        <v>51</v>
      </c>
      <c r="S292" s="28" t="s">
        <v>194</v>
      </c>
      <c r="T292" s="55">
        <v>52</v>
      </c>
      <c r="U292" s="28" t="s">
        <v>194</v>
      </c>
      <c r="V292" s="28" t="s">
        <v>195</v>
      </c>
      <c r="W292" s="28" t="s">
        <v>195</v>
      </c>
      <c r="X292" s="28" t="s">
        <v>195</v>
      </c>
      <c r="Y292" s="28" t="s">
        <v>195</v>
      </c>
      <c r="Z292" s="28" t="s">
        <v>195</v>
      </c>
      <c r="AA292" s="28" t="s">
        <v>195</v>
      </c>
      <c r="AB292" s="97" t="s">
        <v>195</v>
      </c>
      <c r="AC292" s="90" t="s">
        <v>195</v>
      </c>
      <c r="AD292" s="97" t="s">
        <v>195</v>
      </c>
      <c r="AE292" s="97" t="s">
        <v>195</v>
      </c>
      <c r="AF292" s="95" t="s">
        <v>195</v>
      </c>
      <c r="AG292" s="140" t="s">
        <v>195</v>
      </c>
      <c r="AH292" s="95" t="s">
        <v>195</v>
      </c>
      <c r="AI292" s="97" t="s">
        <v>195</v>
      </c>
      <c r="AJ292" s="95" t="s">
        <v>195</v>
      </c>
      <c r="AK292" s="97" t="s">
        <v>195</v>
      </c>
    </row>
    <row r="293" spans="1:37" x14ac:dyDescent="0.25">
      <c r="A293" s="21" t="s">
        <v>78</v>
      </c>
      <c r="B293" s="5" t="s">
        <v>23</v>
      </c>
      <c r="C293" s="76" t="s">
        <v>24</v>
      </c>
      <c r="D293" s="26" t="s">
        <v>91</v>
      </c>
      <c r="E293" s="26" t="s">
        <v>191</v>
      </c>
      <c r="F293" s="21" t="s">
        <v>179</v>
      </c>
      <c r="G293" s="21" t="s">
        <v>147</v>
      </c>
      <c r="H293" s="21" t="s">
        <v>207</v>
      </c>
      <c r="I293" s="14" t="s">
        <v>319</v>
      </c>
      <c r="J293" s="29">
        <v>0.26</v>
      </c>
      <c r="K293" s="28" t="s">
        <v>194</v>
      </c>
      <c r="L293" s="29">
        <v>0.36</v>
      </c>
      <c r="M293" s="28" t="s">
        <v>194</v>
      </c>
      <c r="N293" s="29">
        <v>0.72</v>
      </c>
      <c r="O293" s="28" t="s">
        <v>194</v>
      </c>
      <c r="P293" s="29">
        <v>0.72</v>
      </c>
      <c r="Q293" s="28" t="s">
        <v>194</v>
      </c>
      <c r="R293" s="29">
        <v>0.28999999999999998</v>
      </c>
      <c r="S293" s="28" t="s">
        <v>194</v>
      </c>
      <c r="T293" s="55">
        <v>138</v>
      </c>
      <c r="U293" s="28" t="s">
        <v>194</v>
      </c>
      <c r="V293" s="28" t="s">
        <v>195</v>
      </c>
      <c r="W293" s="28" t="s">
        <v>195</v>
      </c>
      <c r="X293" s="28" t="s">
        <v>195</v>
      </c>
      <c r="Y293" s="28" t="s">
        <v>195</v>
      </c>
      <c r="Z293" s="28" t="s">
        <v>195</v>
      </c>
      <c r="AA293" s="28" t="s">
        <v>195</v>
      </c>
      <c r="AB293" s="97" t="s">
        <v>195</v>
      </c>
      <c r="AC293" s="90" t="s">
        <v>195</v>
      </c>
      <c r="AD293" s="97" t="s">
        <v>195</v>
      </c>
      <c r="AE293" s="127" t="s">
        <v>195</v>
      </c>
      <c r="AF293" s="95" t="s">
        <v>195</v>
      </c>
      <c r="AG293" s="140" t="s">
        <v>195</v>
      </c>
      <c r="AH293" s="95" t="s">
        <v>195</v>
      </c>
      <c r="AI293" s="271" t="s">
        <v>195</v>
      </c>
      <c r="AJ293" s="95" t="s">
        <v>195</v>
      </c>
      <c r="AK293" s="271" t="s">
        <v>195</v>
      </c>
    </row>
    <row r="294" spans="1:37" x14ac:dyDescent="0.25">
      <c r="A294" s="21" t="s">
        <v>78</v>
      </c>
      <c r="B294" s="5" t="s">
        <v>23</v>
      </c>
      <c r="C294" s="76" t="s">
        <v>24</v>
      </c>
      <c r="D294" s="26" t="s">
        <v>91</v>
      </c>
      <c r="E294" s="26" t="s">
        <v>191</v>
      </c>
      <c r="F294" s="21" t="s">
        <v>179</v>
      </c>
      <c r="G294" s="21" t="s">
        <v>147</v>
      </c>
      <c r="H294" s="27" t="s">
        <v>186</v>
      </c>
      <c r="I294" s="11">
        <v>0.6</v>
      </c>
      <c r="J294" s="29">
        <v>0.48</v>
      </c>
      <c r="K294" s="28" t="s">
        <v>194</v>
      </c>
      <c r="L294" s="29">
        <v>0.5</v>
      </c>
      <c r="M294" s="28" t="s">
        <v>194</v>
      </c>
      <c r="N294" s="29">
        <v>0.46</v>
      </c>
      <c r="O294" s="28" t="s">
        <v>194</v>
      </c>
      <c r="P294" s="29">
        <v>0.47</v>
      </c>
      <c r="Q294" s="28" t="s">
        <v>194</v>
      </c>
      <c r="R294" s="29">
        <v>0.5</v>
      </c>
      <c r="S294" s="28" t="s">
        <v>194</v>
      </c>
      <c r="T294" s="29">
        <v>0.4</v>
      </c>
      <c r="U294" s="28" t="s">
        <v>194</v>
      </c>
      <c r="V294" s="28" t="s">
        <v>195</v>
      </c>
      <c r="W294" s="28" t="s">
        <v>195</v>
      </c>
      <c r="X294" s="28" t="s">
        <v>195</v>
      </c>
      <c r="Y294" s="28" t="s">
        <v>195</v>
      </c>
      <c r="Z294" s="28" t="s">
        <v>195</v>
      </c>
      <c r="AA294" s="28" t="s">
        <v>195</v>
      </c>
      <c r="AB294" s="97" t="s">
        <v>195</v>
      </c>
      <c r="AC294" s="90" t="s">
        <v>195</v>
      </c>
      <c r="AD294" s="97" t="s">
        <v>195</v>
      </c>
      <c r="AE294" s="126" t="s">
        <v>195</v>
      </c>
      <c r="AF294" s="95" t="s">
        <v>195</v>
      </c>
      <c r="AG294" s="140" t="s">
        <v>195</v>
      </c>
      <c r="AH294" s="95" t="s">
        <v>195</v>
      </c>
      <c r="AI294" s="94" t="s">
        <v>195</v>
      </c>
      <c r="AJ294" s="95" t="s">
        <v>195</v>
      </c>
      <c r="AK294" s="94" t="s">
        <v>195</v>
      </c>
    </row>
    <row r="295" spans="1:37" x14ac:dyDescent="0.25">
      <c r="A295" s="21" t="s">
        <v>78</v>
      </c>
      <c r="B295" s="5" t="s">
        <v>23</v>
      </c>
      <c r="C295" s="76" t="s">
        <v>24</v>
      </c>
      <c r="D295" s="26" t="s">
        <v>91</v>
      </c>
      <c r="E295" s="26" t="s">
        <v>191</v>
      </c>
      <c r="F295" s="21" t="s">
        <v>179</v>
      </c>
      <c r="G295" s="21" t="s">
        <v>147</v>
      </c>
      <c r="H295" s="27" t="s">
        <v>188</v>
      </c>
      <c r="I295" s="11">
        <v>0.2</v>
      </c>
      <c r="J295" s="29">
        <v>0.02</v>
      </c>
      <c r="K295" s="28" t="s">
        <v>194</v>
      </c>
      <c r="L295" s="29">
        <v>0.03</v>
      </c>
      <c r="M295" s="28" t="s">
        <v>194</v>
      </c>
      <c r="N295" s="29">
        <v>0.11</v>
      </c>
      <c r="O295" s="28" t="s">
        <v>194</v>
      </c>
      <c r="P295" s="29">
        <v>7.0000000000000007E-2</v>
      </c>
      <c r="Q295" s="28" t="s">
        <v>194</v>
      </c>
      <c r="R295" s="29">
        <v>0.05</v>
      </c>
      <c r="S295" s="28" t="s">
        <v>194</v>
      </c>
      <c r="T295" s="29">
        <v>0.51</v>
      </c>
      <c r="U295" s="28" t="s">
        <v>150</v>
      </c>
      <c r="V295" s="28" t="s">
        <v>195</v>
      </c>
      <c r="W295" s="28" t="s">
        <v>195</v>
      </c>
      <c r="X295" s="28" t="s">
        <v>195</v>
      </c>
      <c r="Y295" s="28" t="s">
        <v>195</v>
      </c>
      <c r="Z295" s="28" t="s">
        <v>195</v>
      </c>
      <c r="AA295" s="28" t="s">
        <v>195</v>
      </c>
      <c r="AB295" s="97" t="s">
        <v>195</v>
      </c>
      <c r="AC295" s="90" t="s">
        <v>195</v>
      </c>
      <c r="AD295" s="97" t="s">
        <v>195</v>
      </c>
      <c r="AE295" s="126" t="s">
        <v>195</v>
      </c>
      <c r="AF295" s="95" t="s">
        <v>195</v>
      </c>
      <c r="AG295" s="140" t="s">
        <v>195</v>
      </c>
      <c r="AH295" s="95" t="s">
        <v>195</v>
      </c>
      <c r="AI295" s="94" t="s">
        <v>195</v>
      </c>
      <c r="AJ295" s="95" t="s">
        <v>195</v>
      </c>
      <c r="AK295" s="94" t="s">
        <v>195</v>
      </c>
    </row>
    <row r="296" spans="1:37" x14ac:dyDescent="0.25">
      <c r="A296" s="21" t="s">
        <v>78</v>
      </c>
      <c r="B296" s="5" t="s">
        <v>23</v>
      </c>
      <c r="C296" s="76" t="s">
        <v>24</v>
      </c>
      <c r="D296" s="26" t="s">
        <v>91</v>
      </c>
      <c r="E296" s="26" t="s">
        <v>191</v>
      </c>
      <c r="F296" s="21" t="s">
        <v>179</v>
      </c>
      <c r="G296" s="21" t="s">
        <v>147</v>
      </c>
      <c r="H296" s="21" t="s">
        <v>189</v>
      </c>
      <c r="I296" s="11">
        <v>0.15</v>
      </c>
      <c r="J296" s="29">
        <v>0</v>
      </c>
      <c r="K296" s="28" t="s">
        <v>150</v>
      </c>
      <c r="L296" s="29">
        <v>0</v>
      </c>
      <c r="M296" s="28" t="s">
        <v>150</v>
      </c>
      <c r="N296" s="29">
        <v>0</v>
      </c>
      <c r="O296" s="28" t="s">
        <v>150</v>
      </c>
      <c r="P296" s="29">
        <v>7.0000000000000007E-2</v>
      </c>
      <c r="Q296" s="28" t="s">
        <v>150</v>
      </c>
      <c r="R296" s="29">
        <v>0.33</v>
      </c>
      <c r="S296" s="28" t="s">
        <v>194</v>
      </c>
      <c r="T296" s="29">
        <v>0.09</v>
      </c>
      <c r="U296" s="28" t="s">
        <v>150</v>
      </c>
      <c r="V296" s="28" t="s">
        <v>195</v>
      </c>
      <c r="W296" s="28" t="s">
        <v>195</v>
      </c>
      <c r="X296" s="28" t="s">
        <v>195</v>
      </c>
      <c r="Y296" s="28" t="s">
        <v>195</v>
      </c>
      <c r="Z296" s="28" t="s">
        <v>195</v>
      </c>
      <c r="AA296" s="28" t="s">
        <v>195</v>
      </c>
      <c r="AB296" s="97" t="s">
        <v>195</v>
      </c>
      <c r="AC296" s="90" t="s">
        <v>195</v>
      </c>
      <c r="AD296" s="97" t="s">
        <v>195</v>
      </c>
      <c r="AE296" s="126" t="s">
        <v>195</v>
      </c>
      <c r="AF296" s="95" t="s">
        <v>195</v>
      </c>
      <c r="AG296" s="140" t="s">
        <v>195</v>
      </c>
      <c r="AH296" s="95" t="s">
        <v>195</v>
      </c>
      <c r="AI296" s="94" t="s">
        <v>195</v>
      </c>
      <c r="AJ296" s="95" t="s">
        <v>195</v>
      </c>
      <c r="AK296" s="94" t="s">
        <v>195</v>
      </c>
    </row>
    <row r="297" spans="1:37" x14ac:dyDescent="0.25">
      <c r="A297" s="21" t="s">
        <v>78</v>
      </c>
      <c r="B297" s="5" t="s">
        <v>23</v>
      </c>
      <c r="C297" s="76" t="s">
        <v>24</v>
      </c>
      <c r="D297" s="26" t="s">
        <v>91</v>
      </c>
      <c r="E297" s="26" t="s">
        <v>191</v>
      </c>
      <c r="F297" s="21" t="s">
        <v>179</v>
      </c>
      <c r="G297" s="21" t="s">
        <v>147</v>
      </c>
      <c r="H297" s="27" t="s">
        <v>190</v>
      </c>
      <c r="I297" s="11">
        <v>0.9</v>
      </c>
      <c r="J297" s="29">
        <v>0</v>
      </c>
      <c r="K297" s="28" t="s">
        <v>194</v>
      </c>
      <c r="L297" s="29">
        <v>0.1</v>
      </c>
      <c r="M297" s="28" t="s">
        <v>194</v>
      </c>
      <c r="N297" s="29">
        <v>0.16</v>
      </c>
      <c r="O297" s="28" t="s">
        <v>194</v>
      </c>
      <c r="P297" s="29">
        <v>0.25</v>
      </c>
      <c r="Q297" s="28" t="s">
        <v>194</v>
      </c>
      <c r="R297" s="29">
        <v>0.02</v>
      </c>
      <c r="S297" s="28" t="s">
        <v>194</v>
      </c>
      <c r="T297" s="29">
        <v>0</v>
      </c>
      <c r="U297" s="28" t="s">
        <v>194</v>
      </c>
      <c r="V297" s="28" t="s">
        <v>195</v>
      </c>
      <c r="W297" s="28" t="s">
        <v>195</v>
      </c>
      <c r="X297" s="28" t="s">
        <v>195</v>
      </c>
      <c r="Y297" s="28" t="s">
        <v>195</v>
      </c>
      <c r="Z297" s="28" t="s">
        <v>195</v>
      </c>
      <c r="AA297" s="28" t="s">
        <v>195</v>
      </c>
      <c r="AB297" s="97" t="s">
        <v>195</v>
      </c>
      <c r="AC297" s="90" t="s">
        <v>195</v>
      </c>
      <c r="AD297" s="97" t="s">
        <v>195</v>
      </c>
      <c r="AE297" s="126" t="s">
        <v>195</v>
      </c>
      <c r="AF297" s="95" t="s">
        <v>195</v>
      </c>
      <c r="AG297" s="140" t="s">
        <v>195</v>
      </c>
      <c r="AH297" s="95" t="s">
        <v>195</v>
      </c>
      <c r="AI297" s="94" t="s">
        <v>195</v>
      </c>
      <c r="AJ297" s="95" t="s">
        <v>195</v>
      </c>
      <c r="AK297" s="94" t="s">
        <v>195</v>
      </c>
    </row>
    <row r="298" spans="1:37" x14ac:dyDescent="0.25">
      <c r="A298" s="21" t="s">
        <v>78</v>
      </c>
      <c r="B298" s="5" t="s">
        <v>23</v>
      </c>
      <c r="C298" s="76" t="s">
        <v>24</v>
      </c>
      <c r="D298" s="26" t="s">
        <v>91</v>
      </c>
      <c r="E298" s="26" t="s">
        <v>191</v>
      </c>
      <c r="F298" s="21" t="s">
        <v>179</v>
      </c>
      <c r="G298" s="21" t="s">
        <v>147</v>
      </c>
      <c r="H298" s="27" t="s">
        <v>174</v>
      </c>
      <c r="I298" s="11">
        <v>0.2</v>
      </c>
      <c r="J298" s="29" t="s">
        <v>206</v>
      </c>
      <c r="K298" s="29" t="s">
        <v>206</v>
      </c>
      <c r="L298" s="29" t="s">
        <v>154</v>
      </c>
      <c r="M298" s="29" t="s">
        <v>154</v>
      </c>
      <c r="N298" s="29">
        <v>0.86</v>
      </c>
      <c r="O298" s="28" t="s">
        <v>150</v>
      </c>
      <c r="P298" s="29">
        <v>0.91</v>
      </c>
      <c r="Q298" s="28" t="s">
        <v>150</v>
      </c>
      <c r="R298" s="29">
        <v>0</v>
      </c>
      <c r="S298" s="28" t="s">
        <v>194</v>
      </c>
      <c r="T298" s="29">
        <v>0.19</v>
      </c>
      <c r="U298" s="28" t="s">
        <v>194</v>
      </c>
      <c r="V298" s="28" t="s">
        <v>195</v>
      </c>
      <c r="W298" s="28" t="s">
        <v>195</v>
      </c>
      <c r="X298" s="28" t="s">
        <v>195</v>
      </c>
      <c r="Y298" s="28" t="s">
        <v>195</v>
      </c>
      <c r="Z298" s="28" t="s">
        <v>195</v>
      </c>
      <c r="AA298" s="28" t="s">
        <v>195</v>
      </c>
      <c r="AB298" s="97" t="s">
        <v>195</v>
      </c>
      <c r="AC298" s="90" t="s">
        <v>195</v>
      </c>
      <c r="AD298" s="97" t="s">
        <v>195</v>
      </c>
      <c r="AE298" s="97" t="s">
        <v>195</v>
      </c>
      <c r="AF298" s="95" t="s">
        <v>195</v>
      </c>
      <c r="AG298" s="140" t="s">
        <v>195</v>
      </c>
      <c r="AH298" s="95" t="s">
        <v>195</v>
      </c>
      <c r="AI298" s="97" t="s">
        <v>195</v>
      </c>
      <c r="AJ298" s="95" t="s">
        <v>195</v>
      </c>
      <c r="AK298" s="97" t="s">
        <v>195</v>
      </c>
    </row>
    <row r="299" spans="1:37" x14ac:dyDescent="0.25">
      <c r="A299" s="201" t="s">
        <v>79</v>
      </c>
      <c r="B299" s="202" t="s">
        <v>42</v>
      </c>
      <c r="C299" s="263" t="s">
        <v>501</v>
      </c>
      <c r="D299" s="203" t="s">
        <v>43</v>
      </c>
      <c r="E299" s="203" t="s">
        <v>191</v>
      </c>
      <c r="F299" s="201" t="s">
        <v>179</v>
      </c>
      <c r="G299" s="201" t="s">
        <v>147</v>
      </c>
      <c r="H299" s="199" t="s">
        <v>180</v>
      </c>
      <c r="I299" s="199" t="s">
        <v>218</v>
      </c>
      <c r="J299" s="201" t="s">
        <v>195</v>
      </c>
      <c r="K299" s="201" t="s">
        <v>195</v>
      </c>
      <c r="L299" s="201" t="s">
        <v>393</v>
      </c>
      <c r="M299" s="201" t="s">
        <v>150</v>
      </c>
      <c r="N299" s="201" t="s">
        <v>393</v>
      </c>
      <c r="O299" s="201" t="s">
        <v>150</v>
      </c>
      <c r="P299" s="201" t="s">
        <v>401</v>
      </c>
      <c r="Q299" s="201" t="s">
        <v>150</v>
      </c>
      <c r="R299" s="201">
        <v>0</v>
      </c>
      <c r="S299" s="201" t="s">
        <v>194</v>
      </c>
      <c r="T299" s="199" t="s">
        <v>195</v>
      </c>
      <c r="U299" s="199" t="s">
        <v>195</v>
      </c>
      <c r="V299" s="199" t="s">
        <v>195</v>
      </c>
      <c r="W299" s="199" t="s">
        <v>195</v>
      </c>
      <c r="X299" s="199" t="s">
        <v>195</v>
      </c>
      <c r="Y299" s="199" t="s">
        <v>195</v>
      </c>
      <c r="Z299" s="199" t="s">
        <v>401</v>
      </c>
      <c r="AA299" s="199" t="s">
        <v>150</v>
      </c>
      <c r="AB299" s="239">
        <v>60</v>
      </c>
      <c r="AC299" s="199" t="s">
        <v>150</v>
      </c>
      <c r="AD299" s="206">
        <v>56</v>
      </c>
      <c r="AE299" s="199" t="s">
        <v>150</v>
      </c>
      <c r="AF299" s="95">
        <v>52</v>
      </c>
      <c r="AG299" s="199" t="s">
        <v>150</v>
      </c>
      <c r="AH299" s="95">
        <v>51</v>
      </c>
      <c r="AI299" s="199" t="s">
        <v>150</v>
      </c>
      <c r="AJ299" s="274">
        <v>52</v>
      </c>
      <c r="AK299" s="199" t="s">
        <v>150</v>
      </c>
    </row>
    <row r="300" spans="1:37" x14ac:dyDescent="0.25">
      <c r="A300" s="21" t="s">
        <v>79</v>
      </c>
      <c r="B300" s="5" t="s">
        <v>42</v>
      </c>
      <c r="C300" s="263" t="s">
        <v>501</v>
      </c>
      <c r="D300" s="26" t="s">
        <v>43</v>
      </c>
      <c r="E300" s="26" t="s">
        <v>191</v>
      </c>
      <c r="F300" s="21" t="s">
        <v>179</v>
      </c>
      <c r="G300" s="21" t="s">
        <v>147</v>
      </c>
      <c r="H300" s="27" t="s">
        <v>402</v>
      </c>
      <c r="I300" s="14" t="s">
        <v>216</v>
      </c>
      <c r="J300" s="28" t="s">
        <v>195</v>
      </c>
      <c r="K300" s="28" t="s">
        <v>195</v>
      </c>
      <c r="L300" s="28" t="s">
        <v>321</v>
      </c>
      <c r="M300" s="28" t="s">
        <v>150</v>
      </c>
      <c r="N300" s="28" t="s">
        <v>196</v>
      </c>
      <c r="O300" s="28" t="s">
        <v>195</v>
      </c>
      <c r="P300" s="28" t="s">
        <v>196</v>
      </c>
      <c r="Q300" s="28" t="s">
        <v>195</v>
      </c>
      <c r="R300" s="28" t="s">
        <v>195</v>
      </c>
      <c r="S300" s="28" t="s">
        <v>196</v>
      </c>
      <c r="T300" s="28" t="s">
        <v>195</v>
      </c>
      <c r="U300" s="28" t="s">
        <v>195</v>
      </c>
      <c r="V300" s="28" t="s">
        <v>195</v>
      </c>
      <c r="W300" s="28" t="s">
        <v>195</v>
      </c>
      <c r="X300" s="28" t="s">
        <v>195</v>
      </c>
      <c r="Y300" s="28" t="s">
        <v>195</v>
      </c>
      <c r="Z300" s="28" t="s">
        <v>254</v>
      </c>
      <c r="AA300" s="28" t="s">
        <v>150</v>
      </c>
      <c r="AB300" s="110">
        <v>38</v>
      </c>
      <c r="AC300" s="28" t="s">
        <v>150</v>
      </c>
      <c r="AD300" s="95">
        <v>30</v>
      </c>
      <c r="AE300" s="28" t="s">
        <v>150</v>
      </c>
      <c r="AF300" s="95">
        <v>16</v>
      </c>
      <c r="AG300" s="199" t="s">
        <v>150</v>
      </c>
      <c r="AH300" s="95">
        <v>35</v>
      </c>
      <c r="AI300" s="199" t="s">
        <v>150</v>
      </c>
      <c r="AJ300" s="95">
        <v>22</v>
      </c>
      <c r="AK300" s="199" t="s">
        <v>150</v>
      </c>
    </row>
    <row r="301" spans="1:37" x14ac:dyDescent="0.25">
      <c r="A301" s="21" t="s">
        <v>79</v>
      </c>
      <c r="B301" s="5" t="s">
        <v>42</v>
      </c>
      <c r="C301" s="263" t="s">
        <v>501</v>
      </c>
      <c r="D301" s="26" t="s">
        <v>43</v>
      </c>
      <c r="E301" s="26" t="s">
        <v>145</v>
      </c>
      <c r="F301" s="21" t="s">
        <v>146</v>
      </c>
      <c r="G301" s="21" t="s">
        <v>156</v>
      </c>
      <c r="H301" s="27" t="s">
        <v>403</v>
      </c>
      <c r="I301" s="14" t="s">
        <v>362</v>
      </c>
      <c r="J301" s="28" t="s">
        <v>195</v>
      </c>
      <c r="K301" s="28" t="s">
        <v>195</v>
      </c>
      <c r="L301" s="17" t="s">
        <v>404</v>
      </c>
      <c r="M301" s="28" t="s">
        <v>194</v>
      </c>
      <c r="N301" s="17" t="s">
        <v>405</v>
      </c>
      <c r="O301" s="28" t="s">
        <v>150</v>
      </c>
      <c r="P301" s="29" t="s">
        <v>406</v>
      </c>
      <c r="Q301" s="28" t="s">
        <v>194</v>
      </c>
      <c r="R301" s="17" t="s">
        <v>407</v>
      </c>
      <c r="S301" s="28" t="s">
        <v>150</v>
      </c>
      <c r="T301" s="28" t="s">
        <v>195</v>
      </c>
      <c r="U301" s="28" t="s">
        <v>195</v>
      </c>
      <c r="V301" s="28" t="s">
        <v>195</v>
      </c>
      <c r="W301" s="28" t="s">
        <v>195</v>
      </c>
      <c r="X301" s="28" t="s">
        <v>195</v>
      </c>
      <c r="Y301" s="28" t="s">
        <v>195</v>
      </c>
      <c r="Z301" s="28" t="s">
        <v>206</v>
      </c>
      <c r="AA301" s="28" t="s">
        <v>194</v>
      </c>
      <c r="AB301" s="110">
        <v>20</v>
      </c>
      <c r="AC301" s="28" t="s">
        <v>194</v>
      </c>
      <c r="AD301" s="147">
        <v>12</v>
      </c>
      <c r="AE301" s="28" t="s">
        <v>150</v>
      </c>
      <c r="AF301" s="95">
        <v>11</v>
      </c>
      <c r="AG301" s="199" t="s">
        <v>150</v>
      </c>
      <c r="AH301" s="274">
        <v>23</v>
      </c>
      <c r="AI301" s="28" t="s">
        <v>194</v>
      </c>
      <c r="AJ301" s="93">
        <v>17</v>
      </c>
      <c r="AK301" s="28" t="s">
        <v>194</v>
      </c>
    </row>
    <row r="302" spans="1:37" x14ac:dyDescent="0.25">
      <c r="A302" s="21" t="s">
        <v>79</v>
      </c>
      <c r="B302" s="5" t="s">
        <v>42</v>
      </c>
      <c r="C302" s="263" t="s">
        <v>501</v>
      </c>
      <c r="D302" s="26" t="s">
        <v>43</v>
      </c>
      <c r="E302" s="26" t="s">
        <v>145</v>
      </c>
      <c r="F302" s="21" t="s">
        <v>146</v>
      </c>
      <c r="G302" s="21" t="s">
        <v>156</v>
      </c>
      <c r="H302" s="27" t="s">
        <v>409</v>
      </c>
      <c r="I302" s="14" t="s">
        <v>254</v>
      </c>
      <c r="J302" s="28" t="s">
        <v>195</v>
      </c>
      <c r="K302" s="28" t="s">
        <v>195</v>
      </c>
      <c r="L302" s="17" t="s">
        <v>410</v>
      </c>
      <c r="M302" s="28" t="s">
        <v>150</v>
      </c>
      <c r="N302" s="17" t="s">
        <v>406</v>
      </c>
      <c r="O302" s="28" t="s">
        <v>150</v>
      </c>
      <c r="P302" s="29" t="s">
        <v>362</v>
      </c>
      <c r="Q302" s="28" t="s">
        <v>150</v>
      </c>
      <c r="R302" s="17" t="s">
        <v>406</v>
      </c>
      <c r="S302" s="28" t="s">
        <v>150</v>
      </c>
      <c r="T302" s="28" t="s">
        <v>195</v>
      </c>
      <c r="U302" s="28" t="s">
        <v>195</v>
      </c>
      <c r="V302" s="28" t="s">
        <v>195</v>
      </c>
      <c r="W302" s="28" t="s">
        <v>195</v>
      </c>
      <c r="X302" s="28" t="s">
        <v>195</v>
      </c>
      <c r="Y302" s="28" t="s">
        <v>195</v>
      </c>
      <c r="Z302" s="28" t="s">
        <v>408</v>
      </c>
      <c r="AA302" s="28" t="s">
        <v>150</v>
      </c>
      <c r="AB302" s="110">
        <v>29</v>
      </c>
      <c r="AC302" s="28" t="s">
        <v>194</v>
      </c>
      <c r="AD302" s="147">
        <v>19</v>
      </c>
      <c r="AE302" s="28" t="s">
        <v>150</v>
      </c>
      <c r="AF302" s="95">
        <v>30</v>
      </c>
      <c r="AG302" s="28" t="s">
        <v>194</v>
      </c>
      <c r="AH302" s="274">
        <v>33</v>
      </c>
      <c r="AI302" s="28" t="s">
        <v>194</v>
      </c>
      <c r="AJ302" s="93">
        <v>20</v>
      </c>
      <c r="AK302" s="199" t="s">
        <v>150</v>
      </c>
    </row>
    <row r="303" spans="1:37" x14ac:dyDescent="0.25">
      <c r="A303" s="21" t="s">
        <v>79</v>
      </c>
      <c r="B303" s="5" t="s">
        <v>42</v>
      </c>
      <c r="C303" s="263" t="s">
        <v>501</v>
      </c>
      <c r="D303" s="26" t="s">
        <v>43</v>
      </c>
      <c r="E303" s="26" t="s">
        <v>145</v>
      </c>
      <c r="F303" s="21" t="s">
        <v>146</v>
      </c>
      <c r="G303" s="21" t="s">
        <v>156</v>
      </c>
      <c r="H303" s="27" t="s">
        <v>411</v>
      </c>
      <c r="I303" s="14" t="s">
        <v>215</v>
      </c>
      <c r="J303" s="28" t="s">
        <v>195</v>
      </c>
      <c r="K303" s="28" t="s">
        <v>195</v>
      </c>
      <c r="L303" s="17" t="s">
        <v>410</v>
      </c>
      <c r="M303" s="28" t="s">
        <v>150</v>
      </c>
      <c r="N303" s="17" t="s">
        <v>412</v>
      </c>
      <c r="O303" s="28" t="s">
        <v>150</v>
      </c>
      <c r="P303" s="29" t="s">
        <v>404</v>
      </c>
      <c r="Q303" s="28" t="s">
        <v>150</v>
      </c>
      <c r="R303" s="17" t="s">
        <v>331</v>
      </c>
      <c r="S303" s="28" t="s">
        <v>150</v>
      </c>
      <c r="T303" s="28" t="s">
        <v>195</v>
      </c>
      <c r="U303" s="28" t="s">
        <v>195</v>
      </c>
      <c r="V303" s="28" t="s">
        <v>195</v>
      </c>
      <c r="W303" s="28" t="s">
        <v>195</v>
      </c>
      <c r="X303" s="28" t="s">
        <v>195</v>
      </c>
      <c r="Y303" s="28" t="s">
        <v>195</v>
      </c>
      <c r="Z303" s="28" t="s">
        <v>256</v>
      </c>
      <c r="AA303" s="28" t="s">
        <v>150</v>
      </c>
      <c r="AB303" s="110">
        <v>36</v>
      </c>
      <c r="AC303" s="28" t="s">
        <v>194</v>
      </c>
      <c r="AD303" s="148">
        <v>25</v>
      </c>
      <c r="AE303" s="28" t="s">
        <v>150</v>
      </c>
      <c r="AF303" s="95">
        <v>8</v>
      </c>
      <c r="AG303" s="199" t="s">
        <v>150</v>
      </c>
      <c r="AH303" s="274">
        <v>55</v>
      </c>
      <c r="AI303" s="28" t="s">
        <v>194</v>
      </c>
      <c r="AJ303" s="93">
        <v>26</v>
      </c>
      <c r="AK303" s="199" t="s">
        <v>150</v>
      </c>
    </row>
    <row r="304" spans="1:37" x14ac:dyDescent="0.25">
      <c r="A304" s="21" t="s">
        <v>79</v>
      </c>
      <c r="B304" s="5" t="s">
        <v>42</v>
      </c>
      <c r="C304" s="263" t="s">
        <v>501</v>
      </c>
      <c r="D304" s="26" t="s">
        <v>43</v>
      </c>
      <c r="E304" s="26" t="s">
        <v>145</v>
      </c>
      <c r="F304" s="21" t="s">
        <v>146</v>
      </c>
      <c r="G304" s="21" t="s">
        <v>156</v>
      </c>
      <c r="H304" s="27" t="s">
        <v>413</v>
      </c>
      <c r="I304" s="14" t="s">
        <v>311</v>
      </c>
      <c r="J304" s="38" t="s">
        <v>195</v>
      </c>
      <c r="K304" s="38" t="s">
        <v>195</v>
      </c>
      <c r="L304" s="39" t="s">
        <v>181</v>
      </c>
      <c r="M304" s="38" t="s">
        <v>194</v>
      </c>
      <c r="N304" s="39" t="s">
        <v>298</v>
      </c>
      <c r="O304" s="38" t="s">
        <v>150</v>
      </c>
      <c r="P304" s="56" t="s">
        <v>216</v>
      </c>
      <c r="Q304" s="38" t="s">
        <v>194</v>
      </c>
      <c r="R304" s="39" t="s">
        <v>414</v>
      </c>
      <c r="S304" s="38" t="s">
        <v>194</v>
      </c>
      <c r="T304" s="38" t="s">
        <v>195</v>
      </c>
      <c r="U304" s="38" t="s">
        <v>195</v>
      </c>
      <c r="V304" s="38" t="s">
        <v>195</v>
      </c>
      <c r="W304" s="38" t="s">
        <v>195</v>
      </c>
      <c r="X304" s="38" t="s">
        <v>195</v>
      </c>
      <c r="Y304" s="38" t="s">
        <v>195</v>
      </c>
      <c r="Z304" s="28" t="s">
        <v>206</v>
      </c>
      <c r="AA304" s="28" t="s">
        <v>154</v>
      </c>
      <c r="AB304" s="110">
        <v>10</v>
      </c>
      <c r="AC304" s="28" t="s">
        <v>150</v>
      </c>
      <c r="AD304" s="148">
        <v>70</v>
      </c>
      <c r="AE304" s="28" t="s">
        <v>194</v>
      </c>
      <c r="AF304" s="95" t="s">
        <v>154</v>
      </c>
      <c r="AG304" s="97" t="s">
        <v>154</v>
      </c>
      <c r="AH304" s="274" t="s">
        <v>154</v>
      </c>
      <c r="AI304" s="97" t="s">
        <v>154</v>
      </c>
      <c r="AJ304" s="93">
        <v>52</v>
      </c>
      <c r="AK304" s="28" t="s">
        <v>194</v>
      </c>
    </row>
    <row r="305" spans="1:37" x14ac:dyDescent="0.25">
      <c r="A305" s="21" t="s">
        <v>79</v>
      </c>
      <c r="B305" s="5" t="s">
        <v>42</v>
      </c>
      <c r="C305" s="263" t="s">
        <v>501</v>
      </c>
      <c r="D305" s="26" t="s">
        <v>43</v>
      </c>
      <c r="E305" s="26" t="s">
        <v>145</v>
      </c>
      <c r="F305" s="21" t="s">
        <v>146</v>
      </c>
      <c r="G305" s="21" t="s">
        <v>156</v>
      </c>
      <c r="H305" s="27" t="s">
        <v>415</v>
      </c>
      <c r="I305" s="14" t="s">
        <v>216</v>
      </c>
      <c r="J305" s="28" t="s">
        <v>195</v>
      </c>
      <c r="K305" s="28" t="s">
        <v>195</v>
      </c>
      <c r="L305" s="17" t="s">
        <v>206</v>
      </c>
      <c r="M305" s="15" t="s">
        <v>154</v>
      </c>
      <c r="N305" s="17" t="s">
        <v>206</v>
      </c>
      <c r="O305" s="17" t="s">
        <v>206</v>
      </c>
      <c r="P305" s="17" t="s">
        <v>206</v>
      </c>
      <c r="Q305" s="17" t="s">
        <v>206</v>
      </c>
      <c r="R305" s="17" t="s">
        <v>154</v>
      </c>
      <c r="S305" s="15" t="s">
        <v>154</v>
      </c>
      <c r="T305" s="28" t="s">
        <v>195</v>
      </c>
      <c r="U305" s="28" t="s">
        <v>195</v>
      </c>
      <c r="V305" s="28" t="s">
        <v>195</v>
      </c>
      <c r="W305" s="28" t="s">
        <v>195</v>
      </c>
      <c r="X305" s="28" t="s">
        <v>195</v>
      </c>
      <c r="Y305" s="28" t="s">
        <v>195</v>
      </c>
      <c r="Z305" s="28" t="s">
        <v>206</v>
      </c>
      <c r="AA305" s="28" t="s">
        <v>150</v>
      </c>
      <c r="AB305" s="110">
        <v>19</v>
      </c>
      <c r="AC305" s="28" t="s">
        <v>150</v>
      </c>
      <c r="AD305" s="147">
        <v>24</v>
      </c>
      <c r="AE305" s="28" t="s">
        <v>150</v>
      </c>
      <c r="AF305" s="95" t="s">
        <v>154</v>
      </c>
      <c r="AG305" s="97" t="s">
        <v>154</v>
      </c>
      <c r="AH305" s="274" t="s">
        <v>154</v>
      </c>
      <c r="AI305" s="97" t="s">
        <v>154</v>
      </c>
      <c r="AJ305" s="93">
        <v>29</v>
      </c>
      <c r="AK305" s="199" t="s">
        <v>150</v>
      </c>
    </row>
    <row r="306" spans="1:37" x14ac:dyDescent="0.25">
      <c r="A306" s="21" t="s">
        <v>79</v>
      </c>
      <c r="B306" s="5" t="s">
        <v>42</v>
      </c>
      <c r="C306" s="263" t="s">
        <v>501</v>
      </c>
      <c r="D306" s="26" t="s">
        <v>43</v>
      </c>
      <c r="E306" s="26" t="s">
        <v>191</v>
      </c>
      <c r="F306" s="21" t="s">
        <v>179</v>
      </c>
      <c r="G306" s="21" t="s">
        <v>147</v>
      </c>
      <c r="H306" s="21" t="s">
        <v>207</v>
      </c>
      <c r="I306" s="11">
        <v>0.2</v>
      </c>
      <c r="J306" s="28" t="s">
        <v>195</v>
      </c>
      <c r="K306" s="28" t="s">
        <v>195</v>
      </c>
      <c r="L306" s="29">
        <v>0.16</v>
      </c>
      <c r="M306" s="28" t="s">
        <v>150</v>
      </c>
      <c r="N306" s="29">
        <v>0.14000000000000001</v>
      </c>
      <c r="O306" s="28" t="s">
        <v>150</v>
      </c>
      <c r="P306" s="18">
        <v>0.14000000000000001</v>
      </c>
      <c r="Q306" s="28" t="s">
        <v>150</v>
      </c>
      <c r="R306" s="18">
        <v>0.05</v>
      </c>
      <c r="S306" s="28" t="s">
        <v>150</v>
      </c>
      <c r="T306" s="28" t="s">
        <v>195</v>
      </c>
      <c r="U306" s="28" t="s">
        <v>195</v>
      </c>
      <c r="V306" s="28" t="s">
        <v>195</v>
      </c>
      <c r="W306" s="28" t="s">
        <v>195</v>
      </c>
      <c r="X306" s="28" t="s">
        <v>195</v>
      </c>
      <c r="Y306" s="28" t="s">
        <v>195</v>
      </c>
      <c r="Z306" s="29">
        <v>0.21</v>
      </c>
      <c r="AA306" s="28" t="s">
        <v>194</v>
      </c>
      <c r="AB306" s="111">
        <v>0.2</v>
      </c>
      <c r="AC306" s="28" t="s">
        <v>150</v>
      </c>
      <c r="AD306" s="102">
        <v>0.2</v>
      </c>
      <c r="AE306" s="28" t="s">
        <v>150</v>
      </c>
      <c r="AF306" s="102">
        <v>0.24</v>
      </c>
      <c r="AG306" s="28" t="s">
        <v>194</v>
      </c>
      <c r="AH306" s="102">
        <v>0.19</v>
      </c>
      <c r="AI306" s="199" t="s">
        <v>150</v>
      </c>
      <c r="AJ306" s="102">
        <v>0.19</v>
      </c>
      <c r="AK306" s="199" t="s">
        <v>150</v>
      </c>
    </row>
    <row r="307" spans="1:37" x14ac:dyDescent="0.25">
      <c r="A307" s="21" t="s">
        <v>79</v>
      </c>
      <c r="B307" s="5" t="s">
        <v>42</v>
      </c>
      <c r="C307" s="263" t="s">
        <v>501</v>
      </c>
      <c r="D307" s="26" t="s">
        <v>43</v>
      </c>
      <c r="E307" s="26" t="s">
        <v>191</v>
      </c>
      <c r="F307" s="21" t="s">
        <v>179</v>
      </c>
      <c r="G307" s="21" t="s">
        <v>147</v>
      </c>
      <c r="H307" s="27" t="s">
        <v>186</v>
      </c>
      <c r="I307" s="11">
        <v>0.7</v>
      </c>
      <c r="J307" s="28" t="s">
        <v>195</v>
      </c>
      <c r="K307" s="28" t="s">
        <v>195</v>
      </c>
      <c r="L307" s="28" t="s">
        <v>206</v>
      </c>
      <c r="M307" s="15" t="s">
        <v>154</v>
      </c>
      <c r="N307" s="28" t="s">
        <v>206</v>
      </c>
      <c r="O307" s="28" t="s">
        <v>206</v>
      </c>
      <c r="P307" s="28" t="s">
        <v>206</v>
      </c>
      <c r="Q307" s="28" t="s">
        <v>206</v>
      </c>
      <c r="R307" s="17" t="s">
        <v>154</v>
      </c>
      <c r="S307" s="15" t="s">
        <v>154</v>
      </c>
      <c r="T307" s="28" t="s">
        <v>195</v>
      </c>
      <c r="U307" s="28" t="s">
        <v>195</v>
      </c>
      <c r="V307" s="28" t="s">
        <v>195</v>
      </c>
      <c r="W307" s="28" t="s">
        <v>195</v>
      </c>
      <c r="X307" s="28" t="s">
        <v>195</v>
      </c>
      <c r="Y307" s="28" t="s">
        <v>195</v>
      </c>
      <c r="Z307" s="28" t="s">
        <v>206</v>
      </c>
      <c r="AA307" s="15" t="s">
        <v>154</v>
      </c>
      <c r="AB307" s="93" t="s">
        <v>154</v>
      </c>
      <c r="AC307" s="15" t="s">
        <v>154</v>
      </c>
      <c r="AD307" s="95" t="s">
        <v>154</v>
      </c>
      <c r="AE307" s="126" t="s">
        <v>154</v>
      </c>
      <c r="AF307" s="93" t="s">
        <v>154</v>
      </c>
      <c r="AG307" s="97" t="s">
        <v>154</v>
      </c>
      <c r="AH307" s="93" t="s">
        <v>154</v>
      </c>
      <c r="AI307" s="94" t="s">
        <v>154</v>
      </c>
      <c r="AJ307" s="93" t="s">
        <v>154</v>
      </c>
      <c r="AK307" s="94" t="s">
        <v>154</v>
      </c>
    </row>
    <row r="308" spans="1:37" x14ac:dyDescent="0.25">
      <c r="A308" s="21" t="s">
        <v>79</v>
      </c>
      <c r="B308" s="5" t="s">
        <v>42</v>
      </c>
      <c r="C308" s="263" t="s">
        <v>501</v>
      </c>
      <c r="D308" s="26" t="s">
        <v>43</v>
      </c>
      <c r="E308" s="26" t="s">
        <v>191</v>
      </c>
      <c r="F308" s="21" t="s">
        <v>179</v>
      </c>
      <c r="G308" s="21" t="s">
        <v>147</v>
      </c>
      <c r="H308" s="27" t="s">
        <v>188</v>
      </c>
      <c r="I308" s="11">
        <v>0.8</v>
      </c>
      <c r="J308" s="28" t="s">
        <v>195</v>
      </c>
      <c r="K308" s="28" t="s">
        <v>195</v>
      </c>
      <c r="L308" s="28" t="s">
        <v>206</v>
      </c>
      <c r="M308" s="15" t="s">
        <v>154</v>
      </c>
      <c r="N308" s="28" t="s">
        <v>206</v>
      </c>
      <c r="O308" s="28" t="s">
        <v>206</v>
      </c>
      <c r="P308" s="28" t="s">
        <v>206</v>
      </c>
      <c r="Q308" s="28" t="s">
        <v>206</v>
      </c>
      <c r="R308" s="17" t="s">
        <v>154</v>
      </c>
      <c r="S308" s="15" t="s">
        <v>154</v>
      </c>
      <c r="T308" s="28" t="s">
        <v>195</v>
      </c>
      <c r="U308" s="28" t="s">
        <v>195</v>
      </c>
      <c r="V308" s="28" t="s">
        <v>195</v>
      </c>
      <c r="W308" s="28" t="s">
        <v>195</v>
      </c>
      <c r="X308" s="28" t="s">
        <v>195</v>
      </c>
      <c r="Y308" s="28" t="s">
        <v>195</v>
      </c>
      <c r="Z308" s="28" t="s">
        <v>206</v>
      </c>
      <c r="AA308" s="15" t="s">
        <v>154</v>
      </c>
      <c r="AB308" s="93" t="s">
        <v>154</v>
      </c>
      <c r="AC308" s="15" t="s">
        <v>154</v>
      </c>
      <c r="AD308" s="95" t="s">
        <v>154</v>
      </c>
      <c r="AE308" s="126" t="s">
        <v>154</v>
      </c>
      <c r="AF308" s="93" t="s">
        <v>154</v>
      </c>
      <c r="AG308" s="97" t="s">
        <v>154</v>
      </c>
      <c r="AH308" s="93" t="s">
        <v>154</v>
      </c>
      <c r="AI308" s="94" t="s">
        <v>154</v>
      </c>
      <c r="AJ308" s="93" t="s">
        <v>154</v>
      </c>
      <c r="AK308" s="94" t="s">
        <v>154</v>
      </c>
    </row>
    <row r="309" spans="1:37" x14ac:dyDescent="0.25">
      <c r="A309" s="21" t="s">
        <v>79</v>
      </c>
      <c r="B309" s="5" t="s">
        <v>42</v>
      </c>
      <c r="C309" s="263" t="s">
        <v>501</v>
      </c>
      <c r="D309" s="26" t="s">
        <v>43</v>
      </c>
      <c r="E309" s="26" t="s">
        <v>191</v>
      </c>
      <c r="F309" s="21" t="s">
        <v>179</v>
      </c>
      <c r="G309" s="21" t="s">
        <v>147</v>
      </c>
      <c r="H309" s="21" t="s">
        <v>189</v>
      </c>
      <c r="I309" s="11">
        <v>0.3</v>
      </c>
      <c r="J309" s="28" t="s">
        <v>195</v>
      </c>
      <c r="K309" s="28" t="s">
        <v>195</v>
      </c>
      <c r="L309" s="29">
        <v>0.24</v>
      </c>
      <c r="M309" s="28" t="s">
        <v>150</v>
      </c>
      <c r="N309" s="29">
        <v>0.01</v>
      </c>
      <c r="O309" s="28" t="s">
        <v>150</v>
      </c>
      <c r="P309" s="18">
        <v>0.16</v>
      </c>
      <c r="Q309" s="28" t="s">
        <v>150</v>
      </c>
      <c r="R309" s="18">
        <v>0</v>
      </c>
      <c r="S309" s="28" t="s">
        <v>150</v>
      </c>
      <c r="T309" s="28" t="s">
        <v>195</v>
      </c>
      <c r="U309" s="28" t="s">
        <v>195</v>
      </c>
      <c r="V309" s="28" t="s">
        <v>195</v>
      </c>
      <c r="W309" s="28" t="s">
        <v>195</v>
      </c>
      <c r="X309" s="28" t="s">
        <v>195</v>
      </c>
      <c r="Y309" s="28" t="s">
        <v>195</v>
      </c>
      <c r="Z309" s="29">
        <v>0.01</v>
      </c>
      <c r="AA309" s="28" t="s">
        <v>150</v>
      </c>
      <c r="AB309" s="111">
        <v>0.01</v>
      </c>
      <c r="AC309" s="28" t="s">
        <v>150</v>
      </c>
      <c r="AD309" s="102">
        <v>0.03</v>
      </c>
      <c r="AE309" s="28" t="s">
        <v>150</v>
      </c>
      <c r="AF309" s="102">
        <v>0</v>
      </c>
      <c r="AG309" s="199" t="s">
        <v>150</v>
      </c>
      <c r="AH309" s="102">
        <v>0</v>
      </c>
      <c r="AI309" s="199" t="s">
        <v>150</v>
      </c>
      <c r="AJ309" s="96">
        <v>0.21</v>
      </c>
      <c r="AK309" s="199" t="s">
        <v>150</v>
      </c>
    </row>
    <row r="310" spans="1:37" x14ac:dyDescent="0.25">
      <c r="A310" s="161" t="s">
        <v>79</v>
      </c>
      <c r="B310" s="162" t="s">
        <v>42</v>
      </c>
      <c r="C310" s="263" t="s">
        <v>501</v>
      </c>
      <c r="D310" s="163" t="s">
        <v>43</v>
      </c>
      <c r="E310" s="163" t="s">
        <v>191</v>
      </c>
      <c r="F310" s="161" t="s">
        <v>179</v>
      </c>
      <c r="G310" s="161" t="s">
        <v>147</v>
      </c>
      <c r="H310" s="164" t="s">
        <v>190</v>
      </c>
      <c r="I310" s="170">
        <v>0.6</v>
      </c>
      <c r="J310" s="167" t="s">
        <v>195</v>
      </c>
      <c r="K310" s="167" t="s">
        <v>195</v>
      </c>
      <c r="L310" s="167" t="s">
        <v>206</v>
      </c>
      <c r="M310" s="165" t="s">
        <v>154</v>
      </c>
      <c r="N310" s="167" t="s">
        <v>206</v>
      </c>
      <c r="O310" s="167" t="s">
        <v>206</v>
      </c>
      <c r="P310" s="167" t="s">
        <v>206</v>
      </c>
      <c r="Q310" s="167" t="s">
        <v>206</v>
      </c>
      <c r="R310" s="168" t="s">
        <v>154</v>
      </c>
      <c r="S310" s="165" t="s">
        <v>154</v>
      </c>
      <c r="T310" s="167" t="s">
        <v>195</v>
      </c>
      <c r="U310" s="167" t="s">
        <v>195</v>
      </c>
      <c r="V310" s="167" t="s">
        <v>195</v>
      </c>
      <c r="W310" s="167" t="s">
        <v>195</v>
      </c>
      <c r="X310" s="167" t="s">
        <v>195</v>
      </c>
      <c r="Y310" s="167" t="s">
        <v>195</v>
      </c>
      <c r="Z310" s="167" t="s">
        <v>206</v>
      </c>
      <c r="AA310" s="165" t="s">
        <v>154</v>
      </c>
      <c r="AB310" s="159" t="s">
        <v>154</v>
      </c>
      <c r="AC310" s="165" t="s">
        <v>154</v>
      </c>
      <c r="AD310" s="186" t="s">
        <v>154</v>
      </c>
      <c r="AE310" s="174" t="s">
        <v>154</v>
      </c>
      <c r="AF310" s="158" t="s">
        <v>154</v>
      </c>
      <c r="AG310" s="97" t="s">
        <v>154</v>
      </c>
      <c r="AH310" s="93" t="s">
        <v>154</v>
      </c>
      <c r="AI310" s="94" t="s">
        <v>154</v>
      </c>
      <c r="AJ310" s="93" t="s">
        <v>154</v>
      </c>
      <c r="AK310" s="94" t="s">
        <v>154</v>
      </c>
    </row>
    <row r="311" spans="1:37" x14ac:dyDescent="0.25">
      <c r="A311" s="21" t="s">
        <v>80</v>
      </c>
      <c r="B311" s="5" t="s">
        <v>50</v>
      </c>
      <c r="C311" s="76" t="s">
        <v>45</v>
      </c>
      <c r="D311" s="26" t="s">
        <v>29</v>
      </c>
      <c r="E311" s="26" t="s">
        <v>145</v>
      </c>
      <c r="F311" s="21" t="s">
        <v>146</v>
      </c>
      <c r="G311" s="21" t="s">
        <v>156</v>
      </c>
      <c r="H311" s="27" t="s">
        <v>180</v>
      </c>
      <c r="I311" s="14" t="s">
        <v>320</v>
      </c>
      <c r="J311" s="57">
        <v>44</v>
      </c>
      <c r="K311" s="28" t="s">
        <v>150</v>
      </c>
      <c r="L311" s="14">
        <v>88</v>
      </c>
      <c r="M311" s="28" t="s">
        <v>194</v>
      </c>
      <c r="N311" s="28">
        <v>40</v>
      </c>
      <c r="O311" s="28" t="s">
        <v>150</v>
      </c>
      <c r="P311" s="28">
        <v>37</v>
      </c>
      <c r="Q311" s="28" t="s">
        <v>150</v>
      </c>
      <c r="R311" s="14">
        <v>24</v>
      </c>
      <c r="S311" s="28" t="s">
        <v>150</v>
      </c>
      <c r="T311" s="14">
        <v>24</v>
      </c>
      <c r="U311" s="28" t="s">
        <v>150</v>
      </c>
      <c r="V311" s="28">
        <v>31</v>
      </c>
      <c r="W311" s="28" t="s">
        <v>150</v>
      </c>
      <c r="X311" s="14" t="s">
        <v>195</v>
      </c>
      <c r="Y311" s="28" t="s">
        <v>195</v>
      </c>
      <c r="Z311" s="28" t="s">
        <v>405</v>
      </c>
      <c r="AA311" s="28" t="s">
        <v>150</v>
      </c>
      <c r="AB311" s="90">
        <v>17</v>
      </c>
      <c r="AC311" s="28" t="s">
        <v>150</v>
      </c>
      <c r="AD311" s="97" t="s">
        <v>195</v>
      </c>
      <c r="AE311" s="97" t="s">
        <v>195</v>
      </c>
      <c r="AF311" s="147" t="s">
        <v>195</v>
      </c>
      <c r="AG311" s="140" t="s">
        <v>195</v>
      </c>
      <c r="AH311" s="274" t="s">
        <v>195</v>
      </c>
      <c r="AI311" s="97" t="s">
        <v>195</v>
      </c>
      <c r="AJ311" s="274" t="s">
        <v>195</v>
      </c>
      <c r="AK311" s="97" t="s">
        <v>195</v>
      </c>
    </row>
    <row r="312" spans="1:37" x14ac:dyDescent="0.25">
      <c r="A312" s="21" t="s">
        <v>80</v>
      </c>
      <c r="B312" s="5" t="s">
        <v>50</v>
      </c>
      <c r="C312" s="76" t="s">
        <v>45</v>
      </c>
      <c r="D312" s="26" t="s">
        <v>29</v>
      </c>
      <c r="E312" s="26" t="s">
        <v>145</v>
      </c>
      <c r="F312" s="21" t="s">
        <v>146</v>
      </c>
      <c r="G312" s="21" t="s">
        <v>156</v>
      </c>
      <c r="H312" s="27" t="s">
        <v>197</v>
      </c>
      <c r="I312" s="14" t="s">
        <v>306</v>
      </c>
      <c r="J312" s="57">
        <v>70</v>
      </c>
      <c r="K312" s="28" t="s">
        <v>194</v>
      </c>
      <c r="L312" s="14">
        <v>23</v>
      </c>
      <c r="M312" s="28" t="s">
        <v>150</v>
      </c>
      <c r="N312" s="28">
        <v>67</v>
      </c>
      <c r="O312" s="28" t="s">
        <v>194</v>
      </c>
      <c r="P312" s="28">
        <v>73</v>
      </c>
      <c r="Q312" s="28" t="s">
        <v>194</v>
      </c>
      <c r="R312" s="14">
        <v>74</v>
      </c>
      <c r="S312" s="28" t="s">
        <v>194</v>
      </c>
      <c r="T312" s="14">
        <v>65</v>
      </c>
      <c r="U312" s="28" t="s">
        <v>194</v>
      </c>
      <c r="V312" s="28">
        <v>83</v>
      </c>
      <c r="W312" s="28" t="s">
        <v>194</v>
      </c>
      <c r="X312" s="14" t="s">
        <v>195</v>
      </c>
      <c r="Y312" s="28" t="s">
        <v>195</v>
      </c>
      <c r="Z312" s="28" t="s">
        <v>306</v>
      </c>
      <c r="AA312" s="28" t="s">
        <v>150</v>
      </c>
      <c r="AB312" s="90">
        <v>66</v>
      </c>
      <c r="AC312" s="28" t="s">
        <v>194</v>
      </c>
      <c r="AD312" s="97" t="s">
        <v>195</v>
      </c>
      <c r="AE312" s="97" t="s">
        <v>195</v>
      </c>
      <c r="AF312" s="147" t="s">
        <v>195</v>
      </c>
      <c r="AG312" s="140" t="s">
        <v>195</v>
      </c>
      <c r="AH312" s="274" t="s">
        <v>195</v>
      </c>
      <c r="AI312" s="97" t="s">
        <v>195</v>
      </c>
      <c r="AJ312" s="274" t="s">
        <v>195</v>
      </c>
      <c r="AK312" s="97" t="s">
        <v>195</v>
      </c>
    </row>
    <row r="313" spans="1:37" x14ac:dyDescent="0.25">
      <c r="A313" s="21" t="s">
        <v>80</v>
      </c>
      <c r="B313" s="5" t="s">
        <v>50</v>
      </c>
      <c r="C313" s="76" t="s">
        <v>45</v>
      </c>
      <c r="D313" s="26" t="s">
        <v>29</v>
      </c>
      <c r="E313" s="26" t="s">
        <v>145</v>
      </c>
      <c r="F313" s="21" t="s">
        <v>179</v>
      </c>
      <c r="G313" s="21" t="s">
        <v>147</v>
      </c>
      <c r="H313" s="21" t="s">
        <v>207</v>
      </c>
      <c r="I313" s="11">
        <v>0.15</v>
      </c>
      <c r="J313" s="28" t="s">
        <v>154</v>
      </c>
      <c r="K313" s="28" t="s">
        <v>154</v>
      </c>
      <c r="L313" s="14" t="s">
        <v>417</v>
      </c>
      <c r="M313" s="28" t="s">
        <v>195</v>
      </c>
      <c r="N313" s="28" t="s">
        <v>417</v>
      </c>
      <c r="O313" s="28" t="s">
        <v>195</v>
      </c>
      <c r="P313" s="28" t="s">
        <v>417</v>
      </c>
      <c r="Q313" s="28" t="s">
        <v>195</v>
      </c>
      <c r="R313" s="28" t="s">
        <v>195</v>
      </c>
      <c r="S313" s="28" t="s">
        <v>196</v>
      </c>
      <c r="T313" s="14" t="s">
        <v>195</v>
      </c>
      <c r="U313" s="28" t="s">
        <v>195</v>
      </c>
      <c r="V313" s="14" t="s">
        <v>195</v>
      </c>
      <c r="W313" s="28" t="s">
        <v>195</v>
      </c>
      <c r="X313" s="14" t="s">
        <v>195</v>
      </c>
      <c r="Y313" s="28" t="s">
        <v>195</v>
      </c>
      <c r="Z313" s="28" t="s">
        <v>195</v>
      </c>
      <c r="AA313" s="28" t="s">
        <v>195</v>
      </c>
      <c r="AB313" s="97" t="s">
        <v>195</v>
      </c>
      <c r="AC313" s="90" t="s">
        <v>195</v>
      </c>
      <c r="AD313" s="97" t="s">
        <v>195</v>
      </c>
      <c r="AE313" s="127" t="s">
        <v>195</v>
      </c>
      <c r="AF313" s="147" t="s">
        <v>195</v>
      </c>
      <c r="AG313" s="140" t="s">
        <v>195</v>
      </c>
      <c r="AH313" s="274" t="s">
        <v>195</v>
      </c>
      <c r="AI313" s="271" t="s">
        <v>195</v>
      </c>
      <c r="AJ313" s="274" t="s">
        <v>195</v>
      </c>
      <c r="AK313" s="271" t="s">
        <v>195</v>
      </c>
    </row>
    <row r="314" spans="1:37" x14ac:dyDescent="0.25">
      <c r="A314" s="21" t="s">
        <v>80</v>
      </c>
      <c r="B314" s="5" t="s">
        <v>50</v>
      </c>
      <c r="C314" s="76" t="s">
        <v>45</v>
      </c>
      <c r="D314" s="26" t="s">
        <v>29</v>
      </c>
      <c r="E314" s="26" t="s">
        <v>145</v>
      </c>
      <c r="F314" s="21" t="s">
        <v>179</v>
      </c>
      <c r="G314" s="21" t="s">
        <v>147</v>
      </c>
      <c r="H314" s="27" t="s">
        <v>186</v>
      </c>
      <c r="I314" s="11">
        <v>0.7</v>
      </c>
      <c r="J314" s="29">
        <v>0.69</v>
      </c>
      <c r="K314" s="28" t="s">
        <v>194</v>
      </c>
      <c r="L314" s="15">
        <v>0.75229357798165142</v>
      </c>
      <c r="M314" s="28" t="s">
        <v>150</v>
      </c>
      <c r="N314" s="36">
        <v>0.8</v>
      </c>
      <c r="O314" s="28" t="s">
        <v>150</v>
      </c>
      <c r="P314" s="36">
        <v>0.76</v>
      </c>
      <c r="Q314" s="28" t="s">
        <v>150</v>
      </c>
      <c r="R314" s="29">
        <v>0.7</v>
      </c>
      <c r="S314" s="28" t="s">
        <v>150</v>
      </c>
      <c r="T314" s="15">
        <v>0.63</v>
      </c>
      <c r="U314" s="28" t="s">
        <v>194</v>
      </c>
      <c r="V314" s="36">
        <v>0.38372093023255816</v>
      </c>
      <c r="W314" s="28" t="s">
        <v>194</v>
      </c>
      <c r="X314" s="14" t="s">
        <v>195</v>
      </c>
      <c r="Y314" s="28" t="s">
        <v>195</v>
      </c>
      <c r="Z314" s="28" t="s">
        <v>195</v>
      </c>
      <c r="AA314" s="28" t="s">
        <v>195</v>
      </c>
      <c r="AB314" s="83">
        <v>0.62</v>
      </c>
      <c r="AC314" s="28" t="s">
        <v>194</v>
      </c>
      <c r="AD314" s="97" t="s">
        <v>195</v>
      </c>
      <c r="AE314" s="126" t="s">
        <v>195</v>
      </c>
      <c r="AF314" s="147" t="s">
        <v>195</v>
      </c>
      <c r="AG314" s="140" t="s">
        <v>195</v>
      </c>
      <c r="AH314" s="274" t="s">
        <v>195</v>
      </c>
      <c r="AI314" s="94" t="s">
        <v>195</v>
      </c>
      <c r="AJ314" s="274" t="s">
        <v>195</v>
      </c>
      <c r="AK314" s="94" t="s">
        <v>195</v>
      </c>
    </row>
    <row r="315" spans="1:37" x14ac:dyDescent="0.25">
      <c r="A315" s="21" t="s">
        <v>80</v>
      </c>
      <c r="B315" s="5" t="s">
        <v>50</v>
      </c>
      <c r="C315" s="76" t="s">
        <v>45</v>
      </c>
      <c r="D315" s="26" t="s">
        <v>29</v>
      </c>
      <c r="E315" s="26" t="s">
        <v>145</v>
      </c>
      <c r="F315" s="21" t="s">
        <v>146</v>
      </c>
      <c r="G315" s="21" t="s">
        <v>156</v>
      </c>
      <c r="H315" s="27" t="s">
        <v>188</v>
      </c>
      <c r="I315" s="16">
        <v>0.37569444444444444</v>
      </c>
      <c r="J315" s="58">
        <v>0.25069444444444444</v>
      </c>
      <c r="K315" s="59" t="s">
        <v>150</v>
      </c>
      <c r="L315" s="60">
        <v>0.29236111111111113</v>
      </c>
      <c r="M315" s="59" t="s">
        <v>150</v>
      </c>
      <c r="N315" s="60">
        <v>0.25069444444444444</v>
      </c>
      <c r="O315" s="59" t="s">
        <v>150</v>
      </c>
      <c r="P315" s="60">
        <v>0.29236111111111113</v>
      </c>
      <c r="Q315" s="59" t="s">
        <v>150</v>
      </c>
      <c r="R315" s="59" t="s">
        <v>195</v>
      </c>
      <c r="S315" s="59" t="s">
        <v>196</v>
      </c>
      <c r="T315" s="61">
        <v>9.7222222222222224E-3</v>
      </c>
      <c r="U315" s="59" t="s">
        <v>194</v>
      </c>
      <c r="V315" s="62">
        <v>0.01</v>
      </c>
      <c r="W315" s="59" t="s">
        <v>194</v>
      </c>
      <c r="X315" s="63" t="s">
        <v>195</v>
      </c>
      <c r="Y315" s="59" t="s">
        <v>195</v>
      </c>
      <c r="Z315" s="28" t="s">
        <v>195</v>
      </c>
      <c r="AA315" s="28" t="s">
        <v>195</v>
      </c>
      <c r="AB315" s="112">
        <v>0.54236111111111107</v>
      </c>
      <c r="AC315" s="28" t="s">
        <v>194</v>
      </c>
      <c r="AD315" s="97" t="s">
        <v>195</v>
      </c>
      <c r="AE315" s="126" t="s">
        <v>195</v>
      </c>
      <c r="AF315" s="147" t="s">
        <v>195</v>
      </c>
      <c r="AG315" s="140" t="s">
        <v>195</v>
      </c>
      <c r="AH315" s="274" t="s">
        <v>195</v>
      </c>
      <c r="AI315" s="94" t="s">
        <v>195</v>
      </c>
      <c r="AJ315" s="274" t="s">
        <v>195</v>
      </c>
      <c r="AK315" s="94" t="s">
        <v>195</v>
      </c>
    </row>
    <row r="316" spans="1:37" x14ac:dyDescent="0.25">
      <c r="A316" s="21" t="s">
        <v>80</v>
      </c>
      <c r="B316" s="5" t="s">
        <v>50</v>
      </c>
      <c r="C316" s="76" t="s">
        <v>45</v>
      </c>
      <c r="D316" s="26" t="s">
        <v>29</v>
      </c>
      <c r="E316" s="26" t="s">
        <v>145</v>
      </c>
      <c r="F316" s="21" t="s">
        <v>179</v>
      </c>
      <c r="G316" s="21" t="s">
        <v>147</v>
      </c>
      <c r="H316" s="21" t="s">
        <v>189</v>
      </c>
      <c r="I316" s="14" t="s">
        <v>265</v>
      </c>
      <c r="J316" s="29">
        <v>0.17</v>
      </c>
      <c r="K316" s="28" t="s">
        <v>194</v>
      </c>
      <c r="L316" s="15">
        <v>5.2631578947368418E-2</v>
      </c>
      <c r="M316" s="28" t="s">
        <v>150</v>
      </c>
      <c r="N316" s="36">
        <v>0</v>
      </c>
      <c r="O316" s="28" t="s">
        <v>150</v>
      </c>
      <c r="P316" s="36">
        <v>0.15625</v>
      </c>
      <c r="Q316" s="28" t="s">
        <v>194</v>
      </c>
      <c r="R316" s="29">
        <v>0.17</v>
      </c>
      <c r="S316" s="28" t="s">
        <v>194</v>
      </c>
      <c r="T316" s="15">
        <v>7.0000000000000007E-2</v>
      </c>
      <c r="U316" s="28" t="s">
        <v>150</v>
      </c>
      <c r="V316" s="29">
        <v>0.57999999999999996</v>
      </c>
      <c r="W316" s="28" t="s">
        <v>194</v>
      </c>
      <c r="X316" s="14" t="s">
        <v>195</v>
      </c>
      <c r="Y316" s="28" t="s">
        <v>195</v>
      </c>
      <c r="Z316" s="29">
        <v>0.1</v>
      </c>
      <c r="AA316" s="28" t="s">
        <v>150</v>
      </c>
      <c r="AB316" s="83">
        <v>0</v>
      </c>
      <c r="AC316" s="28" t="s">
        <v>150</v>
      </c>
      <c r="AD316" s="97" t="s">
        <v>195</v>
      </c>
      <c r="AE316" s="126" t="s">
        <v>195</v>
      </c>
      <c r="AF316" s="147" t="s">
        <v>195</v>
      </c>
      <c r="AG316" s="140" t="s">
        <v>195</v>
      </c>
      <c r="AH316" s="274" t="s">
        <v>195</v>
      </c>
      <c r="AI316" s="94" t="s">
        <v>195</v>
      </c>
      <c r="AJ316" s="274" t="s">
        <v>195</v>
      </c>
      <c r="AK316" s="94" t="s">
        <v>195</v>
      </c>
    </row>
    <row r="317" spans="1:37" x14ac:dyDescent="0.25">
      <c r="A317" s="21" t="s">
        <v>80</v>
      </c>
      <c r="B317" s="5" t="s">
        <v>50</v>
      </c>
      <c r="C317" s="76" t="s">
        <v>45</v>
      </c>
      <c r="D317" s="26" t="s">
        <v>29</v>
      </c>
      <c r="E317" s="26" t="s">
        <v>145</v>
      </c>
      <c r="F317" s="21" t="s">
        <v>179</v>
      </c>
      <c r="G317" s="21" t="s">
        <v>147</v>
      </c>
      <c r="H317" s="27" t="s">
        <v>190</v>
      </c>
      <c r="I317" s="11">
        <v>0.9</v>
      </c>
      <c r="J317" s="29">
        <v>1.1000000000000001</v>
      </c>
      <c r="K317" s="28" t="s">
        <v>150</v>
      </c>
      <c r="L317" s="15">
        <v>1.3636363636363635</v>
      </c>
      <c r="M317" s="28" t="s">
        <v>150</v>
      </c>
      <c r="N317" s="36">
        <v>0.61904761904761907</v>
      </c>
      <c r="O317" s="28" t="s">
        <v>194</v>
      </c>
      <c r="P317" s="36">
        <v>1.03</v>
      </c>
      <c r="Q317" s="28" t="s">
        <v>150</v>
      </c>
      <c r="R317" s="29">
        <v>0.9</v>
      </c>
      <c r="S317" s="28" t="s">
        <v>150</v>
      </c>
      <c r="T317" s="15">
        <v>0.92</v>
      </c>
      <c r="U317" s="28" t="s">
        <v>150</v>
      </c>
      <c r="V317" s="29">
        <v>0.53</v>
      </c>
      <c r="W317" s="28" t="s">
        <v>194</v>
      </c>
      <c r="X317" s="14" t="s">
        <v>195</v>
      </c>
      <c r="Y317" s="28" t="s">
        <v>195</v>
      </c>
      <c r="Z317" s="29">
        <v>0.75</v>
      </c>
      <c r="AA317" s="28" t="s">
        <v>194</v>
      </c>
      <c r="AB317" s="82">
        <v>0.61904761904761907</v>
      </c>
      <c r="AC317" s="28" t="s">
        <v>194</v>
      </c>
      <c r="AD317" s="97" t="s">
        <v>195</v>
      </c>
      <c r="AE317" s="126" t="s">
        <v>195</v>
      </c>
      <c r="AF317" s="147" t="s">
        <v>195</v>
      </c>
      <c r="AG317" s="140" t="s">
        <v>195</v>
      </c>
      <c r="AH317" s="274" t="s">
        <v>195</v>
      </c>
      <c r="AI317" s="94" t="s">
        <v>195</v>
      </c>
      <c r="AJ317" s="274" t="s">
        <v>195</v>
      </c>
      <c r="AK317" s="94" t="s">
        <v>195</v>
      </c>
    </row>
    <row r="318" spans="1:37" x14ac:dyDescent="0.25">
      <c r="A318" s="21" t="s">
        <v>80</v>
      </c>
      <c r="B318" s="5" t="s">
        <v>50</v>
      </c>
      <c r="C318" s="76" t="s">
        <v>45</v>
      </c>
      <c r="D318" s="26" t="s">
        <v>29</v>
      </c>
      <c r="E318" s="26" t="s">
        <v>145</v>
      </c>
      <c r="F318" s="21" t="s">
        <v>146</v>
      </c>
      <c r="G318" s="21" t="s">
        <v>156</v>
      </c>
      <c r="H318" s="26" t="s">
        <v>174</v>
      </c>
      <c r="I318" s="11">
        <v>0.3</v>
      </c>
      <c r="J318" s="29">
        <v>0.04</v>
      </c>
      <c r="K318" s="28" t="s">
        <v>194</v>
      </c>
      <c r="L318" s="15">
        <v>6.6666666666666666E-2</v>
      </c>
      <c r="M318" s="28" t="s">
        <v>194</v>
      </c>
      <c r="N318" s="28" t="s">
        <v>417</v>
      </c>
      <c r="O318" s="28" t="s">
        <v>195</v>
      </c>
      <c r="P318" s="36" t="s">
        <v>417</v>
      </c>
      <c r="Q318" s="28" t="s">
        <v>195</v>
      </c>
      <c r="R318" s="29">
        <v>0.05</v>
      </c>
      <c r="S318" s="28" t="s">
        <v>194</v>
      </c>
      <c r="T318" s="15">
        <v>0</v>
      </c>
      <c r="U318" s="28" t="s">
        <v>194</v>
      </c>
      <c r="V318" s="29">
        <v>0.11</v>
      </c>
      <c r="W318" s="28" t="s">
        <v>194</v>
      </c>
      <c r="X318" s="14" t="s">
        <v>195</v>
      </c>
      <c r="Y318" s="28" t="s">
        <v>195</v>
      </c>
      <c r="Z318" s="29">
        <v>0</v>
      </c>
      <c r="AA318" s="28" t="s">
        <v>194</v>
      </c>
      <c r="AB318" s="83">
        <v>0</v>
      </c>
      <c r="AC318" s="28" t="s">
        <v>194</v>
      </c>
      <c r="AD318" s="97" t="s">
        <v>195</v>
      </c>
      <c r="AE318" s="97" t="s">
        <v>195</v>
      </c>
      <c r="AF318" s="147" t="s">
        <v>195</v>
      </c>
      <c r="AG318" s="140" t="s">
        <v>195</v>
      </c>
      <c r="AH318" s="274" t="s">
        <v>195</v>
      </c>
      <c r="AI318" s="97" t="s">
        <v>195</v>
      </c>
      <c r="AJ318" s="274" t="s">
        <v>195</v>
      </c>
      <c r="AK318" s="97" t="s">
        <v>195</v>
      </c>
    </row>
    <row r="319" spans="1:37" x14ac:dyDescent="0.25">
      <c r="A319" s="201" t="s">
        <v>54</v>
      </c>
      <c r="B319" s="202" t="s">
        <v>31</v>
      </c>
      <c r="C319" s="265" t="s">
        <v>55</v>
      </c>
      <c r="D319" s="203" t="s">
        <v>36</v>
      </c>
      <c r="E319" s="203" t="s">
        <v>191</v>
      </c>
      <c r="F319" s="201" t="s">
        <v>179</v>
      </c>
      <c r="G319" s="201" t="s">
        <v>147</v>
      </c>
      <c r="H319" s="207" t="s">
        <v>197</v>
      </c>
      <c r="I319" s="197" t="s">
        <v>187</v>
      </c>
      <c r="J319" s="197" t="s">
        <v>206</v>
      </c>
      <c r="K319" s="197" t="s">
        <v>154</v>
      </c>
      <c r="L319" s="197" t="s">
        <v>206</v>
      </c>
      <c r="M319" s="197" t="s">
        <v>154</v>
      </c>
      <c r="N319" s="197" t="s">
        <v>206</v>
      </c>
      <c r="O319" s="197" t="s">
        <v>154</v>
      </c>
      <c r="P319" s="197" t="s">
        <v>206</v>
      </c>
      <c r="Q319" s="197" t="s">
        <v>154</v>
      </c>
      <c r="R319" s="210" t="s">
        <v>154</v>
      </c>
      <c r="S319" s="197" t="s">
        <v>154</v>
      </c>
      <c r="T319" s="210" t="s">
        <v>154</v>
      </c>
      <c r="U319" s="197" t="s">
        <v>154</v>
      </c>
      <c r="V319" s="210" t="s">
        <v>154</v>
      </c>
      <c r="W319" s="197" t="s">
        <v>154</v>
      </c>
      <c r="X319" s="210" t="s">
        <v>154</v>
      </c>
      <c r="Y319" s="197" t="s">
        <v>154</v>
      </c>
      <c r="Z319" s="210" t="s">
        <v>154</v>
      </c>
      <c r="AA319" s="197" t="s">
        <v>154</v>
      </c>
      <c r="AB319" s="158" t="s">
        <v>154</v>
      </c>
      <c r="AC319" s="197" t="s">
        <v>154</v>
      </c>
      <c r="AD319" s="200" t="s">
        <v>154</v>
      </c>
      <c r="AE319" s="200" t="s">
        <v>154</v>
      </c>
      <c r="AF319" s="93" t="s">
        <v>154</v>
      </c>
      <c r="AG319" s="97" t="s">
        <v>154</v>
      </c>
      <c r="AH319" s="93" t="s">
        <v>154</v>
      </c>
      <c r="AI319" s="94" t="s">
        <v>154</v>
      </c>
      <c r="AJ319" s="93" t="s">
        <v>154</v>
      </c>
      <c r="AK319" s="94" t="s">
        <v>154</v>
      </c>
    </row>
    <row r="320" spans="1:37" x14ac:dyDescent="0.25">
      <c r="A320" s="21" t="s">
        <v>54</v>
      </c>
      <c r="B320" s="5" t="s">
        <v>31</v>
      </c>
      <c r="C320" s="76" t="s">
        <v>55</v>
      </c>
      <c r="D320" s="26" t="s">
        <v>36</v>
      </c>
      <c r="E320" s="26" t="s">
        <v>191</v>
      </c>
      <c r="F320" s="21" t="s">
        <v>179</v>
      </c>
      <c r="G320" s="21" t="s">
        <v>147</v>
      </c>
      <c r="H320" s="27" t="s">
        <v>180</v>
      </c>
      <c r="I320" s="15" t="s">
        <v>187</v>
      </c>
      <c r="J320" s="15" t="s">
        <v>206</v>
      </c>
      <c r="K320" s="15" t="s">
        <v>154</v>
      </c>
      <c r="L320" s="15" t="s">
        <v>206</v>
      </c>
      <c r="M320" s="15" t="s">
        <v>154</v>
      </c>
      <c r="N320" s="15" t="s">
        <v>206</v>
      </c>
      <c r="O320" s="15" t="s">
        <v>154</v>
      </c>
      <c r="P320" s="15" t="s">
        <v>206</v>
      </c>
      <c r="Q320" s="15" t="s">
        <v>154</v>
      </c>
      <c r="R320" s="17" t="s">
        <v>154</v>
      </c>
      <c r="S320" s="15" t="s">
        <v>154</v>
      </c>
      <c r="T320" s="17" t="s">
        <v>154</v>
      </c>
      <c r="U320" s="15" t="s">
        <v>154</v>
      </c>
      <c r="V320" s="17" t="s">
        <v>154</v>
      </c>
      <c r="W320" s="15" t="s">
        <v>154</v>
      </c>
      <c r="X320" s="17" t="s">
        <v>154</v>
      </c>
      <c r="Y320" s="15" t="s">
        <v>154</v>
      </c>
      <c r="Z320" s="17" t="s">
        <v>154</v>
      </c>
      <c r="AA320" s="15" t="s">
        <v>154</v>
      </c>
      <c r="AB320" s="93" t="s">
        <v>154</v>
      </c>
      <c r="AC320" s="15" t="s">
        <v>154</v>
      </c>
      <c r="AD320" s="126" t="s">
        <v>154</v>
      </c>
      <c r="AE320" s="97" t="s">
        <v>154</v>
      </c>
      <c r="AF320" s="93" t="s">
        <v>154</v>
      </c>
      <c r="AG320" s="97" t="s">
        <v>154</v>
      </c>
      <c r="AH320" s="93" t="s">
        <v>154</v>
      </c>
      <c r="AI320" s="97" t="s">
        <v>154</v>
      </c>
      <c r="AJ320" s="93" t="s">
        <v>154</v>
      </c>
      <c r="AK320" s="97" t="s">
        <v>154</v>
      </c>
    </row>
    <row r="321" spans="1:37" x14ac:dyDescent="0.25">
      <c r="A321" s="21" t="s">
        <v>54</v>
      </c>
      <c r="B321" s="5" t="s">
        <v>31</v>
      </c>
      <c r="C321" s="76" t="s">
        <v>55</v>
      </c>
      <c r="D321" s="26" t="s">
        <v>36</v>
      </c>
      <c r="E321" s="26" t="s">
        <v>191</v>
      </c>
      <c r="F321" s="21" t="s">
        <v>179</v>
      </c>
      <c r="G321" s="21" t="s">
        <v>147</v>
      </c>
      <c r="H321" s="27" t="s">
        <v>188</v>
      </c>
      <c r="I321" s="15" t="s">
        <v>187</v>
      </c>
      <c r="J321" s="15" t="s">
        <v>206</v>
      </c>
      <c r="K321" s="15" t="s">
        <v>154</v>
      </c>
      <c r="L321" s="15" t="s">
        <v>206</v>
      </c>
      <c r="M321" s="15" t="s">
        <v>154</v>
      </c>
      <c r="N321" s="15" t="s">
        <v>206</v>
      </c>
      <c r="O321" s="15" t="s">
        <v>154</v>
      </c>
      <c r="P321" s="15" t="s">
        <v>206</v>
      </c>
      <c r="Q321" s="15" t="s">
        <v>154</v>
      </c>
      <c r="R321" s="17" t="s">
        <v>154</v>
      </c>
      <c r="S321" s="15" t="s">
        <v>154</v>
      </c>
      <c r="T321" s="17" t="s">
        <v>154</v>
      </c>
      <c r="U321" s="15" t="s">
        <v>154</v>
      </c>
      <c r="V321" s="17" t="s">
        <v>154</v>
      </c>
      <c r="W321" s="15" t="s">
        <v>154</v>
      </c>
      <c r="X321" s="17" t="s">
        <v>154</v>
      </c>
      <c r="Y321" s="15" t="s">
        <v>154</v>
      </c>
      <c r="Z321" s="17" t="s">
        <v>154</v>
      </c>
      <c r="AA321" s="15" t="s">
        <v>154</v>
      </c>
      <c r="AB321" s="93" t="s">
        <v>154</v>
      </c>
      <c r="AC321" s="15" t="s">
        <v>154</v>
      </c>
      <c r="AD321" s="126" t="s">
        <v>154</v>
      </c>
      <c r="AE321" s="126" t="s">
        <v>154</v>
      </c>
      <c r="AF321" s="93" t="s">
        <v>154</v>
      </c>
      <c r="AG321" s="97" t="s">
        <v>154</v>
      </c>
      <c r="AH321" s="93" t="s">
        <v>154</v>
      </c>
      <c r="AI321" s="94" t="s">
        <v>154</v>
      </c>
      <c r="AJ321" s="93" t="s">
        <v>154</v>
      </c>
      <c r="AK321" s="94" t="s">
        <v>154</v>
      </c>
    </row>
    <row r="322" spans="1:37" x14ac:dyDescent="0.25">
      <c r="A322" s="21" t="s">
        <v>54</v>
      </c>
      <c r="B322" s="5" t="s">
        <v>31</v>
      </c>
      <c r="C322" s="76" t="s">
        <v>55</v>
      </c>
      <c r="D322" s="26" t="s">
        <v>36</v>
      </c>
      <c r="E322" s="26" t="s">
        <v>191</v>
      </c>
      <c r="F322" s="21" t="s">
        <v>179</v>
      </c>
      <c r="G322" s="21" t="s">
        <v>147</v>
      </c>
      <c r="H322" s="21" t="s">
        <v>310</v>
      </c>
      <c r="I322" s="15" t="s">
        <v>187</v>
      </c>
      <c r="J322" s="15" t="s">
        <v>206</v>
      </c>
      <c r="K322" s="15" t="s">
        <v>154</v>
      </c>
      <c r="L322" s="15" t="s">
        <v>206</v>
      </c>
      <c r="M322" s="15" t="s">
        <v>154</v>
      </c>
      <c r="N322" s="15" t="s">
        <v>206</v>
      </c>
      <c r="O322" s="15" t="s">
        <v>154</v>
      </c>
      <c r="P322" s="15" t="s">
        <v>206</v>
      </c>
      <c r="Q322" s="15" t="s">
        <v>154</v>
      </c>
      <c r="R322" s="17" t="s">
        <v>154</v>
      </c>
      <c r="S322" s="15" t="s">
        <v>154</v>
      </c>
      <c r="T322" s="17" t="s">
        <v>154</v>
      </c>
      <c r="U322" s="15" t="s">
        <v>154</v>
      </c>
      <c r="V322" s="17" t="s">
        <v>154</v>
      </c>
      <c r="W322" s="15" t="s">
        <v>154</v>
      </c>
      <c r="X322" s="17" t="s">
        <v>154</v>
      </c>
      <c r="Y322" s="15" t="s">
        <v>154</v>
      </c>
      <c r="Z322" s="17" t="s">
        <v>154</v>
      </c>
      <c r="AA322" s="15" t="s">
        <v>154</v>
      </c>
      <c r="AB322" s="93" t="s">
        <v>154</v>
      </c>
      <c r="AC322" s="15" t="s">
        <v>154</v>
      </c>
      <c r="AD322" s="126" t="s">
        <v>154</v>
      </c>
      <c r="AE322" s="97" t="s">
        <v>154</v>
      </c>
      <c r="AF322" s="93" t="s">
        <v>154</v>
      </c>
      <c r="AG322" s="97" t="s">
        <v>154</v>
      </c>
      <c r="AH322" s="93" t="s">
        <v>154</v>
      </c>
      <c r="AI322" s="97" t="s">
        <v>154</v>
      </c>
      <c r="AJ322" s="93" t="s">
        <v>154</v>
      </c>
      <c r="AK322" s="97" t="s">
        <v>154</v>
      </c>
    </row>
    <row r="323" spans="1:37" x14ac:dyDescent="0.25">
      <c r="A323" s="161" t="s">
        <v>54</v>
      </c>
      <c r="B323" s="162" t="s">
        <v>31</v>
      </c>
      <c r="C323" s="264" t="s">
        <v>55</v>
      </c>
      <c r="D323" s="163" t="s">
        <v>36</v>
      </c>
      <c r="E323" s="163" t="s">
        <v>191</v>
      </c>
      <c r="F323" s="161" t="s">
        <v>179</v>
      </c>
      <c r="G323" s="161" t="s">
        <v>147</v>
      </c>
      <c r="H323" s="161" t="s">
        <v>189</v>
      </c>
      <c r="I323" s="165" t="s">
        <v>187</v>
      </c>
      <c r="J323" s="165" t="s">
        <v>206</v>
      </c>
      <c r="K323" s="165" t="s">
        <v>154</v>
      </c>
      <c r="L323" s="165" t="s">
        <v>206</v>
      </c>
      <c r="M323" s="165" t="s">
        <v>154</v>
      </c>
      <c r="N323" s="165" t="s">
        <v>206</v>
      </c>
      <c r="O323" s="165" t="s">
        <v>154</v>
      </c>
      <c r="P323" s="165" t="s">
        <v>206</v>
      </c>
      <c r="Q323" s="165" t="s">
        <v>154</v>
      </c>
      <c r="R323" s="168" t="s">
        <v>154</v>
      </c>
      <c r="S323" s="165" t="s">
        <v>154</v>
      </c>
      <c r="T323" s="168" t="s">
        <v>154</v>
      </c>
      <c r="U323" s="165" t="s">
        <v>154</v>
      </c>
      <c r="V323" s="168" t="s">
        <v>154</v>
      </c>
      <c r="W323" s="165" t="s">
        <v>154</v>
      </c>
      <c r="X323" s="168" t="s">
        <v>154</v>
      </c>
      <c r="Y323" s="165" t="s">
        <v>154</v>
      </c>
      <c r="Z323" s="168" t="s">
        <v>154</v>
      </c>
      <c r="AA323" s="165" t="s">
        <v>154</v>
      </c>
      <c r="AB323" s="159" t="s">
        <v>154</v>
      </c>
      <c r="AC323" s="165" t="s">
        <v>154</v>
      </c>
      <c r="AD323" s="174" t="s">
        <v>154</v>
      </c>
      <c r="AE323" s="174" t="s">
        <v>154</v>
      </c>
      <c r="AF323" s="93" t="s">
        <v>154</v>
      </c>
      <c r="AG323" s="97" t="s">
        <v>154</v>
      </c>
      <c r="AH323" s="93" t="s">
        <v>154</v>
      </c>
      <c r="AI323" s="94" t="s">
        <v>154</v>
      </c>
      <c r="AJ323" s="93" t="s">
        <v>154</v>
      </c>
      <c r="AK323" s="94" t="s">
        <v>154</v>
      </c>
    </row>
    <row r="324" spans="1:37" x14ac:dyDescent="0.25">
      <c r="A324" s="21" t="s">
        <v>52</v>
      </c>
      <c r="B324" s="5" t="s">
        <v>27</v>
      </c>
      <c r="C324" s="5" t="s">
        <v>568</v>
      </c>
      <c r="D324" s="26" t="s">
        <v>29</v>
      </c>
      <c r="E324" s="26" t="s">
        <v>145</v>
      </c>
      <c r="F324" s="26" t="s">
        <v>146</v>
      </c>
      <c r="G324" s="21" t="s">
        <v>147</v>
      </c>
      <c r="H324" s="27" t="s">
        <v>180</v>
      </c>
      <c r="I324" s="14" t="s">
        <v>304</v>
      </c>
      <c r="J324" s="8">
        <v>97</v>
      </c>
      <c r="K324" s="28" t="s">
        <v>150</v>
      </c>
      <c r="L324" s="28">
        <v>98</v>
      </c>
      <c r="M324" s="28" t="s">
        <v>150</v>
      </c>
      <c r="N324" s="28">
        <v>88</v>
      </c>
      <c r="O324" s="28" t="s">
        <v>150</v>
      </c>
      <c r="P324" s="28">
        <v>94</v>
      </c>
      <c r="Q324" s="28" t="s">
        <v>150</v>
      </c>
      <c r="R324" s="28">
        <v>83</v>
      </c>
      <c r="S324" s="28" t="s">
        <v>150</v>
      </c>
      <c r="T324" s="28">
        <v>86</v>
      </c>
      <c r="U324" s="28" t="s">
        <v>150</v>
      </c>
      <c r="V324" s="13">
        <v>104</v>
      </c>
      <c r="W324" s="28" t="s">
        <v>150</v>
      </c>
      <c r="X324" s="13">
        <v>85</v>
      </c>
      <c r="Y324" s="28" t="s">
        <v>150</v>
      </c>
      <c r="Z324" s="28" t="s">
        <v>305</v>
      </c>
      <c r="AA324" s="28" t="s">
        <v>150</v>
      </c>
      <c r="AB324" s="95">
        <v>87</v>
      </c>
      <c r="AC324" s="28" t="s">
        <v>150</v>
      </c>
      <c r="AD324" s="97" t="s">
        <v>195</v>
      </c>
      <c r="AE324" s="97" t="s">
        <v>195</v>
      </c>
      <c r="AF324" s="95">
        <v>85</v>
      </c>
      <c r="AG324" s="199" t="s">
        <v>150</v>
      </c>
      <c r="AH324" s="78">
        <v>71</v>
      </c>
      <c r="AI324" s="199" t="s">
        <v>150</v>
      </c>
      <c r="AJ324" s="78">
        <v>87</v>
      </c>
      <c r="AK324" s="199" t="s">
        <v>150</v>
      </c>
    </row>
    <row r="325" spans="1:37" x14ac:dyDescent="0.25">
      <c r="A325" s="21" t="s">
        <v>52</v>
      </c>
      <c r="B325" s="5" t="s">
        <v>27</v>
      </c>
      <c r="C325" s="5" t="s">
        <v>568</v>
      </c>
      <c r="D325" s="26" t="s">
        <v>29</v>
      </c>
      <c r="E325" s="26" t="s">
        <v>145</v>
      </c>
      <c r="F325" s="26" t="s">
        <v>146</v>
      </c>
      <c r="G325" s="21" t="s">
        <v>147</v>
      </c>
      <c r="H325" s="27" t="s">
        <v>197</v>
      </c>
      <c r="I325" s="14" t="s">
        <v>306</v>
      </c>
      <c r="J325" s="8">
        <v>50</v>
      </c>
      <c r="K325" s="28" t="s">
        <v>150</v>
      </c>
      <c r="L325" s="28">
        <v>33</v>
      </c>
      <c r="M325" s="28" t="s">
        <v>150</v>
      </c>
      <c r="N325" s="28">
        <v>54</v>
      </c>
      <c r="O325" s="28" t="s">
        <v>150</v>
      </c>
      <c r="P325" s="28">
        <v>46</v>
      </c>
      <c r="Q325" s="28" t="s">
        <v>150</v>
      </c>
      <c r="R325" s="28">
        <v>35</v>
      </c>
      <c r="S325" s="28" t="s">
        <v>150</v>
      </c>
      <c r="T325" s="28">
        <v>50</v>
      </c>
      <c r="U325" s="28" t="s">
        <v>150</v>
      </c>
      <c r="V325" s="13">
        <v>42</v>
      </c>
      <c r="W325" s="28" t="s">
        <v>150</v>
      </c>
      <c r="X325" s="13">
        <v>18</v>
      </c>
      <c r="Y325" s="28" t="s">
        <v>150</v>
      </c>
      <c r="Z325" s="28" t="s">
        <v>307</v>
      </c>
      <c r="AA325" s="28" t="s">
        <v>150</v>
      </c>
      <c r="AB325" s="95">
        <v>32</v>
      </c>
      <c r="AC325" s="28" t="s">
        <v>150</v>
      </c>
      <c r="AD325" s="97" t="s">
        <v>195</v>
      </c>
      <c r="AE325" s="97" t="s">
        <v>195</v>
      </c>
      <c r="AF325" s="95">
        <v>46</v>
      </c>
      <c r="AG325" s="199" t="s">
        <v>150</v>
      </c>
      <c r="AH325" s="78">
        <v>35</v>
      </c>
      <c r="AI325" s="199" t="s">
        <v>150</v>
      </c>
      <c r="AJ325" s="78">
        <v>39</v>
      </c>
      <c r="AK325" s="199" t="s">
        <v>150</v>
      </c>
    </row>
    <row r="326" spans="1:37" x14ac:dyDescent="0.25">
      <c r="A326" s="21" t="s">
        <v>52</v>
      </c>
      <c r="B326" s="5" t="s">
        <v>27</v>
      </c>
      <c r="C326" s="5" t="s">
        <v>568</v>
      </c>
      <c r="D326" s="26" t="s">
        <v>29</v>
      </c>
      <c r="E326" s="26" t="s">
        <v>145</v>
      </c>
      <c r="F326" s="26" t="s">
        <v>146</v>
      </c>
      <c r="G326" s="21" t="s">
        <v>147</v>
      </c>
      <c r="H326" s="26" t="s">
        <v>301</v>
      </c>
      <c r="I326" s="11">
        <v>0.8</v>
      </c>
      <c r="J326" s="15">
        <v>0.7142857142857143</v>
      </c>
      <c r="K326" s="28" t="s">
        <v>194</v>
      </c>
      <c r="L326" s="36">
        <v>0.5714285714285714</v>
      </c>
      <c r="M326" s="28" t="s">
        <v>194</v>
      </c>
      <c r="N326" s="36">
        <v>0.77777777777777779</v>
      </c>
      <c r="O326" s="28" t="s">
        <v>194</v>
      </c>
      <c r="P326" s="36">
        <v>0.7</v>
      </c>
      <c r="Q326" s="28" t="s">
        <v>194</v>
      </c>
      <c r="R326" s="36">
        <v>0.66666666666666663</v>
      </c>
      <c r="S326" s="28" t="s">
        <v>194</v>
      </c>
      <c r="T326" s="36">
        <v>0.6</v>
      </c>
      <c r="U326" s="28" t="s">
        <v>194</v>
      </c>
      <c r="V326" s="50">
        <v>0.83333333333333337</v>
      </c>
      <c r="W326" s="28" t="s">
        <v>150</v>
      </c>
      <c r="X326" s="50">
        <v>0.8571428571428571</v>
      </c>
      <c r="Y326" s="28" t="s">
        <v>150</v>
      </c>
      <c r="Z326" s="29">
        <v>0.86</v>
      </c>
      <c r="AA326" s="28" t="s">
        <v>150</v>
      </c>
      <c r="AB326" s="102">
        <v>0.71</v>
      </c>
      <c r="AC326" s="28" t="s">
        <v>194</v>
      </c>
      <c r="AD326" s="97" t="s">
        <v>195</v>
      </c>
      <c r="AE326" s="126" t="s">
        <v>195</v>
      </c>
      <c r="AF326" s="102">
        <v>0.86</v>
      </c>
      <c r="AG326" s="199" t="s">
        <v>150</v>
      </c>
      <c r="AH326" s="119">
        <v>1</v>
      </c>
      <c r="AI326" s="199" t="s">
        <v>150</v>
      </c>
      <c r="AJ326" s="119">
        <v>0.76</v>
      </c>
      <c r="AK326" s="28" t="s">
        <v>194</v>
      </c>
    </row>
    <row r="327" spans="1:37" x14ac:dyDescent="0.25">
      <c r="A327" s="21" t="s">
        <v>52</v>
      </c>
      <c r="B327" s="5" t="s">
        <v>27</v>
      </c>
      <c r="C327" s="5" t="s">
        <v>568</v>
      </c>
      <c r="D327" s="26" t="s">
        <v>29</v>
      </c>
      <c r="E327" s="26" t="s">
        <v>145</v>
      </c>
      <c r="F327" s="26" t="s">
        <v>146</v>
      </c>
      <c r="G327" s="21" t="s">
        <v>147</v>
      </c>
      <c r="H327" s="21" t="s">
        <v>308</v>
      </c>
      <c r="I327" s="16">
        <v>4.7222222222222221E-2</v>
      </c>
      <c r="J327" s="34">
        <v>4.3749999999999997E-2</v>
      </c>
      <c r="K327" s="28" t="s">
        <v>150</v>
      </c>
      <c r="L327" s="34">
        <v>4.3749999999999997E-2</v>
      </c>
      <c r="M327" s="28" t="s">
        <v>150</v>
      </c>
      <c r="N327" s="34">
        <v>4.4444444444444446E-2</v>
      </c>
      <c r="O327" s="28" t="s">
        <v>150</v>
      </c>
      <c r="P327" s="34">
        <v>4.3749999999999997E-2</v>
      </c>
      <c r="Q327" s="28" t="s">
        <v>150</v>
      </c>
      <c r="R327" s="34">
        <v>4.4444444444444446E-2</v>
      </c>
      <c r="S327" s="28" t="s">
        <v>150</v>
      </c>
      <c r="T327" s="36">
        <v>4.3749999999999997E-2</v>
      </c>
      <c r="U327" s="28" t="s">
        <v>150</v>
      </c>
      <c r="V327" s="51">
        <v>4.3749999999999997E-2</v>
      </c>
      <c r="W327" s="28" t="s">
        <v>150</v>
      </c>
      <c r="X327" s="51">
        <v>4.3749999999999997E-2</v>
      </c>
      <c r="Y327" s="28" t="s">
        <v>150</v>
      </c>
      <c r="Z327" s="51">
        <v>4.3749999999999997E-2</v>
      </c>
      <c r="AA327" s="28" t="s">
        <v>150</v>
      </c>
      <c r="AB327" s="105">
        <v>4.4444444444444446E-2</v>
      </c>
      <c r="AC327" s="28" t="s">
        <v>150</v>
      </c>
      <c r="AD327" s="97" t="s">
        <v>195</v>
      </c>
      <c r="AE327" s="126" t="s">
        <v>195</v>
      </c>
      <c r="AF327" s="105">
        <v>4.4444444444444446E-2</v>
      </c>
      <c r="AG327" s="199" t="s">
        <v>150</v>
      </c>
      <c r="AH327" s="121">
        <v>4.4444444444444446E-2</v>
      </c>
      <c r="AI327" s="199" t="s">
        <v>150</v>
      </c>
      <c r="AJ327" s="121">
        <v>4.4444444444444446E-2</v>
      </c>
      <c r="AK327" s="199" t="s">
        <v>150</v>
      </c>
    </row>
    <row r="328" spans="1:37" x14ac:dyDescent="0.25">
      <c r="A328" s="21" t="s">
        <v>52</v>
      </c>
      <c r="B328" s="5" t="s">
        <v>27</v>
      </c>
      <c r="C328" s="5" t="s">
        <v>568</v>
      </c>
      <c r="D328" s="26" t="s">
        <v>29</v>
      </c>
      <c r="E328" s="26" t="s">
        <v>145</v>
      </c>
      <c r="F328" s="26" t="s">
        <v>146</v>
      </c>
      <c r="G328" s="21" t="s">
        <v>147</v>
      </c>
      <c r="H328" s="21" t="s">
        <v>202</v>
      </c>
      <c r="I328" s="14" t="s">
        <v>309</v>
      </c>
      <c r="J328" s="15">
        <v>0.6</v>
      </c>
      <c r="K328" s="28" t="s">
        <v>150</v>
      </c>
      <c r="L328" s="36">
        <v>0.25</v>
      </c>
      <c r="M328" s="28" t="s">
        <v>150</v>
      </c>
      <c r="N328" s="36">
        <v>0.14285714285714285</v>
      </c>
      <c r="O328" s="28" t="s">
        <v>194</v>
      </c>
      <c r="P328" s="36">
        <v>0.66666666666666663</v>
      </c>
      <c r="Q328" s="28" t="s">
        <v>150</v>
      </c>
      <c r="R328" s="36">
        <v>0</v>
      </c>
      <c r="S328" s="28" t="s">
        <v>194</v>
      </c>
      <c r="T328" s="36">
        <v>0.33333333333333331</v>
      </c>
      <c r="U328" s="28" t="s">
        <v>150</v>
      </c>
      <c r="V328" s="52">
        <v>0.2</v>
      </c>
      <c r="W328" s="28" t="s">
        <v>150</v>
      </c>
      <c r="X328" s="52">
        <v>0.41666666666666669</v>
      </c>
      <c r="Y328" s="28" t="s">
        <v>150</v>
      </c>
      <c r="Z328" s="52">
        <v>0.41666666666666669</v>
      </c>
      <c r="AA328" s="28" t="s">
        <v>150</v>
      </c>
      <c r="AB328" s="102">
        <v>0.2</v>
      </c>
      <c r="AC328" s="28" t="s">
        <v>150</v>
      </c>
      <c r="AD328" s="97" t="s">
        <v>195</v>
      </c>
      <c r="AE328" s="97" t="s">
        <v>195</v>
      </c>
      <c r="AF328" s="102">
        <v>0.17</v>
      </c>
      <c r="AG328" s="199" t="s">
        <v>150</v>
      </c>
      <c r="AH328" s="108">
        <v>0.22222222222222221</v>
      </c>
      <c r="AI328" s="199" t="s">
        <v>150</v>
      </c>
      <c r="AJ328" s="108">
        <v>0.23</v>
      </c>
      <c r="AK328" s="199" t="s">
        <v>150</v>
      </c>
    </row>
    <row r="329" spans="1:37" x14ac:dyDescent="0.25">
      <c r="A329" s="21" t="s">
        <v>52</v>
      </c>
      <c r="B329" s="5" t="s">
        <v>27</v>
      </c>
      <c r="C329" s="5" t="s">
        <v>568</v>
      </c>
      <c r="D329" s="26" t="s">
        <v>29</v>
      </c>
      <c r="E329" s="26" t="s">
        <v>145</v>
      </c>
      <c r="F329" s="21" t="s">
        <v>179</v>
      </c>
      <c r="G329" s="21" t="s">
        <v>147</v>
      </c>
      <c r="H329" s="21" t="s">
        <v>207</v>
      </c>
      <c r="I329" s="15">
        <v>0.2</v>
      </c>
      <c r="J329" s="15">
        <v>0.17647058823529413</v>
      </c>
      <c r="K329" s="28" t="s">
        <v>150</v>
      </c>
      <c r="L329" s="36">
        <v>0.15789473684210525</v>
      </c>
      <c r="M329" s="28" t="s">
        <v>150</v>
      </c>
      <c r="N329" s="36">
        <v>0.18518518518518517</v>
      </c>
      <c r="O329" s="28" t="s">
        <v>150</v>
      </c>
      <c r="P329" s="36">
        <v>0.17460317460317459</v>
      </c>
      <c r="Q329" s="28" t="s">
        <v>150</v>
      </c>
      <c r="R329" s="36">
        <v>0.13513513513513514</v>
      </c>
      <c r="S329" s="28" t="s">
        <v>150</v>
      </c>
      <c r="T329" s="36">
        <v>0.13513513513513514</v>
      </c>
      <c r="U329" s="28" t="s">
        <v>150</v>
      </c>
      <c r="V329" s="50">
        <v>0.22857142857142856</v>
      </c>
      <c r="W329" s="28" t="s">
        <v>194</v>
      </c>
      <c r="X329" s="50">
        <v>0.18421052631578946</v>
      </c>
      <c r="Y329" s="28" t="s">
        <v>150</v>
      </c>
      <c r="Z329" s="50">
        <v>0.18421052631578946</v>
      </c>
      <c r="AA329" s="28" t="s">
        <v>150</v>
      </c>
      <c r="AB329" s="102">
        <v>0.17</v>
      </c>
      <c r="AC329" s="28" t="s">
        <v>150</v>
      </c>
      <c r="AD329" s="97" t="s">
        <v>195</v>
      </c>
      <c r="AE329" s="127" t="s">
        <v>195</v>
      </c>
      <c r="AF329" s="102">
        <v>0.24</v>
      </c>
      <c r="AG329" s="28" t="s">
        <v>194</v>
      </c>
      <c r="AH329" s="119">
        <v>0.17241379310344829</v>
      </c>
      <c r="AI329" s="199" t="s">
        <v>150</v>
      </c>
      <c r="AJ329" s="119">
        <v>0.19</v>
      </c>
      <c r="AK329" s="199" t="s">
        <v>150</v>
      </c>
    </row>
    <row r="330" spans="1:37" x14ac:dyDescent="0.25">
      <c r="A330" s="21" t="s">
        <v>52</v>
      </c>
      <c r="B330" s="5" t="s">
        <v>27</v>
      </c>
      <c r="C330" s="5" t="s">
        <v>568</v>
      </c>
      <c r="D330" s="26" t="s">
        <v>29</v>
      </c>
      <c r="E330" s="26" t="s">
        <v>145</v>
      </c>
      <c r="F330" s="21" t="s">
        <v>179</v>
      </c>
      <c r="G330" s="21" t="s">
        <v>147</v>
      </c>
      <c r="H330" s="27" t="s">
        <v>186</v>
      </c>
      <c r="I330" s="15">
        <v>0.7</v>
      </c>
      <c r="J330" s="15">
        <v>0.43548387096774194</v>
      </c>
      <c r="K330" s="28" t="s">
        <v>194</v>
      </c>
      <c r="L330" s="36">
        <v>0.5625</v>
      </c>
      <c r="M330" s="28" t="s">
        <v>194</v>
      </c>
      <c r="N330" s="36">
        <v>0.77777777777777779</v>
      </c>
      <c r="O330" s="28" t="s">
        <v>150</v>
      </c>
      <c r="P330" s="36">
        <v>0.60101010101010099</v>
      </c>
      <c r="Q330" s="28" t="s">
        <v>194</v>
      </c>
      <c r="R330" s="36">
        <v>0.74712643678160917</v>
      </c>
      <c r="S330" s="28" t="s">
        <v>150</v>
      </c>
      <c r="T330" s="36">
        <v>0.68354430379746833</v>
      </c>
      <c r="U330" s="28" t="s">
        <v>194</v>
      </c>
      <c r="V330" s="50">
        <v>0.75</v>
      </c>
      <c r="W330" s="28" t="s">
        <v>150</v>
      </c>
      <c r="X330" s="50">
        <v>0.7</v>
      </c>
      <c r="Y330" s="28" t="s">
        <v>150</v>
      </c>
      <c r="Z330" s="50">
        <v>0.7</v>
      </c>
      <c r="AA330" s="28" t="s">
        <v>150</v>
      </c>
      <c r="AB330" s="102">
        <v>0.83</v>
      </c>
      <c r="AC330" s="28" t="s">
        <v>150</v>
      </c>
      <c r="AD330" s="97" t="s">
        <v>195</v>
      </c>
      <c r="AE330" s="126" t="s">
        <v>195</v>
      </c>
      <c r="AF330" s="102">
        <v>0.56000000000000005</v>
      </c>
      <c r="AG330" s="28" t="s">
        <v>194</v>
      </c>
      <c r="AH330" s="119">
        <v>0.69620253164556967</v>
      </c>
      <c r="AI330" s="28" t="s">
        <v>194</v>
      </c>
      <c r="AJ330" s="286">
        <v>0.68095238095238098</v>
      </c>
      <c r="AK330" s="28" t="s">
        <v>194</v>
      </c>
    </row>
    <row r="331" spans="1:37" x14ac:dyDescent="0.25">
      <c r="A331" s="21" t="s">
        <v>52</v>
      </c>
      <c r="B331" s="5" t="s">
        <v>27</v>
      </c>
      <c r="C331" s="5" t="s">
        <v>568</v>
      </c>
      <c r="D331" s="26" t="s">
        <v>29</v>
      </c>
      <c r="E331" s="26" t="s">
        <v>145</v>
      </c>
      <c r="F331" s="21" t="s">
        <v>179</v>
      </c>
      <c r="G331" s="21" t="s">
        <v>147</v>
      </c>
      <c r="H331" s="27" t="s">
        <v>188</v>
      </c>
      <c r="I331" s="15">
        <v>0.5</v>
      </c>
      <c r="J331" s="15">
        <v>6.4516129032258063E-2</v>
      </c>
      <c r="K331" s="28" t="s">
        <v>194</v>
      </c>
      <c r="L331" s="36">
        <v>3.125E-2</v>
      </c>
      <c r="M331" s="28" t="s">
        <v>194</v>
      </c>
      <c r="N331" s="36">
        <v>9.7222222222222224E-2</v>
      </c>
      <c r="O331" s="28" t="s">
        <v>194</v>
      </c>
      <c r="P331" s="36">
        <v>6.5656565656565663E-2</v>
      </c>
      <c r="Q331" s="28" t="s">
        <v>194</v>
      </c>
      <c r="R331" s="36">
        <v>0.13793103448275862</v>
      </c>
      <c r="S331" s="28" t="s">
        <v>194</v>
      </c>
      <c r="T331" s="36">
        <v>0.11392405063291139</v>
      </c>
      <c r="U331" s="28" t="s">
        <v>194</v>
      </c>
      <c r="V331" s="50">
        <v>0.35</v>
      </c>
      <c r="W331" s="28" t="s">
        <v>194</v>
      </c>
      <c r="X331" s="50">
        <v>0.33333333333333331</v>
      </c>
      <c r="Y331" s="28" t="s">
        <v>194</v>
      </c>
      <c r="Z331" s="50">
        <v>0.33333333333333331</v>
      </c>
      <c r="AA331" s="28" t="s">
        <v>194</v>
      </c>
      <c r="AB331" s="102">
        <v>0.13</v>
      </c>
      <c r="AC331" s="28" t="s">
        <v>194</v>
      </c>
      <c r="AD331" s="97" t="s">
        <v>195</v>
      </c>
      <c r="AE331" s="126" t="s">
        <v>195</v>
      </c>
      <c r="AF331" s="102">
        <v>0.08</v>
      </c>
      <c r="AG331" s="28" t="s">
        <v>194</v>
      </c>
      <c r="AH331" s="119">
        <v>0.12658227848101267</v>
      </c>
      <c r="AI331" s="28" t="s">
        <v>194</v>
      </c>
      <c r="AJ331" s="119">
        <v>0.15</v>
      </c>
      <c r="AK331" s="28" t="s">
        <v>194</v>
      </c>
    </row>
    <row r="332" spans="1:37" x14ac:dyDescent="0.25">
      <c r="A332" s="21" t="s">
        <v>52</v>
      </c>
      <c r="B332" s="5" t="s">
        <v>27</v>
      </c>
      <c r="C332" s="5" t="s">
        <v>568</v>
      </c>
      <c r="D332" s="26" t="s">
        <v>29</v>
      </c>
      <c r="E332" s="26" t="s">
        <v>145</v>
      </c>
      <c r="F332" s="21" t="s">
        <v>179</v>
      </c>
      <c r="G332" s="21" t="s">
        <v>147</v>
      </c>
      <c r="H332" s="21" t="s">
        <v>189</v>
      </c>
      <c r="I332" s="15">
        <v>0.2</v>
      </c>
      <c r="J332" s="15">
        <v>0.25</v>
      </c>
      <c r="K332" s="28" t="s">
        <v>194</v>
      </c>
      <c r="L332" s="36">
        <v>0</v>
      </c>
      <c r="M332" s="28" t="s">
        <v>150</v>
      </c>
      <c r="N332" s="36">
        <v>0.2</v>
      </c>
      <c r="O332" s="28" t="s">
        <v>150</v>
      </c>
      <c r="P332" s="36">
        <v>0.16666666666666666</v>
      </c>
      <c r="Q332" s="28" t="s">
        <v>150</v>
      </c>
      <c r="R332" s="36">
        <v>0</v>
      </c>
      <c r="S332" s="28" t="s">
        <v>150</v>
      </c>
      <c r="T332" s="36">
        <v>0.2</v>
      </c>
      <c r="U332" s="28" t="s">
        <v>150</v>
      </c>
      <c r="V332" s="50">
        <v>0</v>
      </c>
      <c r="W332" s="28" t="s">
        <v>150</v>
      </c>
      <c r="X332" s="50">
        <v>0</v>
      </c>
      <c r="Y332" s="28" t="s">
        <v>150</v>
      </c>
      <c r="Z332" s="50">
        <v>0</v>
      </c>
      <c r="AA332" s="28" t="s">
        <v>150</v>
      </c>
      <c r="AB332" s="102">
        <v>0</v>
      </c>
      <c r="AC332" s="28" t="s">
        <v>150</v>
      </c>
      <c r="AD332" s="97" t="s">
        <v>195</v>
      </c>
      <c r="AE332" s="126" t="s">
        <v>195</v>
      </c>
      <c r="AF332" s="102">
        <v>0.33</v>
      </c>
      <c r="AG332" s="28" t="s">
        <v>194</v>
      </c>
      <c r="AH332" s="119">
        <v>0.1</v>
      </c>
      <c r="AI332" s="199" t="s">
        <v>150</v>
      </c>
      <c r="AJ332" s="119">
        <v>0.11</v>
      </c>
      <c r="AK332" s="199" t="s">
        <v>150</v>
      </c>
    </row>
    <row r="333" spans="1:37" x14ac:dyDescent="0.25">
      <c r="A333" s="21" t="s">
        <v>52</v>
      </c>
      <c r="B333" s="5" t="s">
        <v>27</v>
      </c>
      <c r="C333" s="5" t="s">
        <v>568</v>
      </c>
      <c r="D333" s="26" t="s">
        <v>29</v>
      </c>
      <c r="E333" s="26" t="s">
        <v>145</v>
      </c>
      <c r="F333" s="21" t="s">
        <v>179</v>
      </c>
      <c r="G333" s="21" t="s">
        <v>147</v>
      </c>
      <c r="H333" s="27" t="s">
        <v>190</v>
      </c>
      <c r="I333" s="15">
        <v>0.2</v>
      </c>
      <c r="J333" s="15">
        <v>0.58823529411764708</v>
      </c>
      <c r="K333" s="28" t="s">
        <v>150</v>
      </c>
      <c r="L333" s="36">
        <v>0.21052631578947367</v>
      </c>
      <c r="M333" s="28" t="s">
        <v>150</v>
      </c>
      <c r="N333" s="36">
        <v>0.25925925925925924</v>
      </c>
      <c r="O333" s="28" t="s">
        <v>150</v>
      </c>
      <c r="P333" s="36">
        <v>0.33333333333333331</v>
      </c>
      <c r="Q333" s="28" t="s">
        <v>150</v>
      </c>
      <c r="R333" s="36">
        <v>5.4054054054054057E-2</v>
      </c>
      <c r="S333" s="28" t="s">
        <v>194</v>
      </c>
      <c r="T333" s="36">
        <v>8.1081081081081086E-2</v>
      </c>
      <c r="U333" s="28" t="s">
        <v>194</v>
      </c>
      <c r="V333" s="50">
        <v>0.2</v>
      </c>
      <c r="W333" s="28" t="s">
        <v>150</v>
      </c>
      <c r="X333" s="50">
        <v>0.31578947368421051</v>
      </c>
      <c r="Y333" s="28" t="s">
        <v>150</v>
      </c>
      <c r="Z333" s="50">
        <v>0.31578947368421051</v>
      </c>
      <c r="AA333" s="28" t="s">
        <v>150</v>
      </c>
      <c r="AB333" s="102">
        <v>0.14000000000000001</v>
      </c>
      <c r="AC333" s="28" t="s">
        <v>194</v>
      </c>
      <c r="AD333" s="97" t="s">
        <v>195</v>
      </c>
      <c r="AE333" s="126" t="s">
        <v>195</v>
      </c>
      <c r="AF333" s="102">
        <v>0.32</v>
      </c>
      <c r="AG333" s="199" t="s">
        <v>150</v>
      </c>
      <c r="AH333" s="119">
        <v>0.31034482758620691</v>
      </c>
      <c r="AI333" s="199" t="s">
        <v>150</v>
      </c>
      <c r="AJ333" s="119">
        <v>0.25</v>
      </c>
      <c r="AK333" s="199" t="s">
        <v>150</v>
      </c>
    </row>
    <row r="334" spans="1:37" x14ac:dyDescent="0.25">
      <c r="A334" s="21" t="s">
        <v>52</v>
      </c>
      <c r="B334" s="5" t="s">
        <v>27</v>
      </c>
      <c r="C334" s="5" t="s">
        <v>568</v>
      </c>
      <c r="D334" s="26" t="s">
        <v>29</v>
      </c>
      <c r="E334" s="26" t="s">
        <v>145</v>
      </c>
      <c r="F334" s="21" t="s">
        <v>179</v>
      </c>
      <c r="G334" s="21" t="s">
        <v>147</v>
      </c>
      <c r="H334" s="26" t="s">
        <v>174</v>
      </c>
      <c r="I334" s="15">
        <v>0.35</v>
      </c>
      <c r="J334" s="15">
        <v>0.4</v>
      </c>
      <c r="K334" s="28" t="s">
        <v>150</v>
      </c>
      <c r="L334" s="36">
        <v>0</v>
      </c>
      <c r="M334" s="28" t="s">
        <v>194</v>
      </c>
      <c r="N334" s="36">
        <v>0.2857142857142857</v>
      </c>
      <c r="O334" s="28" t="s">
        <v>194</v>
      </c>
      <c r="P334" s="36">
        <v>0.2857142857142857</v>
      </c>
      <c r="Q334" s="28" t="s">
        <v>194</v>
      </c>
      <c r="R334" s="36">
        <v>0.5</v>
      </c>
      <c r="S334" s="28" t="s">
        <v>150</v>
      </c>
      <c r="T334" s="36">
        <v>0.33333333333333331</v>
      </c>
      <c r="U334" s="28" t="s">
        <v>194</v>
      </c>
      <c r="V334" s="50">
        <v>0.2</v>
      </c>
      <c r="W334" s="28" t="s">
        <v>194</v>
      </c>
      <c r="X334" s="50">
        <v>0.25</v>
      </c>
      <c r="Y334" s="28" t="s">
        <v>194</v>
      </c>
      <c r="Z334" s="50">
        <v>0.25</v>
      </c>
      <c r="AA334" s="28" t="s">
        <v>194</v>
      </c>
      <c r="AB334" s="102">
        <v>0.4</v>
      </c>
      <c r="AC334" s="28" t="s">
        <v>150</v>
      </c>
      <c r="AD334" s="97" t="s">
        <v>195</v>
      </c>
      <c r="AE334" s="97" t="s">
        <v>195</v>
      </c>
      <c r="AF334" s="102">
        <v>0.08</v>
      </c>
      <c r="AG334" s="28" t="s">
        <v>194</v>
      </c>
      <c r="AH334" s="119">
        <v>0.33333333333333331</v>
      </c>
      <c r="AI334" s="28" t="s">
        <v>194</v>
      </c>
      <c r="AJ334" s="119">
        <v>0.25</v>
      </c>
      <c r="AK334" s="28" t="s">
        <v>194</v>
      </c>
    </row>
    <row r="335" spans="1:37" x14ac:dyDescent="0.25">
      <c r="A335" s="21" t="s">
        <v>60</v>
      </c>
      <c r="B335" s="5" t="s">
        <v>27</v>
      </c>
      <c r="C335" s="5" t="s">
        <v>568</v>
      </c>
      <c r="D335" s="26" t="s">
        <v>29</v>
      </c>
      <c r="E335" s="26" t="s">
        <v>145</v>
      </c>
      <c r="F335" s="21" t="s">
        <v>146</v>
      </c>
      <c r="G335" s="21" t="s">
        <v>147</v>
      </c>
      <c r="H335" s="27" t="s">
        <v>180</v>
      </c>
      <c r="I335" s="14" t="s">
        <v>304</v>
      </c>
      <c r="J335" s="14">
        <v>107</v>
      </c>
      <c r="K335" s="28" t="s">
        <v>150</v>
      </c>
      <c r="L335" s="14">
        <v>102</v>
      </c>
      <c r="M335" s="28" t="s">
        <v>150</v>
      </c>
      <c r="N335" s="14">
        <v>115</v>
      </c>
      <c r="O335" s="28" t="s">
        <v>150</v>
      </c>
      <c r="P335" s="14">
        <v>108</v>
      </c>
      <c r="Q335" s="28" t="s">
        <v>150</v>
      </c>
      <c r="R335" s="14">
        <v>90</v>
      </c>
      <c r="S335" s="28" t="s">
        <v>150</v>
      </c>
      <c r="T335" s="14">
        <v>97</v>
      </c>
      <c r="U335" s="28" t="s">
        <v>150</v>
      </c>
      <c r="V335" s="14">
        <v>101</v>
      </c>
      <c r="W335" s="28" t="s">
        <v>150</v>
      </c>
      <c r="X335" s="14">
        <v>108</v>
      </c>
      <c r="Y335" s="28" t="s">
        <v>150</v>
      </c>
      <c r="Z335" s="14">
        <v>108</v>
      </c>
      <c r="AA335" s="28" t="s">
        <v>150</v>
      </c>
      <c r="AB335" s="95">
        <v>97</v>
      </c>
      <c r="AC335" s="28" t="s">
        <v>150</v>
      </c>
      <c r="AD335" s="97" t="s">
        <v>195</v>
      </c>
      <c r="AE335" s="97" t="s">
        <v>195</v>
      </c>
      <c r="AF335" s="95">
        <v>87</v>
      </c>
      <c r="AG335" s="199" t="s">
        <v>150</v>
      </c>
      <c r="AH335" s="277">
        <v>76</v>
      </c>
      <c r="AI335" s="199" t="s">
        <v>150</v>
      </c>
      <c r="AJ335" s="277">
        <v>101</v>
      </c>
      <c r="AK335" s="199" t="s">
        <v>150</v>
      </c>
    </row>
    <row r="336" spans="1:37" x14ac:dyDescent="0.25">
      <c r="A336" s="21" t="s">
        <v>60</v>
      </c>
      <c r="B336" s="5" t="s">
        <v>27</v>
      </c>
      <c r="C336" s="5" t="s">
        <v>568</v>
      </c>
      <c r="D336" s="26" t="s">
        <v>29</v>
      </c>
      <c r="E336" s="26" t="s">
        <v>145</v>
      </c>
      <c r="F336" s="21" t="s">
        <v>146</v>
      </c>
      <c r="G336" s="21" t="s">
        <v>147</v>
      </c>
      <c r="H336" s="27" t="s">
        <v>197</v>
      </c>
      <c r="I336" s="14" t="s">
        <v>306</v>
      </c>
      <c r="J336" s="14">
        <v>51</v>
      </c>
      <c r="K336" s="28" t="s">
        <v>150</v>
      </c>
      <c r="L336" s="14">
        <v>19</v>
      </c>
      <c r="M336" s="28" t="s">
        <v>150</v>
      </c>
      <c r="N336" s="14">
        <v>35</v>
      </c>
      <c r="O336" s="28" t="s">
        <v>150</v>
      </c>
      <c r="P336" s="14">
        <v>35</v>
      </c>
      <c r="Q336" s="28" t="s">
        <v>150</v>
      </c>
      <c r="R336" s="14">
        <v>37</v>
      </c>
      <c r="S336" s="28" t="s">
        <v>150</v>
      </c>
      <c r="T336" s="14">
        <v>43</v>
      </c>
      <c r="U336" s="28" t="s">
        <v>150</v>
      </c>
      <c r="V336" s="14">
        <v>41</v>
      </c>
      <c r="W336" s="28" t="s">
        <v>150</v>
      </c>
      <c r="X336" s="14">
        <v>48</v>
      </c>
      <c r="Y336" s="28" t="s">
        <v>150</v>
      </c>
      <c r="Z336" s="14">
        <v>48</v>
      </c>
      <c r="AA336" s="28" t="s">
        <v>150</v>
      </c>
      <c r="AB336" s="95">
        <v>47</v>
      </c>
      <c r="AC336" s="28" t="s">
        <v>150</v>
      </c>
      <c r="AD336" s="97" t="s">
        <v>195</v>
      </c>
      <c r="AE336" s="97" t="s">
        <v>195</v>
      </c>
      <c r="AF336" s="95">
        <v>34</v>
      </c>
      <c r="AG336" s="199" t="s">
        <v>150</v>
      </c>
      <c r="AH336" s="277">
        <v>41</v>
      </c>
      <c r="AI336" s="199" t="s">
        <v>150</v>
      </c>
      <c r="AJ336" s="277">
        <v>40</v>
      </c>
      <c r="AK336" s="199" t="s">
        <v>150</v>
      </c>
    </row>
    <row r="337" spans="1:37" x14ac:dyDescent="0.25">
      <c r="A337" s="21" t="s">
        <v>60</v>
      </c>
      <c r="B337" s="5" t="s">
        <v>27</v>
      </c>
      <c r="C337" s="5" t="s">
        <v>568</v>
      </c>
      <c r="D337" s="26" t="s">
        <v>29</v>
      </c>
      <c r="E337" s="26" t="s">
        <v>145</v>
      </c>
      <c r="F337" s="21" t="s">
        <v>146</v>
      </c>
      <c r="G337" s="21" t="s">
        <v>147</v>
      </c>
      <c r="H337" s="26" t="s">
        <v>301</v>
      </c>
      <c r="I337" s="11">
        <v>0.8</v>
      </c>
      <c r="J337" s="11">
        <v>0.86</v>
      </c>
      <c r="K337" s="28" t="s">
        <v>150</v>
      </c>
      <c r="L337" s="15">
        <v>1</v>
      </c>
      <c r="M337" s="28" t="s">
        <v>150</v>
      </c>
      <c r="N337" s="15">
        <v>0.86363636363636365</v>
      </c>
      <c r="O337" s="28" t="s">
        <v>150</v>
      </c>
      <c r="P337" s="15">
        <v>0.91489361702127658</v>
      </c>
      <c r="Q337" s="28" t="s">
        <v>150</v>
      </c>
      <c r="R337" s="15">
        <v>0.7931034482758621</v>
      </c>
      <c r="S337" s="28" t="s">
        <v>194</v>
      </c>
      <c r="T337" s="15">
        <v>0.80769230769230771</v>
      </c>
      <c r="U337" s="28" t="s">
        <v>150</v>
      </c>
      <c r="V337" s="20">
        <v>0.97368421052631582</v>
      </c>
      <c r="W337" s="28" t="s">
        <v>150</v>
      </c>
      <c r="X337" s="20">
        <v>1</v>
      </c>
      <c r="Y337" s="28" t="s">
        <v>150</v>
      </c>
      <c r="Z337" s="20">
        <v>1</v>
      </c>
      <c r="AA337" s="28" t="s">
        <v>150</v>
      </c>
      <c r="AB337" s="102">
        <v>0.84</v>
      </c>
      <c r="AC337" s="28" t="s">
        <v>150</v>
      </c>
      <c r="AD337" s="97" t="s">
        <v>195</v>
      </c>
      <c r="AE337" s="97" t="s">
        <v>195</v>
      </c>
      <c r="AF337" s="102">
        <v>0.93</v>
      </c>
      <c r="AG337" s="199" t="s">
        <v>150</v>
      </c>
      <c r="AH337" s="82">
        <v>0.94736842105263153</v>
      </c>
      <c r="AI337" s="199" t="s">
        <v>150</v>
      </c>
      <c r="AJ337" s="82">
        <v>0.9</v>
      </c>
      <c r="AK337" s="199" t="s">
        <v>150</v>
      </c>
    </row>
    <row r="338" spans="1:37" x14ac:dyDescent="0.25">
      <c r="A338" s="21" t="s">
        <v>60</v>
      </c>
      <c r="B338" s="5" t="s">
        <v>27</v>
      </c>
      <c r="C338" s="5" t="s">
        <v>568</v>
      </c>
      <c r="D338" s="26" t="s">
        <v>29</v>
      </c>
      <c r="E338" s="26" t="s">
        <v>145</v>
      </c>
      <c r="F338" s="21" t="s">
        <v>146</v>
      </c>
      <c r="G338" s="21" t="s">
        <v>147</v>
      </c>
      <c r="H338" s="21" t="s">
        <v>308</v>
      </c>
      <c r="I338" s="16">
        <v>4.7222222222222221E-2</v>
      </c>
      <c r="J338" s="16">
        <v>4.7222222222222221E-2</v>
      </c>
      <c r="K338" s="28" t="s">
        <v>150</v>
      </c>
      <c r="L338" s="16">
        <v>4.3749999999999997E-2</v>
      </c>
      <c r="M338" s="28" t="s">
        <v>150</v>
      </c>
      <c r="N338" s="16">
        <v>4.3749999999999997E-2</v>
      </c>
      <c r="O338" s="28" t="s">
        <v>150</v>
      </c>
      <c r="P338" s="16">
        <v>4.4444444444444446E-2</v>
      </c>
      <c r="Q338" s="28" t="s">
        <v>150</v>
      </c>
      <c r="R338" s="16">
        <v>4.3055555555555555E-2</v>
      </c>
      <c r="S338" s="28" t="s">
        <v>150</v>
      </c>
      <c r="T338" s="16">
        <v>4.3055555555555555E-2</v>
      </c>
      <c r="U338" s="28" t="s">
        <v>150</v>
      </c>
      <c r="V338" s="16">
        <v>4.3749999999999997E-2</v>
      </c>
      <c r="W338" s="28" t="s">
        <v>150</v>
      </c>
      <c r="X338" s="16">
        <v>4.5138888888888888E-2</v>
      </c>
      <c r="Y338" s="28" t="s">
        <v>150</v>
      </c>
      <c r="Z338" s="16">
        <v>4.5138888888888888E-2</v>
      </c>
      <c r="AA338" s="28" t="s">
        <v>150</v>
      </c>
      <c r="AB338" s="105">
        <v>4.4444444444444446E-2</v>
      </c>
      <c r="AC338" s="28" t="s">
        <v>150</v>
      </c>
      <c r="AD338" s="97" t="s">
        <v>195</v>
      </c>
      <c r="AE338" s="97" t="s">
        <v>195</v>
      </c>
      <c r="AF338" s="105">
        <v>4.3055555555555555E-2</v>
      </c>
      <c r="AG338" s="199" t="s">
        <v>150</v>
      </c>
      <c r="AH338" s="287">
        <v>4.3055555555555555E-2</v>
      </c>
      <c r="AI338" s="199" t="s">
        <v>150</v>
      </c>
      <c r="AJ338" s="287">
        <v>4.3749999999999997E-2</v>
      </c>
      <c r="AK338" s="199" t="s">
        <v>150</v>
      </c>
    </row>
    <row r="339" spans="1:37" x14ac:dyDescent="0.25">
      <c r="A339" s="21" t="s">
        <v>60</v>
      </c>
      <c r="B339" s="5" t="s">
        <v>27</v>
      </c>
      <c r="C339" s="5" t="s">
        <v>568</v>
      </c>
      <c r="D339" s="26" t="s">
        <v>29</v>
      </c>
      <c r="E339" s="26" t="s">
        <v>145</v>
      </c>
      <c r="F339" s="21" t="s">
        <v>146</v>
      </c>
      <c r="G339" s="21" t="s">
        <v>147</v>
      </c>
      <c r="H339" s="21" t="s">
        <v>337</v>
      </c>
      <c r="I339" s="11">
        <v>0.15</v>
      </c>
      <c r="J339" s="15">
        <v>0.16666666666666666</v>
      </c>
      <c r="K339" s="28" t="s">
        <v>150</v>
      </c>
      <c r="L339" s="11">
        <v>0.27777777777777779</v>
      </c>
      <c r="M339" s="28" t="s">
        <v>150</v>
      </c>
      <c r="N339" s="11">
        <v>0.26315789473684209</v>
      </c>
      <c r="O339" s="28" t="s">
        <v>150</v>
      </c>
      <c r="P339" s="11">
        <v>0.2558139534883721</v>
      </c>
      <c r="Q339" s="28" t="s">
        <v>150</v>
      </c>
      <c r="R339" s="11">
        <v>0.2608695652173913</v>
      </c>
      <c r="S339" s="28" t="s">
        <v>150</v>
      </c>
      <c r="T339" s="11">
        <v>0.19047619047619047</v>
      </c>
      <c r="U339" s="28" t="s">
        <v>150</v>
      </c>
      <c r="V339" s="11">
        <v>0.21621621621621623</v>
      </c>
      <c r="W339" s="28" t="s">
        <v>150</v>
      </c>
      <c r="X339" s="11">
        <v>0.30769230769230771</v>
      </c>
      <c r="Y339" s="28" t="s">
        <v>150</v>
      </c>
      <c r="Z339" s="11">
        <v>0.30769230769230771</v>
      </c>
      <c r="AA339" s="28" t="s">
        <v>150</v>
      </c>
      <c r="AB339" s="102">
        <v>0.38</v>
      </c>
      <c r="AC339" s="28" t="s">
        <v>150</v>
      </c>
      <c r="AD339" s="97" t="s">
        <v>195</v>
      </c>
      <c r="AE339" s="97" t="s">
        <v>195</v>
      </c>
      <c r="AF339" s="102">
        <v>0.52</v>
      </c>
      <c r="AG339" s="199" t="s">
        <v>150</v>
      </c>
      <c r="AH339" s="278">
        <v>0.3888888888888889</v>
      </c>
      <c r="AI339" s="199" t="s">
        <v>150</v>
      </c>
      <c r="AJ339" s="278">
        <v>0.28999999999999998</v>
      </c>
      <c r="AK339" s="199" t="s">
        <v>150</v>
      </c>
    </row>
    <row r="340" spans="1:37" x14ac:dyDescent="0.25">
      <c r="A340" s="21" t="s">
        <v>60</v>
      </c>
      <c r="B340" s="5" t="s">
        <v>27</v>
      </c>
      <c r="C340" s="5" t="s">
        <v>568</v>
      </c>
      <c r="D340" s="26" t="s">
        <v>29</v>
      </c>
      <c r="E340" s="26" t="s">
        <v>145</v>
      </c>
      <c r="F340" s="21" t="s">
        <v>179</v>
      </c>
      <c r="G340" s="21" t="s">
        <v>147</v>
      </c>
      <c r="H340" s="21" t="s">
        <v>207</v>
      </c>
      <c r="I340" s="15">
        <v>0.2</v>
      </c>
      <c r="J340" s="15">
        <v>9.8360655737704916E-2</v>
      </c>
      <c r="K340" s="28" t="s">
        <v>150</v>
      </c>
      <c r="L340" s="36">
        <v>0.15068493150684931</v>
      </c>
      <c r="M340" s="28" t="s">
        <v>150</v>
      </c>
      <c r="N340" s="36">
        <v>0.10714285714285714</v>
      </c>
      <c r="O340" s="28" t="s">
        <v>150</v>
      </c>
      <c r="P340" s="36">
        <v>0.11926605504587157</v>
      </c>
      <c r="Q340" s="28" t="s">
        <v>150</v>
      </c>
      <c r="R340" s="36">
        <v>0.2247191011235955</v>
      </c>
      <c r="S340" s="28" t="s">
        <v>194</v>
      </c>
      <c r="T340" s="36">
        <v>0.32653061224489793</v>
      </c>
      <c r="U340" s="28" t="s">
        <v>194</v>
      </c>
      <c r="V340" s="50">
        <v>0.46666666666666667</v>
      </c>
      <c r="W340" s="28" t="s">
        <v>194</v>
      </c>
      <c r="X340" s="50">
        <v>0.3</v>
      </c>
      <c r="Y340" s="28" t="s">
        <v>194</v>
      </c>
      <c r="Z340" s="50">
        <v>0.3</v>
      </c>
      <c r="AA340" s="28" t="s">
        <v>194</v>
      </c>
      <c r="AB340" s="102">
        <v>0.19</v>
      </c>
      <c r="AC340" s="28" t="s">
        <v>150</v>
      </c>
      <c r="AD340" s="97" t="s">
        <v>195</v>
      </c>
      <c r="AE340" s="127" t="s">
        <v>195</v>
      </c>
      <c r="AF340" s="102">
        <v>0.23</v>
      </c>
      <c r="AG340" s="28" t="s">
        <v>194</v>
      </c>
      <c r="AH340" s="119">
        <v>0.19411764705882353</v>
      </c>
      <c r="AI340" s="199" t="s">
        <v>150</v>
      </c>
      <c r="AJ340" s="119">
        <v>0.21</v>
      </c>
      <c r="AK340" s="28" t="s">
        <v>194</v>
      </c>
    </row>
    <row r="341" spans="1:37" x14ac:dyDescent="0.25">
      <c r="A341" s="21" t="s">
        <v>60</v>
      </c>
      <c r="B341" s="5" t="s">
        <v>27</v>
      </c>
      <c r="C341" s="5" t="s">
        <v>568</v>
      </c>
      <c r="D341" s="26" t="s">
        <v>29</v>
      </c>
      <c r="E341" s="26" t="s">
        <v>145</v>
      </c>
      <c r="F341" s="21" t="s">
        <v>179</v>
      </c>
      <c r="G341" s="21" t="s">
        <v>147</v>
      </c>
      <c r="H341" s="27" t="s">
        <v>186</v>
      </c>
      <c r="I341" s="15">
        <v>0.7</v>
      </c>
      <c r="J341" s="15">
        <v>0.7142857142857143</v>
      </c>
      <c r="K341" s="28" t="s">
        <v>150</v>
      </c>
      <c r="L341" s="36">
        <v>0.59803921568627449</v>
      </c>
      <c r="M341" s="28" t="s">
        <v>194</v>
      </c>
      <c r="N341" s="36">
        <v>0.92500000000000004</v>
      </c>
      <c r="O341" s="28" t="s">
        <v>150</v>
      </c>
      <c r="P341" s="36">
        <v>0.7216117216117216</v>
      </c>
      <c r="Q341" s="28" t="s">
        <v>150</v>
      </c>
      <c r="R341" s="36">
        <v>0.7007299270072993</v>
      </c>
      <c r="S341" s="28" t="s">
        <v>150</v>
      </c>
      <c r="T341" s="36">
        <v>0.55555555555555558</v>
      </c>
      <c r="U341" s="28" t="s">
        <v>194</v>
      </c>
      <c r="V341" s="50">
        <v>0.74647887323943662</v>
      </c>
      <c r="W341" s="28" t="s">
        <v>150</v>
      </c>
      <c r="X341" s="50">
        <v>0.61538461538461542</v>
      </c>
      <c r="Y341" s="28" t="s">
        <v>194</v>
      </c>
      <c r="Z341" s="50">
        <v>0.61538461538461542</v>
      </c>
      <c r="AA341" s="28" t="s">
        <v>194</v>
      </c>
      <c r="AB341" s="102">
        <v>0.54</v>
      </c>
      <c r="AC341" s="28" t="s">
        <v>194</v>
      </c>
      <c r="AD341" s="97" t="s">
        <v>195</v>
      </c>
      <c r="AE341" s="126" t="s">
        <v>195</v>
      </c>
      <c r="AF341" s="191">
        <v>0.75</v>
      </c>
      <c r="AG341" s="199" t="s">
        <v>150</v>
      </c>
      <c r="AH341" s="119">
        <v>0.60563380281690138</v>
      </c>
      <c r="AI341" s="28" t="s">
        <v>194</v>
      </c>
      <c r="AJ341" s="119">
        <v>0.71</v>
      </c>
      <c r="AK341" s="199" t="s">
        <v>150</v>
      </c>
    </row>
    <row r="342" spans="1:37" x14ac:dyDescent="0.25">
      <c r="A342" s="21" t="s">
        <v>60</v>
      </c>
      <c r="B342" s="5" t="s">
        <v>27</v>
      </c>
      <c r="C342" s="5" t="s">
        <v>568</v>
      </c>
      <c r="D342" s="26" t="s">
        <v>29</v>
      </c>
      <c r="E342" s="26" t="s">
        <v>145</v>
      </c>
      <c r="F342" s="21" t="s">
        <v>179</v>
      </c>
      <c r="G342" s="21" t="s">
        <v>147</v>
      </c>
      <c r="H342" s="27" t="s">
        <v>188</v>
      </c>
      <c r="I342" s="15">
        <v>0.5</v>
      </c>
      <c r="J342" s="15">
        <v>0.40659340659340659</v>
      </c>
      <c r="K342" s="28" t="s">
        <v>194</v>
      </c>
      <c r="L342" s="36">
        <v>0.45098039215686275</v>
      </c>
      <c r="M342" s="28" t="s">
        <v>194</v>
      </c>
      <c r="N342" s="36">
        <v>0.33750000000000002</v>
      </c>
      <c r="O342" s="28" t="s">
        <v>194</v>
      </c>
      <c r="P342" s="36">
        <v>0.40293040293040294</v>
      </c>
      <c r="Q342" s="28" t="s">
        <v>194</v>
      </c>
      <c r="R342" s="36">
        <v>0.25547445255474455</v>
      </c>
      <c r="S342" s="28" t="s">
        <v>194</v>
      </c>
      <c r="T342" s="36">
        <v>0.21296296296296297</v>
      </c>
      <c r="U342" s="28" t="s">
        <v>194</v>
      </c>
      <c r="V342" s="50">
        <v>0.56603773584905659</v>
      </c>
      <c r="W342" s="28" t="s">
        <v>150</v>
      </c>
      <c r="X342" s="50">
        <v>0.3125</v>
      </c>
      <c r="Y342" s="28" t="s">
        <v>194</v>
      </c>
      <c r="Z342" s="50">
        <v>0.3125</v>
      </c>
      <c r="AA342" s="28" t="s">
        <v>194</v>
      </c>
      <c r="AB342" s="102">
        <v>0.41</v>
      </c>
      <c r="AC342" s="28" t="s">
        <v>194</v>
      </c>
      <c r="AD342" s="97" t="s">
        <v>195</v>
      </c>
      <c r="AE342" s="126" t="s">
        <v>195</v>
      </c>
      <c r="AF342" s="102">
        <v>0.22</v>
      </c>
      <c r="AG342" s="28" t="s">
        <v>194</v>
      </c>
      <c r="AH342" s="119">
        <v>0.28638497652582162</v>
      </c>
      <c r="AI342" s="28" t="s">
        <v>194</v>
      </c>
      <c r="AJ342" s="119">
        <v>0.35</v>
      </c>
      <c r="AK342" s="28" t="s">
        <v>194</v>
      </c>
    </row>
    <row r="343" spans="1:37" x14ac:dyDescent="0.25">
      <c r="A343" s="21" t="s">
        <v>60</v>
      </c>
      <c r="B343" s="5" t="s">
        <v>27</v>
      </c>
      <c r="C343" s="5" t="s">
        <v>568</v>
      </c>
      <c r="D343" s="26" t="s">
        <v>29</v>
      </c>
      <c r="E343" s="26" t="s">
        <v>145</v>
      </c>
      <c r="F343" s="21" t="s">
        <v>179</v>
      </c>
      <c r="G343" s="21" t="s">
        <v>147</v>
      </c>
      <c r="H343" s="21" t="s">
        <v>189</v>
      </c>
      <c r="I343" s="15">
        <v>0.2</v>
      </c>
      <c r="J343" s="11">
        <v>0</v>
      </c>
      <c r="K343" s="28" t="s">
        <v>150</v>
      </c>
      <c r="L343" s="36">
        <v>0</v>
      </c>
      <c r="M343" s="28" t="s">
        <v>150</v>
      </c>
      <c r="N343" s="36">
        <v>6.25E-2</v>
      </c>
      <c r="O343" s="28" t="s">
        <v>150</v>
      </c>
      <c r="P343" s="36">
        <v>2.6315789473684209E-2</v>
      </c>
      <c r="Q343" s="28" t="s">
        <v>150</v>
      </c>
      <c r="R343" s="36">
        <v>0.04</v>
      </c>
      <c r="S343" s="28" t="s">
        <v>150</v>
      </c>
      <c r="T343" s="36">
        <v>0</v>
      </c>
      <c r="U343" s="28" t="s">
        <v>150</v>
      </c>
      <c r="V343" s="50">
        <v>0</v>
      </c>
      <c r="W343" s="28" t="s">
        <v>150</v>
      </c>
      <c r="X343" s="50">
        <v>6.6666666666666666E-2</v>
      </c>
      <c r="Y343" s="28" t="s">
        <v>150</v>
      </c>
      <c r="Z343" s="50">
        <v>6.6666666666666666E-2</v>
      </c>
      <c r="AA343" s="28" t="s">
        <v>150</v>
      </c>
      <c r="AB343" s="102">
        <v>0.11</v>
      </c>
      <c r="AC343" s="28" t="s">
        <v>150</v>
      </c>
      <c r="AD343" s="97" t="s">
        <v>195</v>
      </c>
      <c r="AE343" s="126" t="s">
        <v>195</v>
      </c>
      <c r="AF343" s="243">
        <v>0.02</v>
      </c>
      <c r="AG343" s="199" t="s">
        <v>150</v>
      </c>
      <c r="AH343" s="119">
        <v>0</v>
      </c>
      <c r="AI343" s="199" t="s">
        <v>150</v>
      </c>
      <c r="AJ343" s="119">
        <v>0.12</v>
      </c>
      <c r="AK343" s="199" t="s">
        <v>150</v>
      </c>
    </row>
    <row r="344" spans="1:37" x14ac:dyDescent="0.25">
      <c r="A344" s="21" t="s">
        <v>60</v>
      </c>
      <c r="B344" s="5" t="s">
        <v>27</v>
      </c>
      <c r="C344" s="5" t="s">
        <v>568</v>
      </c>
      <c r="D344" s="26" t="s">
        <v>29</v>
      </c>
      <c r="E344" s="26" t="s">
        <v>145</v>
      </c>
      <c r="F344" s="21" t="s">
        <v>179</v>
      </c>
      <c r="G344" s="21" t="s">
        <v>147</v>
      </c>
      <c r="H344" s="27" t="s">
        <v>190</v>
      </c>
      <c r="I344" s="15">
        <v>0.2</v>
      </c>
      <c r="J344" s="15">
        <v>9.8360655737704916E-2</v>
      </c>
      <c r="K344" s="28" t="s">
        <v>194</v>
      </c>
      <c r="L344" s="36">
        <v>0.24657534246575341</v>
      </c>
      <c r="M344" s="28" t="s">
        <v>150</v>
      </c>
      <c r="N344" s="36">
        <v>0.22619047619047619</v>
      </c>
      <c r="O344" s="28" t="s">
        <v>150</v>
      </c>
      <c r="P344" s="36">
        <v>0.19724770642201836</v>
      </c>
      <c r="Q344" s="28" t="s">
        <v>150</v>
      </c>
      <c r="R344" s="36">
        <v>0.25842696629213485</v>
      </c>
      <c r="S344" s="28" t="s">
        <v>150</v>
      </c>
      <c r="T344" s="36">
        <v>0.14285714285714285</v>
      </c>
      <c r="U344" s="28" t="s">
        <v>194</v>
      </c>
      <c r="V344" s="50">
        <v>0.49333333333333335</v>
      </c>
      <c r="W344" s="28" t="s">
        <v>150</v>
      </c>
      <c r="X344" s="50">
        <v>0.17333333333333334</v>
      </c>
      <c r="Y344" s="28" t="s">
        <v>194</v>
      </c>
      <c r="Z344" s="50">
        <v>0.17333333333333334</v>
      </c>
      <c r="AA344" s="28" t="s">
        <v>194</v>
      </c>
      <c r="AB344" s="102">
        <v>0.11</v>
      </c>
      <c r="AC344" s="28" t="s">
        <v>194</v>
      </c>
      <c r="AD344" s="97" t="s">
        <v>195</v>
      </c>
      <c r="AE344" s="126" t="s">
        <v>195</v>
      </c>
      <c r="AF344" s="102">
        <v>0.14000000000000001</v>
      </c>
      <c r="AG344" s="28" t="s">
        <v>194</v>
      </c>
      <c r="AH344" s="119">
        <v>0.21176470588235294</v>
      </c>
      <c r="AI344" s="199" t="s">
        <v>150</v>
      </c>
      <c r="AJ344" s="119">
        <v>0.2</v>
      </c>
      <c r="AK344" s="199" t="s">
        <v>150</v>
      </c>
    </row>
    <row r="345" spans="1:37" x14ac:dyDescent="0.25">
      <c r="A345" s="21" t="s">
        <v>60</v>
      </c>
      <c r="B345" s="5" t="s">
        <v>27</v>
      </c>
      <c r="C345" s="5" t="s">
        <v>568</v>
      </c>
      <c r="D345" s="26" t="s">
        <v>29</v>
      </c>
      <c r="E345" s="26" t="s">
        <v>145</v>
      </c>
      <c r="F345" s="21" t="s">
        <v>179</v>
      </c>
      <c r="G345" s="21" t="s">
        <v>147</v>
      </c>
      <c r="H345" s="26" t="s">
        <v>174</v>
      </c>
      <c r="I345" s="15">
        <v>0.35</v>
      </c>
      <c r="J345" s="15">
        <v>0.5</v>
      </c>
      <c r="K345" s="28" t="s">
        <v>150</v>
      </c>
      <c r="L345" s="36">
        <v>0.22222222222222221</v>
      </c>
      <c r="M345" s="28" t="s">
        <v>194</v>
      </c>
      <c r="N345" s="36">
        <v>0.21052631578947367</v>
      </c>
      <c r="O345" s="28" t="s">
        <v>194</v>
      </c>
      <c r="P345" s="36">
        <v>0.2558139534883721</v>
      </c>
      <c r="Q345" s="28" t="s">
        <v>194</v>
      </c>
      <c r="R345" s="36">
        <v>0.2608695652173913</v>
      </c>
      <c r="S345" s="28" t="s">
        <v>194</v>
      </c>
      <c r="T345" s="36">
        <v>0.23809523809523808</v>
      </c>
      <c r="U345" s="28" t="s">
        <v>194</v>
      </c>
      <c r="V345" s="50">
        <v>0.24324324324324326</v>
      </c>
      <c r="W345" s="28" t="s">
        <v>194</v>
      </c>
      <c r="X345" s="50">
        <v>0.30769230769230771</v>
      </c>
      <c r="Y345" s="28" t="s">
        <v>194</v>
      </c>
      <c r="Z345" s="50">
        <v>0.30769230769230771</v>
      </c>
      <c r="AA345" s="28" t="s">
        <v>194</v>
      </c>
      <c r="AB345" s="102">
        <v>0.25</v>
      </c>
      <c r="AC345" s="28" t="s">
        <v>194</v>
      </c>
      <c r="AD345" s="97" t="s">
        <v>195</v>
      </c>
      <c r="AE345" s="97" t="s">
        <v>195</v>
      </c>
      <c r="AF345" s="102">
        <v>0.32</v>
      </c>
      <c r="AG345" s="28" t="s">
        <v>194</v>
      </c>
      <c r="AH345" s="119">
        <v>0.22222222222222221</v>
      </c>
      <c r="AI345" s="28" t="s">
        <v>194</v>
      </c>
      <c r="AJ345" s="119">
        <v>0.31</v>
      </c>
      <c r="AK345" s="28" t="s">
        <v>194</v>
      </c>
    </row>
    <row r="346" spans="1:37" x14ac:dyDescent="0.25">
      <c r="A346" s="21" t="s">
        <v>51</v>
      </c>
      <c r="B346" s="5" t="s">
        <v>27</v>
      </c>
      <c r="C346" s="5" t="s">
        <v>568</v>
      </c>
      <c r="D346" s="26" t="s">
        <v>29</v>
      </c>
      <c r="E346" s="26" t="s">
        <v>145</v>
      </c>
      <c r="F346" s="26" t="s">
        <v>146</v>
      </c>
      <c r="G346" s="21" t="s">
        <v>147</v>
      </c>
      <c r="H346" s="27" t="s">
        <v>180</v>
      </c>
      <c r="I346" s="46" t="s">
        <v>300</v>
      </c>
      <c r="J346" s="46">
        <v>48</v>
      </c>
      <c r="K346" s="28" t="s">
        <v>150</v>
      </c>
      <c r="L346" s="28">
        <v>70</v>
      </c>
      <c r="M346" s="28" t="s">
        <v>150</v>
      </c>
      <c r="N346" s="28">
        <v>65</v>
      </c>
      <c r="O346" s="28" t="s">
        <v>150</v>
      </c>
      <c r="P346" s="28">
        <v>59</v>
      </c>
      <c r="Q346" s="28" t="s">
        <v>150</v>
      </c>
      <c r="R346" s="28">
        <v>54</v>
      </c>
      <c r="S346" s="28" t="s">
        <v>150</v>
      </c>
      <c r="T346" s="28">
        <v>26</v>
      </c>
      <c r="U346" s="28" t="s">
        <v>150</v>
      </c>
      <c r="V346" s="13">
        <v>44</v>
      </c>
      <c r="W346" s="28" t="s">
        <v>150</v>
      </c>
      <c r="X346" s="13">
        <v>52</v>
      </c>
      <c r="Y346" s="28" t="s">
        <v>150</v>
      </c>
      <c r="Z346" s="13">
        <v>52</v>
      </c>
      <c r="AA346" s="28" t="s">
        <v>150</v>
      </c>
      <c r="AB346" s="95">
        <v>24</v>
      </c>
      <c r="AC346" s="28" t="s">
        <v>150</v>
      </c>
      <c r="AD346" s="97" t="s">
        <v>195</v>
      </c>
      <c r="AE346" s="97" t="s">
        <v>195</v>
      </c>
      <c r="AF346" s="95">
        <v>59</v>
      </c>
      <c r="AG346" s="199" t="s">
        <v>150</v>
      </c>
      <c r="AH346" s="78">
        <v>47</v>
      </c>
      <c r="AI346" s="199" t="s">
        <v>150</v>
      </c>
      <c r="AJ346" s="78">
        <v>47</v>
      </c>
      <c r="AK346" s="199" t="s">
        <v>150</v>
      </c>
    </row>
    <row r="347" spans="1:37" x14ac:dyDescent="0.25">
      <c r="A347" s="21" t="s">
        <v>51</v>
      </c>
      <c r="B347" s="5" t="s">
        <v>27</v>
      </c>
      <c r="C347" s="5" t="s">
        <v>568</v>
      </c>
      <c r="D347" s="26" t="s">
        <v>29</v>
      </c>
      <c r="E347" s="26" t="s">
        <v>145</v>
      </c>
      <c r="F347" s="26" t="s">
        <v>146</v>
      </c>
      <c r="G347" s="21" t="s">
        <v>147</v>
      </c>
      <c r="H347" s="27" t="s">
        <v>197</v>
      </c>
      <c r="I347" s="14" t="s">
        <v>216</v>
      </c>
      <c r="J347" s="46">
        <v>23</v>
      </c>
      <c r="K347" s="28" t="s">
        <v>150</v>
      </c>
      <c r="L347" s="14">
        <v>31</v>
      </c>
      <c r="M347" s="28" t="s">
        <v>150</v>
      </c>
      <c r="N347" s="14">
        <v>44</v>
      </c>
      <c r="O347" s="28" t="s">
        <v>150</v>
      </c>
      <c r="P347" s="14">
        <v>29</v>
      </c>
      <c r="Q347" s="28" t="s">
        <v>150</v>
      </c>
      <c r="R347" s="14">
        <v>23</v>
      </c>
      <c r="S347" s="28" t="s">
        <v>150</v>
      </c>
      <c r="T347" s="14">
        <v>17</v>
      </c>
      <c r="U347" s="28" t="s">
        <v>150</v>
      </c>
      <c r="V347" s="14">
        <v>25</v>
      </c>
      <c r="W347" s="28" t="s">
        <v>150</v>
      </c>
      <c r="X347" s="14">
        <v>31</v>
      </c>
      <c r="Y347" s="28" t="s">
        <v>150</v>
      </c>
      <c r="Z347" s="14">
        <v>31</v>
      </c>
      <c r="AA347" s="28" t="s">
        <v>150</v>
      </c>
      <c r="AB347" s="95">
        <v>35</v>
      </c>
      <c r="AC347" s="28" t="s">
        <v>150</v>
      </c>
      <c r="AD347" s="97" t="s">
        <v>195</v>
      </c>
      <c r="AE347" s="97" t="s">
        <v>195</v>
      </c>
      <c r="AF347" s="95">
        <v>32</v>
      </c>
      <c r="AG347" s="199" t="s">
        <v>150</v>
      </c>
      <c r="AH347" s="277">
        <v>48</v>
      </c>
      <c r="AI347" s="28" t="s">
        <v>194</v>
      </c>
      <c r="AJ347" s="277">
        <v>30</v>
      </c>
      <c r="AK347" s="199" t="s">
        <v>150</v>
      </c>
    </row>
    <row r="348" spans="1:37" x14ac:dyDescent="0.25">
      <c r="A348" s="21" t="s">
        <v>51</v>
      </c>
      <c r="B348" s="5" t="s">
        <v>27</v>
      </c>
      <c r="C348" s="5" t="s">
        <v>568</v>
      </c>
      <c r="D348" s="26" t="s">
        <v>29</v>
      </c>
      <c r="E348" s="26" t="s">
        <v>145</v>
      </c>
      <c r="F348" s="26" t="s">
        <v>146</v>
      </c>
      <c r="G348" s="21" t="s">
        <v>147</v>
      </c>
      <c r="H348" s="26" t="s">
        <v>301</v>
      </c>
      <c r="I348" s="11">
        <v>0.8</v>
      </c>
      <c r="J348" s="47">
        <v>0.91666666666666663</v>
      </c>
      <c r="K348" s="28" t="s">
        <v>150</v>
      </c>
      <c r="L348" s="15">
        <v>0.92307692307692313</v>
      </c>
      <c r="M348" s="28" t="s">
        <v>150</v>
      </c>
      <c r="N348" s="15">
        <v>0.89473684210526316</v>
      </c>
      <c r="O348" s="28" t="s">
        <v>150</v>
      </c>
      <c r="P348" s="15">
        <v>0.9107142857142857</v>
      </c>
      <c r="Q348" s="28" t="s">
        <v>150</v>
      </c>
      <c r="R348" s="15">
        <v>0.66666666666666663</v>
      </c>
      <c r="S348" s="28" t="s">
        <v>194</v>
      </c>
      <c r="T348" s="15">
        <v>0.96153846153846156</v>
      </c>
      <c r="U348" s="28" t="s">
        <v>150</v>
      </c>
      <c r="V348" s="15">
        <v>0.90909090909090906</v>
      </c>
      <c r="W348" s="28" t="s">
        <v>150</v>
      </c>
      <c r="X348" s="15">
        <v>1</v>
      </c>
      <c r="Y348" s="28" t="s">
        <v>150</v>
      </c>
      <c r="Z348" s="15">
        <v>1</v>
      </c>
      <c r="AA348" s="28" t="s">
        <v>150</v>
      </c>
      <c r="AB348" s="102">
        <v>0.97</v>
      </c>
      <c r="AC348" s="28" t="s">
        <v>150</v>
      </c>
      <c r="AD348" s="97" t="s">
        <v>195</v>
      </c>
      <c r="AE348" s="126" t="s">
        <v>195</v>
      </c>
      <c r="AF348" s="102">
        <v>0.92</v>
      </c>
      <c r="AG348" s="199" t="s">
        <v>150</v>
      </c>
      <c r="AH348" s="288">
        <v>1</v>
      </c>
      <c r="AI348" s="199" t="s">
        <v>150</v>
      </c>
      <c r="AJ348" s="288">
        <v>0.9</v>
      </c>
      <c r="AK348" s="199" t="s">
        <v>150</v>
      </c>
    </row>
    <row r="349" spans="1:37" x14ac:dyDescent="0.25">
      <c r="A349" s="21" t="s">
        <v>51</v>
      </c>
      <c r="B349" s="5" t="s">
        <v>27</v>
      </c>
      <c r="C349" s="5" t="s">
        <v>568</v>
      </c>
      <c r="D349" s="26" t="s">
        <v>29</v>
      </c>
      <c r="E349" s="26" t="s">
        <v>145</v>
      </c>
      <c r="F349" s="26" t="s">
        <v>146</v>
      </c>
      <c r="G349" s="21" t="s">
        <v>147</v>
      </c>
      <c r="H349" s="48" t="s">
        <v>302</v>
      </c>
      <c r="I349" s="16">
        <v>4.7222222222222221E-2</v>
      </c>
      <c r="J349" s="49">
        <v>4.3055555555555555E-2</v>
      </c>
      <c r="K349" s="28" t="s">
        <v>150</v>
      </c>
      <c r="L349" s="16">
        <v>4.6527777777777779E-2</v>
      </c>
      <c r="M349" s="28" t="s">
        <v>150</v>
      </c>
      <c r="N349" s="16">
        <v>4.6527777777777779E-2</v>
      </c>
      <c r="O349" s="28" t="s">
        <v>150</v>
      </c>
      <c r="P349" s="16">
        <v>4.5138888888888888E-2</v>
      </c>
      <c r="Q349" s="28" t="s">
        <v>150</v>
      </c>
      <c r="R349" s="16">
        <v>4.3749999999999997E-2</v>
      </c>
      <c r="S349" s="28" t="s">
        <v>150</v>
      </c>
      <c r="T349" s="16">
        <v>4.3055555555555555E-2</v>
      </c>
      <c r="U349" s="28" t="s">
        <v>150</v>
      </c>
      <c r="V349" s="16">
        <v>4.3055555555555555E-2</v>
      </c>
      <c r="W349" s="28" t="s">
        <v>150</v>
      </c>
      <c r="X349" s="16">
        <v>4.3749999999999997E-2</v>
      </c>
      <c r="Y349" s="28" t="s">
        <v>150</v>
      </c>
      <c r="Z349" s="16">
        <v>4.3749999999999997E-2</v>
      </c>
      <c r="AA349" s="28" t="s">
        <v>150</v>
      </c>
      <c r="AB349" s="105">
        <v>4.3055555555555555E-2</v>
      </c>
      <c r="AC349" s="28" t="s">
        <v>150</v>
      </c>
      <c r="AD349" s="97" t="s">
        <v>195</v>
      </c>
      <c r="AE349" s="126" t="s">
        <v>195</v>
      </c>
      <c r="AF349" s="105">
        <v>4.3749999999999997E-2</v>
      </c>
      <c r="AG349" s="199" t="s">
        <v>150</v>
      </c>
      <c r="AH349" s="287">
        <v>4.3749999999999997E-2</v>
      </c>
      <c r="AI349" s="199" t="s">
        <v>150</v>
      </c>
      <c r="AJ349" s="287">
        <v>4.3749999999999997E-2</v>
      </c>
      <c r="AK349" s="199" t="s">
        <v>150</v>
      </c>
    </row>
    <row r="350" spans="1:37" x14ac:dyDescent="0.25">
      <c r="A350" s="21" t="s">
        <v>51</v>
      </c>
      <c r="B350" s="5" t="s">
        <v>27</v>
      </c>
      <c r="C350" s="5" t="s">
        <v>568</v>
      </c>
      <c r="D350" s="26" t="s">
        <v>29</v>
      </c>
      <c r="E350" s="26" t="s">
        <v>145</v>
      </c>
      <c r="F350" s="26" t="s">
        <v>146</v>
      </c>
      <c r="G350" s="21" t="s">
        <v>147</v>
      </c>
      <c r="H350" s="48" t="s">
        <v>202</v>
      </c>
      <c r="I350" s="14" t="s">
        <v>303</v>
      </c>
      <c r="J350" s="47">
        <v>0.40909090909090912</v>
      </c>
      <c r="K350" s="28" t="s">
        <v>150</v>
      </c>
      <c r="L350" s="15">
        <v>0.16666666666666666</v>
      </c>
      <c r="M350" s="28" t="s">
        <v>150</v>
      </c>
      <c r="N350" s="15">
        <v>0.29411764705882354</v>
      </c>
      <c r="O350" s="28" t="s">
        <v>150</v>
      </c>
      <c r="P350" s="15">
        <v>0.31372549019607843</v>
      </c>
      <c r="Q350" s="28" t="s">
        <v>150</v>
      </c>
      <c r="R350" s="15">
        <v>0</v>
      </c>
      <c r="S350" s="28" t="s">
        <v>194</v>
      </c>
      <c r="T350" s="36">
        <v>0.08</v>
      </c>
      <c r="U350" s="28" t="s">
        <v>194</v>
      </c>
      <c r="V350" s="15">
        <v>0.125</v>
      </c>
      <c r="W350" s="28" t="s">
        <v>194</v>
      </c>
      <c r="X350" s="15">
        <v>0.5625</v>
      </c>
      <c r="Y350" s="28" t="s">
        <v>150</v>
      </c>
      <c r="Z350" s="15">
        <v>0</v>
      </c>
      <c r="AA350" s="28" t="s">
        <v>194</v>
      </c>
      <c r="AB350" s="102">
        <v>0.06</v>
      </c>
      <c r="AC350" s="28" t="s">
        <v>194</v>
      </c>
      <c r="AD350" s="97" t="s">
        <v>195</v>
      </c>
      <c r="AE350" s="97" t="s">
        <v>195</v>
      </c>
      <c r="AF350" s="102">
        <v>0.36</v>
      </c>
      <c r="AG350" s="199" t="s">
        <v>150</v>
      </c>
      <c r="AH350" s="288">
        <v>0</v>
      </c>
      <c r="AI350" s="28" t="s">
        <v>194</v>
      </c>
      <c r="AJ350" s="288">
        <v>0.16</v>
      </c>
      <c r="AK350" s="199" t="s">
        <v>150</v>
      </c>
    </row>
    <row r="351" spans="1:37" x14ac:dyDescent="0.25">
      <c r="A351" s="21" t="s">
        <v>51</v>
      </c>
      <c r="B351" s="5" t="s">
        <v>27</v>
      </c>
      <c r="C351" s="5" t="s">
        <v>568</v>
      </c>
      <c r="D351" s="26" t="s">
        <v>29</v>
      </c>
      <c r="E351" s="26" t="s">
        <v>145</v>
      </c>
      <c r="F351" s="21" t="s">
        <v>179</v>
      </c>
      <c r="G351" s="21" t="s">
        <v>147</v>
      </c>
      <c r="H351" s="21" t="s">
        <v>207</v>
      </c>
      <c r="I351" s="15">
        <v>0.2</v>
      </c>
      <c r="J351" s="47">
        <v>7.8947368421052627E-2</v>
      </c>
      <c r="K351" s="28" t="s">
        <v>150</v>
      </c>
      <c r="L351" s="36">
        <v>0.15625</v>
      </c>
      <c r="M351" s="28" t="s">
        <v>150</v>
      </c>
      <c r="N351" s="36">
        <v>0.17647058823529413</v>
      </c>
      <c r="O351" s="28" t="s">
        <v>150</v>
      </c>
      <c r="P351" s="36">
        <v>0.12643678160919541</v>
      </c>
      <c r="Q351" s="28" t="s">
        <v>150</v>
      </c>
      <c r="R351" s="15">
        <v>0.10714285714285714</v>
      </c>
      <c r="S351" s="28" t="s">
        <v>150</v>
      </c>
      <c r="T351" s="36">
        <v>0.16666666666666666</v>
      </c>
      <c r="U351" s="28" t="s">
        <v>150</v>
      </c>
      <c r="V351" s="50">
        <v>0.2</v>
      </c>
      <c r="W351" s="28" t="s">
        <v>150</v>
      </c>
      <c r="X351" s="50">
        <v>0.1</v>
      </c>
      <c r="Y351" s="28" t="s">
        <v>150</v>
      </c>
      <c r="Z351" s="50">
        <v>0.1</v>
      </c>
      <c r="AA351" s="28" t="s">
        <v>150</v>
      </c>
      <c r="AB351" s="102">
        <v>0.15</v>
      </c>
      <c r="AC351" s="28" t="s">
        <v>150</v>
      </c>
      <c r="AD351" s="97" t="s">
        <v>195</v>
      </c>
      <c r="AE351" s="127" t="s">
        <v>195</v>
      </c>
      <c r="AF351" s="102">
        <v>0.19</v>
      </c>
      <c r="AG351" s="199" t="s">
        <v>150</v>
      </c>
      <c r="AH351" s="119">
        <v>0.1875</v>
      </c>
      <c r="AI351" s="199" t="s">
        <v>150</v>
      </c>
      <c r="AJ351" s="119">
        <v>0.16</v>
      </c>
      <c r="AK351" s="199" t="s">
        <v>150</v>
      </c>
    </row>
    <row r="352" spans="1:37" x14ac:dyDescent="0.25">
      <c r="A352" s="21" t="s">
        <v>51</v>
      </c>
      <c r="B352" s="5" t="s">
        <v>27</v>
      </c>
      <c r="C352" s="5" t="s">
        <v>568</v>
      </c>
      <c r="D352" s="26" t="s">
        <v>29</v>
      </c>
      <c r="E352" s="26" t="s">
        <v>145</v>
      </c>
      <c r="F352" s="21" t="s">
        <v>179</v>
      </c>
      <c r="G352" s="21" t="s">
        <v>147</v>
      </c>
      <c r="H352" s="27" t="s">
        <v>186</v>
      </c>
      <c r="I352" s="15">
        <v>0.7</v>
      </c>
      <c r="J352" s="47">
        <v>0.87878787878787878</v>
      </c>
      <c r="K352" s="28" t="s">
        <v>150</v>
      </c>
      <c r="L352" s="36">
        <v>0.87022900763358779</v>
      </c>
      <c r="M352" s="28" t="s">
        <v>150</v>
      </c>
      <c r="N352" s="36">
        <v>0.96250000000000002</v>
      </c>
      <c r="O352" s="28" t="s">
        <v>150</v>
      </c>
      <c r="P352" s="36">
        <v>0.89677419354838706</v>
      </c>
      <c r="Q352" s="28" t="s">
        <v>150</v>
      </c>
      <c r="R352" s="15">
        <v>0.87142857142857144</v>
      </c>
      <c r="S352" s="28" t="s">
        <v>150</v>
      </c>
      <c r="T352" s="36">
        <v>0.83333333333333337</v>
      </c>
      <c r="U352" s="28" t="s">
        <v>150</v>
      </c>
      <c r="V352" s="50">
        <v>0.91</v>
      </c>
      <c r="W352" s="28" t="s">
        <v>150</v>
      </c>
      <c r="X352" s="50">
        <v>1</v>
      </c>
      <c r="Y352" s="28" t="s">
        <v>150</v>
      </c>
      <c r="Z352" s="50">
        <v>1</v>
      </c>
      <c r="AA352" s="28" t="s">
        <v>150</v>
      </c>
      <c r="AB352" s="102">
        <v>0.88</v>
      </c>
      <c r="AC352" s="28" t="s">
        <v>150</v>
      </c>
      <c r="AD352" s="97" t="s">
        <v>195</v>
      </c>
      <c r="AE352" s="126" t="s">
        <v>195</v>
      </c>
      <c r="AF352" s="102">
        <v>0.89</v>
      </c>
      <c r="AG352" s="199" t="s">
        <v>150</v>
      </c>
      <c r="AH352" s="119">
        <v>0.92105263157894735</v>
      </c>
      <c r="AI352" s="199" t="s">
        <v>150</v>
      </c>
      <c r="AJ352" s="119">
        <v>0.93</v>
      </c>
      <c r="AK352" s="199" t="s">
        <v>150</v>
      </c>
    </row>
    <row r="353" spans="1:37" x14ac:dyDescent="0.25">
      <c r="A353" s="21" t="s">
        <v>51</v>
      </c>
      <c r="B353" s="5" t="s">
        <v>27</v>
      </c>
      <c r="C353" s="5" t="s">
        <v>568</v>
      </c>
      <c r="D353" s="26" t="s">
        <v>29</v>
      </c>
      <c r="E353" s="26" t="s">
        <v>145</v>
      </c>
      <c r="F353" s="21" t="s">
        <v>179</v>
      </c>
      <c r="G353" s="21" t="s">
        <v>147</v>
      </c>
      <c r="H353" s="27" t="s">
        <v>188</v>
      </c>
      <c r="I353" s="15">
        <v>0.5</v>
      </c>
      <c r="J353" s="47">
        <v>0.18181818181818182</v>
      </c>
      <c r="K353" s="28" t="s">
        <v>194</v>
      </c>
      <c r="L353" s="36">
        <v>0.14285714285714285</v>
      </c>
      <c r="M353" s="28" t="s">
        <v>194</v>
      </c>
      <c r="N353" s="36">
        <v>0.27500000000000002</v>
      </c>
      <c r="O353" s="28" t="s">
        <v>194</v>
      </c>
      <c r="P353" s="36">
        <v>0.32459016393442625</v>
      </c>
      <c r="Q353" s="28" t="s">
        <v>194</v>
      </c>
      <c r="R353" s="15">
        <v>0.27142857142857141</v>
      </c>
      <c r="S353" s="28" t="s">
        <v>194</v>
      </c>
      <c r="T353" s="36">
        <v>0.28333333333333333</v>
      </c>
      <c r="U353" s="28" t="s">
        <v>194</v>
      </c>
      <c r="V353" s="50">
        <v>0.36</v>
      </c>
      <c r="W353" s="28" t="s">
        <v>194</v>
      </c>
      <c r="X353" s="50">
        <v>0.35384615384615387</v>
      </c>
      <c r="Y353" s="28" t="s">
        <v>194</v>
      </c>
      <c r="Z353" s="50">
        <v>0.35384615384615387</v>
      </c>
      <c r="AA353" s="28" t="s">
        <v>194</v>
      </c>
      <c r="AB353" s="102">
        <v>0.5</v>
      </c>
      <c r="AC353" s="28" t="s">
        <v>150</v>
      </c>
      <c r="AD353" s="97" t="s">
        <v>195</v>
      </c>
      <c r="AE353" s="126" t="s">
        <v>195</v>
      </c>
      <c r="AF353" s="254">
        <v>0.34</v>
      </c>
      <c r="AG353" s="28" t="s">
        <v>194</v>
      </c>
      <c r="AH353" s="119">
        <v>0.13157894736842105</v>
      </c>
      <c r="AI353" s="28" t="s">
        <v>194</v>
      </c>
      <c r="AJ353" s="119">
        <v>0.3</v>
      </c>
      <c r="AK353" s="28" t="s">
        <v>194</v>
      </c>
    </row>
    <row r="354" spans="1:37" x14ac:dyDescent="0.25">
      <c r="A354" s="21" t="s">
        <v>51</v>
      </c>
      <c r="B354" s="5" t="s">
        <v>27</v>
      </c>
      <c r="C354" s="5" t="s">
        <v>568</v>
      </c>
      <c r="D354" s="26" t="s">
        <v>29</v>
      </c>
      <c r="E354" s="26" t="s">
        <v>145</v>
      </c>
      <c r="F354" s="21" t="s">
        <v>179</v>
      </c>
      <c r="G354" s="21" t="s">
        <v>147</v>
      </c>
      <c r="H354" s="21" t="s">
        <v>189</v>
      </c>
      <c r="I354" s="15">
        <v>0.2</v>
      </c>
      <c r="J354" s="47">
        <v>0</v>
      </c>
      <c r="K354" s="28" t="s">
        <v>150</v>
      </c>
      <c r="L354" s="36">
        <v>0</v>
      </c>
      <c r="M354" s="28" t="s">
        <v>150</v>
      </c>
      <c r="N354" s="36">
        <v>9.0909090909090912E-2</v>
      </c>
      <c r="O354" s="28" t="s">
        <v>150</v>
      </c>
      <c r="P354" s="36">
        <v>2.2222222222222223E-2</v>
      </c>
      <c r="Q354" s="28" t="s">
        <v>150</v>
      </c>
      <c r="R354" s="15">
        <v>0.11764705882352941</v>
      </c>
      <c r="S354" s="28" t="s">
        <v>150</v>
      </c>
      <c r="T354" s="36">
        <v>0</v>
      </c>
      <c r="U354" s="28" t="s">
        <v>150</v>
      </c>
      <c r="V354" s="50">
        <v>9.5238095238095233E-2</v>
      </c>
      <c r="W354" s="28" t="s">
        <v>150</v>
      </c>
      <c r="X354" s="50">
        <v>0</v>
      </c>
      <c r="Y354" s="28" t="s">
        <v>150</v>
      </c>
      <c r="Z354" s="50">
        <v>0</v>
      </c>
      <c r="AA354" s="28" t="s">
        <v>150</v>
      </c>
      <c r="AB354" s="102">
        <v>0</v>
      </c>
      <c r="AC354" s="28" t="s">
        <v>150</v>
      </c>
      <c r="AD354" s="97" t="s">
        <v>195</v>
      </c>
      <c r="AE354" s="126" t="s">
        <v>195</v>
      </c>
      <c r="AF354" s="254">
        <v>0</v>
      </c>
      <c r="AG354" s="199" t="s">
        <v>150</v>
      </c>
      <c r="AH354" s="119">
        <v>0</v>
      </c>
      <c r="AI354" s="199" t="s">
        <v>150</v>
      </c>
      <c r="AJ354" s="119">
        <v>7.0000000000000007E-2</v>
      </c>
      <c r="AK354" s="199" t="s">
        <v>150</v>
      </c>
    </row>
    <row r="355" spans="1:37" x14ac:dyDescent="0.25">
      <c r="A355" s="21" t="s">
        <v>51</v>
      </c>
      <c r="B355" s="5" t="s">
        <v>27</v>
      </c>
      <c r="C355" s="5" t="s">
        <v>568</v>
      </c>
      <c r="D355" s="26" t="s">
        <v>29</v>
      </c>
      <c r="E355" s="26" t="s">
        <v>145</v>
      </c>
      <c r="F355" s="21" t="s">
        <v>179</v>
      </c>
      <c r="G355" s="21" t="s">
        <v>147</v>
      </c>
      <c r="H355" s="27" t="s">
        <v>190</v>
      </c>
      <c r="I355" s="15">
        <v>0.2</v>
      </c>
      <c r="J355" s="47">
        <v>0.57894736842105265</v>
      </c>
      <c r="K355" s="28" t="s">
        <v>150</v>
      </c>
      <c r="L355" s="36">
        <v>0.375</v>
      </c>
      <c r="M355" s="28" t="s">
        <v>150</v>
      </c>
      <c r="N355" s="36">
        <v>1</v>
      </c>
      <c r="O355" s="28" t="s">
        <v>150</v>
      </c>
      <c r="P355" s="36">
        <v>0.58620689655172409</v>
      </c>
      <c r="Q355" s="28" t="s">
        <v>150</v>
      </c>
      <c r="R355" s="15">
        <v>0.10714285714285714</v>
      </c>
      <c r="S355" s="28" t="s">
        <v>194</v>
      </c>
      <c r="T355" s="36">
        <v>0.83333333333333337</v>
      </c>
      <c r="U355" s="28" t="s">
        <v>150</v>
      </c>
      <c r="V355" s="50">
        <v>1.6</v>
      </c>
      <c r="W355" s="28" t="s">
        <v>150</v>
      </c>
      <c r="X355" s="50">
        <v>0.8</v>
      </c>
      <c r="Y355" s="28" t="s">
        <v>150</v>
      </c>
      <c r="Z355" s="50">
        <v>0.8</v>
      </c>
      <c r="AA355" s="28" t="s">
        <v>150</v>
      </c>
      <c r="AB355" s="102">
        <v>1</v>
      </c>
      <c r="AC355" s="28" t="s">
        <v>150</v>
      </c>
      <c r="AD355" s="97" t="s">
        <v>195</v>
      </c>
      <c r="AE355" s="126" t="s">
        <v>195</v>
      </c>
      <c r="AF355" s="254">
        <v>0.52</v>
      </c>
      <c r="AG355" s="199" t="s">
        <v>150</v>
      </c>
      <c r="AH355" s="119">
        <v>0.9375</v>
      </c>
      <c r="AI355" s="199" t="s">
        <v>150</v>
      </c>
      <c r="AJ355" s="119">
        <v>0.72</v>
      </c>
      <c r="AK355" s="199" t="s">
        <v>150</v>
      </c>
    </row>
    <row r="356" spans="1:37" x14ac:dyDescent="0.25">
      <c r="A356" s="21" t="s">
        <v>51</v>
      </c>
      <c r="B356" s="5" t="s">
        <v>27</v>
      </c>
      <c r="C356" s="5" t="s">
        <v>568</v>
      </c>
      <c r="D356" s="26" t="s">
        <v>29</v>
      </c>
      <c r="E356" s="26" t="s">
        <v>145</v>
      </c>
      <c r="F356" s="21" t="s">
        <v>179</v>
      </c>
      <c r="G356" s="21" t="s">
        <v>147</v>
      </c>
      <c r="H356" s="26" t="s">
        <v>174</v>
      </c>
      <c r="I356" s="15">
        <v>0.35</v>
      </c>
      <c r="J356" s="47">
        <v>0.36363636363636365</v>
      </c>
      <c r="K356" s="28" t="s">
        <v>150</v>
      </c>
      <c r="L356" s="36">
        <v>0.41666666666666669</v>
      </c>
      <c r="M356" s="28" t="s">
        <v>150</v>
      </c>
      <c r="N356" s="36">
        <v>0.23529411764705882</v>
      </c>
      <c r="O356" s="28" t="s">
        <v>194</v>
      </c>
      <c r="P356" s="36">
        <v>0.33333333333333331</v>
      </c>
      <c r="Q356" s="28" t="s">
        <v>194</v>
      </c>
      <c r="R356" s="15">
        <v>0.66666666666666663</v>
      </c>
      <c r="S356" s="28" t="s">
        <v>150</v>
      </c>
      <c r="T356" s="36">
        <v>0.64</v>
      </c>
      <c r="U356" s="28" t="s">
        <v>150</v>
      </c>
      <c r="V356" s="50">
        <v>0.55000000000000004</v>
      </c>
      <c r="W356" s="28" t="s">
        <v>150</v>
      </c>
      <c r="X356" s="50">
        <v>0.5625</v>
      </c>
      <c r="Y356" s="28" t="s">
        <v>150</v>
      </c>
      <c r="Z356" s="50">
        <v>0.5625</v>
      </c>
      <c r="AA356" s="28" t="s">
        <v>150</v>
      </c>
      <c r="AB356" s="102">
        <v>0.22</v>
      </c>
      <c r="AC356" s="28" t="s">
        <v>194</v>
      </c>
      <c r="AD356" s="97" t="s">
        <v>195</v>
      </c>
      <c r="AE356" s="97" t="s">
        <v>195</v>
      </c>
      <c r="AF356" s="254">
        <v>0.36</v>
      </c>
      <c r="AG356" s="199" t="s">
        <v>150</v>
      </c>
      <c r="AH356" s="119">
        <v>0.53333333333333333</v>
      </c>
      <c r="AI356" s="199" t="s">
        <v>150</v>
      </c>
      <c r="AJ356" s="119">
        <v>0.43</v>
      </c>
      <c r="AK356" s="199" t="s">
        <v>150</v>
      </c>
    </row>
    <row r="357" spans="1:37" x14ac:dyDescent="0.25">
      <c r="A357" s="201" t="s">
        <v>41</v>
      </c>
      <c r="B357" s="202" t="s">
        <v>42</v>
      </c>
      <c r="C357" s="263" t="s">
        <v>501</v>
      </c>
      <c r="D357" s="203" t="s">
        <v>43</v>
      </c>
      <c r="E357" s="203" t="s">
        <v>145</v>
      </c>
      <c r="F357" s="203" t="s">
        <v>146</v>
      </c>
      <c r="G357" s="201" t="s">
        <v>156</v>
      </c>
      <c r="H357" s="207" t="s">
        <v>197</v>
      </c>
      <c r="I357" s="208" t="s">
        <v>216</v>
      </c>
      <c r="J357" s="208" t="s">
        <v>211</v>
      </c>
      <c r="K357" s="199" t="s">
        <v>150</v>
      </c>
      <c r="L357" s="208" t="s">
        <v>266</v>
      </c>
      <c r="M357" s="199" t="s">
        <v>150</v>
      </c>
      <c r="N357" s="240" t="s">
        <v>267</v>
      </c>
      <c r="O357" s="199" t="s">
        <v>150</v>
      </c>
      <c r="P357" s="241" t="s">
        <v>268</v>
      </c>
      <c r="Q357" s="199" t="s">
        <v>150</v>
      </c>
      <c r="R357" s="199" t="s">
        <v>211</v>
      </c>
      <c r="S357" s="199" t="s">
        <v>150</v>
      </c>
      <c r="T357" s="199" t="s">
        <v>269</v>
      </c>
      <c r="U357" s="199" t="s">
        <v>194</v>
      </c>
      <c r="V357" s="234" t="s">
        <v>270</v>
      </c>
      <c r="W357" s="199" t="s">
        <v>194</v>
      </c>
      <c r="X357" s="199" t="s">
        <v>271</v>
      </c>
      <c r="Y357" s="199" t="s">
        <v>194</v>
      </c>
      <c r="Z357" s="199" t="s">
        <v>206</v>
      </c>
      <c r="AA357" s="197" t="s">
        <v>154</v>
      </c>
      <c r="AB357" s="197" t="s">
        <v>154</v>
      </c>
      <c r="AC357" s="197" t="s">
        <v>154</v>
      </c>
      <c r="AD357" s="242" t="s">
        <v>154</v>
      </c>
      <c r="AE357" s="200" t="s">
        <v>154</v>
      </c>
      <c r="AF357" s="142" t="s">
        <v>154</v>
      </c>
      <c r="AG357" s="97" t="s">
        <v>154</v>
      </c>
      <c r="AH357" s="79" t="s">
        <v>154</v>
      </c>
      <c r="AI357" s="94" t="s">
        <v>154</v>
      </c>
      <c r="AJ357" s="289">
        <v>45</v>
      </c>
      <c r="AK357" s="199" t="s">
        <v>150</v>
      </c>
    </row>
    <row r="358" spans="1:37" x14ac:dyDescent="0.25">
      <c r="A358" s="21" t="s">
        <v>41</v>
      </c>
      <c r="B358" s="5" t="s">
        <v>42</v>
      </c>
      <c r="C358" s="263" t="s">
        <v>501</v>
      </c>
      <c r="D358" s="26" t="s">
        <v>43</v>
      </c>
      <c r="E358" s="26" t="s">
        <v>145</v>
      </c>
      <c r="F358" s="26" t="s">
        <v>146</v>
      </c>
      <c r="G358" s="21" t="s">
        <v>156</v>
      </c>
      <c r="H358" s="21" t="s">
        <v>272</v>
      </c>
      <c r="I358" s="11">
        <v>0.6</v>
      </c>
      <c r="J358" s="15">
        <v>0.4642857142857143</v>
      </c>
      <c r="K358" s="28" t="s">
        <v>194</v>
      </c>
      <c r="L358" s="15">
        <v>0.4</v>
      </c>
      <c r="M358" s="28" t="s">
        <v>194</v>
      </c>
      <c r="N358" s="15">
        <v>0.61904761904761907</v>
      </c>
      <c r="O358" s="28" t="s">
        <v>150</v>
      </c>
      <c r="P358" s="15">
        <v>0.5</v>
      </c>
      <c r="Q358" s="28" t="s">
        <v>194</v>
      </c>
      <c r="R358" s="15">
        <v>0.35</v>
      </c>
      <c r="S358" s="28" t="s">
        <v>194</v>
      </c>
      <c r="T358" s="15">
        <v>0.61111111111111116</v>
      </c>
      <c r="U358" s="28" t="s">
        <v>150</v>
      </c>
      <c r="V358" s="15">
        <v>0.46875</v>
      </c>
      <c r="W358" s="28" t="s">
        <v>194</v>
      </c>
      <c r="X358" s="15">
        <v>0.47142857142857142</v>
      </c>
      <c r="Y358" s="28" t="s">
        <v>194</v>
      </c>
      <c r="Z358" s="28" t="s">
        <v>206</v>
      </c>
      <c r="AA358" s="15" t="s">
        <v>154</v>
      </c>
      <c r="AB358" s="15" t="s">
        <v>154</v>
      </c>
      <c r="AC358" s="15" t="s">
        <v>154</v>
      </c>
      <c r="AD358" s="139" t="s">
        <v>154</v>
      </c>
      <c r="AE358" s="126" t="s">
        <v>154</v>
      </c>
      <c r="AF358" s="142" t="s">
        <v>154</v>
      </c>
      <c r="AG358" s="97" t="s">
        <v>154</v>
      </c>
      <c r="AH358" s="79" t="s">
        <v>154</v>
      </c>
      <c r="AI358" s="94" t="s">
        <v>154</v>
      </c>
      <c r="AJ358" s="79">
        <v>0.48507462686567165</v>
      </c>
      <c r="AK358" s="28" t="s">
        <v>194</v>
      </c>
    </row>
    <row r="359" spans="1:37" x14ac:dyDescent="0.25">
      <c r="A359" s="21" t="s">
        <v>41</v>
      </c>
      <c r="B359" s="5" t="s">
        <v>42</v>
      </c>
      <c r="C359" s="263" t="s">
        <v>501</v>
      </c>
      <c r="D359" s="26" t="s">
        <v>43</v>
      </c>
      <c r="E359" s="26" t="s">
        <v>145</v>
      </c>
      <c r="F359" s="26" t="s">
        <v>146</v>
      </c>
      <c r="G359" s="21" t="s">
        <v>156</v>
      </c>
      <c r="H359" s="21" t="s">
        <v>273</v>
      </c>
      <c r="I359" s="11">
        <v>0.4</v>
      </c>
      <c r="J359" s="15">
        <v>0.5357142857142857</v>
      </c>
      <c r="K359" s="28" t="s">
        <v>150</v>
      </c>
      <c r="L359" s="15">
        <v>0.6</v>
      </c>
      <c r="M359" s="28" t="s">
        <v>150</v>
      </c>
      <c r="N359" s="15">
        <v>0.38095238095238093</v>
      </c>
      <c r="O359" s="28" t="s">
        <v>194</v>
      </c>
      <c r="P359" s="15">
        <v>0.5</v>
      </c>
      <c r="Q359" s="28" t="s">
        <v>150</v>
      </c>
      <c r="R359" s="15">
        <v>0.65</v>
      </c>
      <c r="S359" s="28" t="s">
        <v>150</v>
      </c>
      <c r="T359" s="15">
        <v>0.3888888888888889</v>
      </c>
      <c r="U359" s="28" t="s">
        <v>194</v>
      </c>
      <c r="V359" s="15">
        <v>0.53125</v>
      </c>
      <c r="W359" s="28" t="s">
        <v>150</v>
      </c>
      <c r="X359" s="15">
        <v>0.52857142857142858</v>
      </c>
      <c r="Y359" s="28" t="s">
        <v>150</v>
      </c>
      <c r="Z359" s="28" t="s">
        <v>206</v>
      </c>
      <c r="AA359" s="15" t="s">
        <v>154</v>
      </c>
      <c r="AB359" s="15" t="s">
        <v>154</v>
      </c>
      <c r="AC359" s="15" t="s">
        <v>154</v>
      </c>
      <c r="AD359" s="139" t="s">
        <v>154</v>
      </c>
      <c r="AE359" s="126" t="s">
        <v>154</v>
      </c>
      <c r="AF359" s="142" t="s">
        <v>154</v>
      </c>
      <c r="AG359" s="97" t="s">
        <v>154</v>
      </c>
      <c r="AH359" s="79" t="s">
        <v>154</v>
      </c>
      <c r="AI359" s="94" t="s">
        <v>154</v>
      </c>
      <c r="AJ359" s="79">
        <v>0.5149253731343284</v>
      </c>
      <c r="AK359" s="199" t="s">
        <v>150</v>
      </c>
    </row>
    <row r="360" spans="1:37" x14ac:dyDescent="0.25">
      <c r="A360" s="21" t="s">
        <v>41</v>
      </c>
      <c r="B360" s="5" t="s">
        <v>42</v>
      </c>
      <c r="C360" s="263" t="s">
        <v>501</v>
      </c>
      <c r="D360" s="26" t="s">
        <v>43</v>
      </c>
      <c r="E360" s="26" t="s">
        <v>145</v>
      </c>
      <c r="F360" s="26" t="s">
        <v>146</v>
      </c>
      <c r="G360" s="21" t="s">
        <v>156</v>
      </c>
      <c r="H360" s="26" t="s">
        <v>176</v>
      </c>
      <c r="I360" s="11">
        <v>0.8</v>
      </c>
      <c r="J360" s="15">
        <v>0.94000000000000006</v>
      </c>
      <c r="K360" s="28" t="s">
        <v>150</v>
      </c>
      <c r="L360" s="15">
        <v>1</v>
      </c>
      <c r="M360" s="28" t="s">
        <v>150</v>
      </c>
      <c r="N360" s="15">
        <v>1</v>
      </c>
      <c r="O360" s="28" t="s">
        <v>150</v>
      </c>
      <c r="P360" s="15">
        <v>0.98000000000000009</v>
      </c>
      <c r="Q360" s="28" t="s">
        <v>150</v>
      </c>
      <c r="R360" s="36">
        <v>0.98000000000000009</v>
      </c>
      <c r="S360" s="28" t="s">
        <v>150</v>
      </c>
      <c r="T360" s="36">
        <v>0.98000000000000009</v>
      </c>
      <c r="U360" s="28" t="s">
        <v>150</v>
      </c>
      <c r="V360" s="15">
        <v>0.98000000000000009</v>
      </c>
      <c r="W360" s="28" t="s">
        <v>150</v>
      </c>
      <c r="X360" s="15">
        <v>0.98000000000000009</v>
      </c>
      <c r="Y360" s="28" t="s">
        <v>150</v>
      </c>
      <c r="Z360" s="28" t="s">
        <v>206</v>
      </c>
      <c r="AA360" s="15" t="s">
        <v>154</v>
      </c>
      <c r="AB360" s="15" t="s">
        <v>154</v>
      </c>
      <c r="AC360" s="15" t="s">
        <v>154</v>
      </c>
      <c r="AD360" s="126" t="s">
        <v>154</v>
      </c>
      <c r="AE360" s="126" t="s">
        <v>154</v>
      </c>
      <c r="AF360" s="140" t="s">
        <v>154</v>
      </c>
      <c r="AG360" s="97" t="s">
        <v>154</v>
      </c>
      <c r="AH360" s="79" t="s">
        <v>154</v>
      </c>
      <c r="AI360" s="94" t="s">
        <v>154</v>
      </c>
      <c r="AJ360" s="79">
        <v>0.98000000000000009</v>
      </c>
      <c r="AK360" s="199" t="s">
        <v>150</v>
      </c>
    </row>
    <row r="361" spans="1:37" x14ac:dyDescent="0.25">
      <c r="A361" s="21" t="s">
        <v>41</v>
      </c>
      <c r="B361" s="5" t="s">
        <v>42</v>
      </c>
      <c r="C361" s="263" t="s">
        <v>501</v>
      </c>
      <c r="D361" s="26" t="s">
        <v>43</v>
      </c>
      <c r="E361" s="26" t="s">
        <v>145</v>
      </c>
      <c r="F361" s="26" t="s">
        <v>146</v>
      </c>
      <c r="G361" s="21" t="s">
        <v>156</v>
      </c>
      <c r="H361" s="26" t="s">
        <v>274</v>
      </c>
      <c r="I361" s="11">
        <v>0.8</v>
      </c>
      <c r="J361" s="15">
        <v>0.88000000000000012</v>
      </c>
      <c r="K361" s="28" t="s">
        <v>150</v>
      </c>
      <c r="L361" s="15">
        <v>1</v>
      </c>
      <c r="M361" s="28" t="s">
        <v>150</v>
      </c>
      <c r="N361" s="15">
        <v>1</v>
      </c>
      <c r="O361" s="28" t="s">
        <v>150</v>
      </c>
      <c r="P361" s="15">
        <v>0.96</v>
      </c>
      <c r="Q361" s="28" t="s">
        <v>150</v>
      </c>
      <c r="R361" s="36">
        <v>0.98000000000000009</v>
      </c>
      <c r="S361" s="28" t="s">
        <v>150</v>
      </c>
      <c r="T361" s="36">
        <v>1</v>
      </c>
      <c r="U361" s="28" t="s">
        <v>150</v>
      </c>
      <c r="V361" s="15">
        <v>0.98000000000000009</v>
      </c>
      <c r="W361" s="28" t="s">
        <v>150</v>
      </c>
      <c r="X361" s="15">
        <v>0.98000000000000009</v>
      </c>
      <c r="Y361" s="28" t="s">
        <v>150</v>
      </c>
      <c r="Z361" s="28" t="s">
        <v>206</v>
      </c>
      <c r="AA361" s="15" t="s">
        <v>154</v>
      </c>
      <c r="AB361" s="15" t="s">
        <v>154</v>
      </c>
      <c r="AC361" s="15" t="s">
        <v>154</v>
      </c>
      <c r="AD361" s="139" t="s">
        <v>154</v>
      </c>
      <c r="AE361" s="126" t="s">
        <v>154</v>
      </c>
      <c r="AF361" s="268" t="s">
        <v>154</v>
      </c>
      <c r="AG361" s="97" t="s">
        <v>154</v>
      </c>
      <c r="AH361" s="79" t="s">
        <v>154</v>
      </c>
      <c r="AI361" s="94" t="s">
        <v>154</v>
      </c>
      <c r="AJ361" s="79">
        <v>0.98000000000000009</v>
      </c>
      <c r="AK361" s="199" t="s">
        <v>150</v>
      </c>
    </row>
    <row r="362" spans="1:37" x14ac:dyDescent="0.25">
      <c r="A362" s="21" t="s">
        <v>41</v>
      </c>
      <c r="B362" s="5" t="s">
        <v>42</v>
      </c>
      <c r="C362" s="263" t="s">
        <v>501</v>
      </c>
      <c r="D362" s="26" t="s">
        <v>43</v>
      </c>
      <c r="E362" s="26" t="s">
        <v>145</v>
      </c>
      <c r="F362" s="26" t="s">
        <v>146</v>
      </c>
      <c r="G362" s="21" t="s">
        <v>156</v>
      </c>
      <c r="H362" s="26" t="s">
        <v>174</v>
      </c>
      <c r="I362" s="11">
        <v>0.35</v>
      </c>
      <c r="J362" s="15">
        <v>7.1428571428571425E-2</v>
      </c>
      <c r="K362" s="28" t="s">
        <v>194</v>
      </c>
      <c r="L362" s="15">
        <v>6.6666666666666666E-2</v>
      </c>
      <c r="M362" s="28" t="s">
        <v>194</v>
      </c>
      <c r="N362" s="15">
        <v>0.33333333333333331</v>
      </c>
      <c r="O362" s="28" t="s">
        <v>194</v>
      </c>
      <c r="P362" s="15">
        <v>0.20895522388059701</v>
      </c>
      <c r="Q362" s="28" t="s">
        <v>194</v>
      </c>
      <c r="R362" s="15">
        <v>0.4</v>
      </c>
      <c r="S362" s="28" t="s">
        <v>150</v>
      </c>
      <c r="T362" s="36">
        <v>0.16666666666666666</v>
      </c>
      <c r="U362" s="28" t="s">
        <v>194</v>
      </c>
      <c r="V362" s="36">
        <v>0.4375</v>
      </c>
      <c r="W362" s="28" t="s">
        <v>150</v>
      </c>
      <c r="X362" s="36">
        <v>0.35714285714285715</v>
      </c>
      <c r="Y362" s="28" t="s">
        <v>150</v>
      </c>
      <c r="Z362" s="28" t="s">
        <v>206</v>
      </c>
      <c r="AA362" s="15" t="s">
        <v>154</v>
      </c>
      <c r="AB362" s="15" t="s">
        <v>154</v>
      </c>
      <c r="AC362" s="15" t="s">
        <v>154</v>
      </c>
      <c r="AD362" s="139" t="s">
        <v>154</v>
      </c>
      <c r="AE362" s="126" t="s">
        <v>154</v>
      </c>
      <c r="AF362" s="268" t="s">
        <v>154</v>
      </c>
      <c r="AG362" s="97" t="s">
        <v>154</v>
      </c>
      <c r="AH362" s="79" t="s">
        <v>154</v>
      </c>
      <c r="AI362" s="94" t="s">
        <v>154</v>
      </c>
      <c r="AJ362" s="79">
        <v>0.29104477611940299</v>
      </c>
      <c r="AK362" s="28" t="s">
        <v>194</v>
      </c>
    </row>
    <row r="363" spans="1:37" x14ac:dyDescent="0.25">
      <c r="A363" s="21" t="s">
        <v>41</v>
      </c>
      <c r="B363" s="5" t="s">
        <v>42</v>
      </c>
      <c r="C363" s="263" t="s">
        <v>501</v>
      </c>
      <c r="D363" s="26" t="s">
        <v>43</v>
      </c>
      <c r="E363" s="26" t="s">
        <v>145</v>
      </c>
      <c r="F363" s="26" t="s">
        <v>146</v>
      </c>
      <c r="G363" s="21" t="s">
        <v>156</v>
      </c>
      <c r="H363" s="21" t="s">
        <v>189</v>
      </c>
      <c r="I363" s="11">
        <v>0.15</v>
      </c>
      <c r="J363" s="15">
        <v>0</v>
      </c>
      <c r="K363" s="28" t="s">
        <v>150</v>
      </c>
      <c r="L363" s="15">
        <v>0.10526315789473684</v>
      </c>
      <c r="M363" s="28" t="s">
        <v>150</v>
      </c>
      <c r="N363" s="15">
        <v>6.4516129032258063E-2</v>
      </c>
      <c r="O363" s="28" t="s">
        <v>150</v>
      </c>
      <c r="P363" s="15">
        <v>6.0606060606060608E-2</v>
      </c>
      <c r="Q363" s="28" t="s">
        <v>150</v>
      </c>
      <c r="R363" s="36">
        <v>3.4482758620689655E-2</v>
      </c>
      <c r="S363" s="28" t="s">
        <v>150</v>
      </c>
      <c r="T363" s="36">
        <v>6.0606060606060608E-2</v>
      </c>
      <c r="U363" s="28" t="s">
        <v>150</v>
      </c>
      <c r="V363" s="36">
        <v>0.18518518518518517</v>
      </c>
      <c r="W363" s="28" t="s">
        <v>194</v>
      </c>
      <c r="X363" s="36">
        <v>8.98876404494382E-2</v>
      </c>
      <c r="Y363" s="28" t="s">
        <v>150</v>
      </c>
      <c r="Z363" s="28" t="s">
        <v>206</v>
      </c>
      <c r="AA363" s="15" t="s">
        <v>154</v>
      </c>
      <c r="AB363" s="15" t="s">
        <v>154</v>
      </c>
      <c r="AC363" s="15" t="s">
        <v>154</v>
      </c>
      <c r="AD363" s="139" t="s">
        <v>154</v>
      </c>
      <c r="AE363" s="126" t="s">
        <v>154</v>
      </c>
      <c r="AF363" s="268" t="s">
        <v>154</v>
      </c>
      <c r="AG363" s="97" t="s">
        <v>154</v>
      </c>
      <c r="AH363" s="79" t="s">
        <v>154</v>
      </c>
      <c r="AI363" s="94" t="s">
        <v>154</v>
      </c>
      <c r="AJ363" s="79">
        <v>8.3333333333333329E-2</v>
      </c>
      <c r="AK363" s="199" t="s">
        <v>150</v>
      </c>
    </row>
    <row r="364" spans="1:37" x14ac:dyDescent="0.25">
      <c r="A364" s="21" t="s">
        <v>41</v>
      </c>
      <c r="B364" s="5" t="s">
        <v>42</v>
      </c>
      <c r="C364" s="263" t="s">
        <v>501</v>
      </c>
      <c r="D364" s="26" t="s">
        <v>43</v>
      </c>
      <c r="E364" s="26" t="s">
        <v>145</v>
      </c>
      <c r="F364" s="26" t="s">
        <v>146</v>
      </c>
      <c r="G364" s="21" t="s">
        <v>156</v>
      </c>
      <c r="H364" s="21" t="s">
        <v>207</v>
      </c>
      <c r="I364" s="11">
        <v>0.2</v>
      </c>
      <c r="J364" s="29">
        <v>0.11</v>
      </c>
      <c r="K364" s="28" t="s">
        <v>150</v>
      </c>
      <c r="L364" s="15">
        <v>0.26666666666666666</v>
      </c>
      <c r="M364" s="28" t="s">
        <v>194</v>
      </c>
      <c r="N364" s="15">
        <v>0.14285714285714285</v>
      </c>
      <c r="O364" s="28" t="s">
        <v>150</v>
      </c>
      <c r="P364" s="15">
        <v>0.15625</v>
      </c>
      <c r="Q364" s="28" t="s">
        <v>150</v>
      </c>
      <c r="R364" s="15">
        <v>0.15</v>
      </c>
      <c r="S364" s="28" t="s">
        <v>150</v>
      </c>
      <c r="T364" s="15">
        <v>0.16666666666666666</v>
      </c>
      <c r="U364" s="28" t="s">
        <v>150</v>
      </c>
      <c r="V364" s="15">
        <v>0.34375</v>
      </c>
      <c r="W364" s="28" t="s">
        <v>194</v>
      </c>
      <c r="X364" s="15">
        <v>0.24285714285714285</v>
      </c>
      <c r="Y364" s="28" t="s">
        <v>194</v>
      </c>
      <c r="Z364" s="28" t="s">
        <v>206</v>
      </c>
      <c r="AA364" s="15" t="s">
        <v>154</v>
      </c>
      <c r="AB364" s="15" t="s">
        <v>154</v>
      </c>
      <c r="AC364" s="15" t="s">
        <v>154</v>
      </c>
      <c r="AD364" s="126" t="s">
        <v>154</v>
      </c>
      <c r="AE364" s="127" t="s">
        <v>154</v>
      </c>
      <c r="AF364" s="140" t="s">
        <v>154</v>
      </c>
      <c r="AG364" s="97" t="s">
        <v>154</v>
      </c>
      <c r="AH364" s="79" t="s">
        <v>154</v>
      </c>
      <c r="AI364" s="271" t="s">
        <v>154</v>
      </c>
      <c r="AJ364" s="79">
        <v>0.20149253731343283</v>
      </c>
      <c r="AK364" s="28" t="s">
        <v>194</v>
      </c>
    </row>
    <row r="365" spans="1:37" x14ac:dyDescent="0.25">
      <c r="A365" s="21" t="s">
        <v>41</v>
      </c>
      <c r="B365" s="5" t="s">
        <v>42</v>
      </c>
      <c r="C365" s="263" t="s">
        <v>501</v>
      </c>
      <c r="D365" s="26" t="s">
        <v>43</v>
      </c>
      <c r="E365" s="26" t="s">
        <v>145</v>
      </c>
      <c r="F365" s="21" t="s">
        <v>179</v>
      </c>
      <c r="G365" s="21" t="s">
        <v>147</v>
      </c>
      <c r="H365" s="27" t="s">
        <v>180</v>
      </c>
      <c r="I365" s="14" t="s">
        <v>275</v>
      </c>
      <c r="J365" s="28" t="s">
        <v>276</v>
      </c>
      <c r="K365" s="28" t="s">
        <v>150</v>
      </c>
      <c r="L365" s="14" t="s">
        <v>208</v>
      </c>
      <c r="M365" s="28" t="s">
        <v>150</v>
      </c>
      <c r="N365" s="14" t="s">
        <v>277</v>
      </c>
      <c r="O365" s="28" t="s">
        <v>150</v>
      </c>
      <c r="P365" s="14" t="s">
        <v>278</v>
      </c>
      <c r="Q365" s="28" t="s">
        <v>150</v>
      </c>
      <c r="R365" s="14" t="s">
        <v>279</v>
      </c>
      <c r="S365" s="28" t="s">
        <v>150</v>
      </c>
      <c r="T365" s="14" t="s">
        <v>208</v>
      </c>
      <c r="U365" s="28" t="s">
        <v>150</v>
      </c>
      <c r="V365" s="14" t="s">
        <v>280</v>
      </c>
      <c r="W365" s="28" t="s">
        <v>150</v>
      </c>
      <c r="X365" s="14" t="s">
        <v>281</v>
      </c>
      <c r="Y365" s="28" t="s">
        <v>150</v>
      </c>
      <c r="Z365" s="28" t="s">
        <v>206</v>
      </c>
      <c r="AA365" s="15" t="s">
        <v>154</v>
      </c>
      <c r="AB365" s="15" t="s">
        <v>154</v>
      </c>
      <c r="AC365" s="15" t="s">
        <v>154</v>
      </c>
      <c r="AD365" s="126" t="s">
        <v>154</v>
      </c>
      <c r="AE365" s="97" t="s">
        <v>154</v>
      </c>
      <c r="AF365" s="140" t="s">
        <v>154</v>
      </c>
      <c r="AG365" s="97" t="s">
        <v>154</v>
      </c>
      <c r="AH365" s="79" t="s">
        <v>154</v>
      </c>
      <c r="AI365" s="97" t="s">
        <v>154</v>
      </c>
      <c r="AJ365" s="274">
        <v>85</v>
      </c>
      <c r="AK365" s="199" t="s">
        <v>150</v>
      </c>
    </row>
    <row r="366" spans="1:37" x14ac:dyDescent="0.25">
      <c r="A366" s="21" t="s">
        <v>41</v>
      </c>
      <c r="B366" s="5" t="s">
        <v>42</v>
      </c>
      <c r="C366" s="263" t="s">
        <v>501</v>
      </c>
      <c r="D366" s="26" t="s">
        <v>43</v>
      </c>
      <c r="E366" s="26" t="s">
        <v>145</v>
      </c>
      <c r="F366" s="21" t="s">
        <v>179</v>
      </c>
      <c r="G366" s="21" t="s">
        <v>147</v>
      </c>
      <c r="H366" s="27" t="s">
        <v>188</v>
      </c>
      <c r="I366" s="16">
        <v>4.7222222222222221E-2</v>
      </c>
      <c r="J366" s="16">
        <v>4.4444444444444446E-2</v>
      </c>
      <c r="K366" s="28" t="s">
        <v>150</v>
      </c>
      <c r="L366" s="43" t="s">
        <v>283</v>
      </c>
      <c r="M366" s="28" t="s">
        <v>150</v>
      </c>
      <c r="N366" s="43" t="s">
        <v>283</v>
      </c>
      <c r="O366" s="28" t="s">
        <v>150</v>
      </c>
      <c r="P366" s="43" t="s">
        <v>283</v>
      </c>
      <c r="Q366" s="28" t="s">
        <v>150</v>
      </c>
      <c r="R366" s="43" t="s">
        <v>284</v>
      </c>
      <c r="S366" s="28" t="s">
        <v>150</v>
      </c>
      <c r="T366" s="43" t="s">
        <v>283</v>
      </c>
      <c r="U366" s="28" t="s">
        <v>150</v>
      </c>
      <c r="V366" s="43" t="s">
        <v>285</v>
      </c>
      <c r="W366" s="28" t="s">
        <v>150</v>
      </c>
      <c r="X366" s="43" t="s">
        <v>286</v>
      </c>
      <c r="Y366" s="28" t="s">
        <v>150</v>
      </c>
      <c r="Z366" s="28" t="s">
        <v>206</v>
      </c>
      <c r="AA366" s="15" t="s">
        <v>154</v>
      </c>
      <c r="AB366" s="15" t="s">
        <v>154</v>
      </c>
      <c r="AC366" s="15" t="s">
        <v>154</v>
      </c>
      <c r="AD366" s="126" t="s">
        <v>154</v>
      </c>
      <c r="AE366" s="126" t="s">
        <v>154</v>
      </c>
      <c r="AF366" s="140" t="s">
        <v>154</v>
      </c>
      <c r="AG366" s="97" t="s">
        <v>154</v>
      </c>
      <c r="AH366" s="79" t="s">
        <v>154</v>
      </c>
      <c r="AI366" s="94" t="s">
        <v>154</v>
      </c>
      <c r="AJ366" s="101" t="s">
        <v>286</v>
      </c>
      <c r="AK366" s="199" t="s">
        <v>150</v>
      </c>
    </row>
    <row r="367" spans="1:37" x14ac:dyDescent="0.25">
      <c r="A367" s="21" t="s">
        <v>41</v>
      </c>
      <c r="B367" s="5" t="s">
        <v>42</v>
      </c>
      <c r="C367" s="263" t="s">
        <v>501</v>
      </c>
      <c r="D367" s="26" t="s">
        <v>43</v>
      </c>
      <c r="E367" s="26" t="s">
        <v>145</v>
      </c>
      <c r="F367" s="21" t="s">
        <v>179</v>
      </c>
      <c r="G367" s="21" t="s">
        <v>147</v>
      </c>
      <c r="H367" s="27" t="s">
        <v>190</v>
      </c>
      <c r="I367" s="15">
        <v>0.85</v>
      </c>
      <c r="J367" s="29">
        <v>0.38</v>
      </c>
      <c r="K367" s="28" t="s">
        <v>194</v>
      </c>
      <c r="L367" s="29">
        <v>0.19</v>
      </c>
      <c r="M367" s="28" t="s">
        <v>194</v>
      </c>
      <c r="N367" s="29">
        <v>0.26</v>
      </c>
      <c r="O367" s="28" t="s">
        <v>194</v>
      </c>
      <c r="P367" s="29">
        <v>0.28999999999999998</v>
      </c>
      <c r="Q367" s="28" t="s">
        <v>194</v>
      </c>
      <c r="R367" s="29">
        <v>0.28000000000000003</v>
      </c>
      <c r="S367" s="28" t="s">
        <v>194</v>
      </c>
      <c r="T367" s="29">
        <v>0.28000000000000003</v>
      </c>
      <c r="U367" s="28" t="s">
        <v>194</v>
      </c>
      <c r="V367" s="29">
        <v>0.25</v>
      </c>
      <c r="W367" s="28" t="s">
        <v>194</v>
      </c>
      <c r="X367" s="29">
        <v>0.27</v>
      </c>
      <c r="Y367" s="28" t="s">
        <v>194</v>
      </c>
      <c r="Z367" s="28" t="s">
        <v>206</v>
      </c>
      <c r="AA367" s="15" t="s">
        <v>154</v>
      </c>
      <c r="AB367" s="15" t="s">
        <v>154</v>
      </c>
      <c r="AC367" s="15" t="s">
        <v>154</v>
      </c>
      <c r="AD367" s="126" t="s">
        <v>154</v>
      </c>
      <c r="AE367" s="126" t="s">
        <v>154</v>
      </c>
      <c r="AF367" s="140" t="s">
        <v>154</v>
      </c>
      <c r="AG367" s="97" t="s">
        <v>154</v>
      </c>
      <c r="AH367" s="79" t="s">
        <v>154</v>
      </c>
      <c r="AI367" s="94" t="s">
        <v>154</v>
      </c>
      <c r="AJ367" s="102">
        <v>0.28000000000000003</v>
      </c>
      <c r="AK367" s="28" t="s">
        <v>194</v>
      </c>
    </row>
    <row r="368" spans="1:37" x14ac:dyDescent="0.25">
      <c r="A368" s="21" t="s">
        <v>41</v>
      </c>
      <c r="B368" s="5" t="s">
        <v>42</v>
      </c>
      <c r="C368" s="263" t="s">
        <v>501</v>
      </c>
      <c r="D368" s="26" t="s">
        <v>43</v>
      </c>
      <c r="E368" s="26" t="s">
        <v>145</v>
      </c>
      <c r="F368" s="21" t="s">
        <v>179</v>
      </c>
      <c r="G368" s="21" t="s">
        <v>147</v>
      </c>
      <c r="H368" s="27" t="s">
        <v>186</v>
      </c>
      <c r="I368" s="15">
        <v>0.75</v>
      </c>
      <c r="J368" s="29">
        <v>0.75</v>
      </c>
      <c r="K368" s="28" t="s">
        <v>150</v>
      </c>
      <c r="L368" s="29">
        <v>0.78</v>
      </c>
      <c r="M368" s="28" t="s">
        <v>150</v>
      </c>
      <c r="N368" s="29">
        <v>0.75</v>
      </c>
      <c r="O368" s="28" t="s">
        <v>150</v>
      </c>
      <c r="P368" s="29">
        <v>0.75</v>
      </c>
      <c r="Q368" s="28" t="s">
        <v>150</v>
      </c>
      <c r="R368" s="29">
        <v>0.78</v>
      </c>
      <c r="S368" s="28" t="s">
        <v>150</v>
      </c>
      <c r="T368" s="29">
        <v>0.75</v>
      </c>
      <c r="U368" s="28" t="s">
        <v>150</v>
      </c>
      <c r="V368" s="29">
        <v>0.76</v>
      </c>
      <c r="W368" s="28" t="s">
        <v>150</v>
      </c>
      <c r="X368" s="29">
        <v>0.76</v>
      </c>
      <c r="Y368" s="28" t="s">
        <v>150</v>
      </c>
      <c r="Z368" s="28" t="s">
        <v>206</v>
      </c>
      <c r="AA368" s="15" t="s">
        <v>154</v>
      </c>
      <c r="AB368" s="15" t="s">
        <v>154</v>
      </c>
      <c r="AC368" s="15" t="s">
        <v>154</v>
      </c>
      <c r="AD368" s="126" t="s">
        <v>154</v>
      </c>
      <c r="AE368" s="126" t="s">
        <v>154</v>
      </c>
      <c r="AF368" s="140" t="s">
        <v>154</v>
      </c>
      <c r="AG368" s="97" t="s">
        <v>154</v>
      </c>
      <c r="AH368" s="79" t="s">
        <v>154</v>
      </c>
      <c r="AI368" s="94" t="s">
        <v>154</v>
      </c>
      <c r="AJ368" s="102">
        <v>0.75</v>
      </c>
      <c r="AK368" s="199" t="s">
        <v>150</v>
      </c>
    </row>
    <row r="369" spans="1:37" x14ac:dyDescent="0.25">
      <c r="A369" s="21" t="s">
        <v>41</v>
      </c>
      <c r="B369" s="5" t="s">
        <v>42</v>
      </c>
      <c r="C369" s="263" t="s">
        <v>501</v>
      </c>
      <c r="D369" s="26" t="s">
        <v>43</v>
      </c>
      <c r="E369" s="26" t="s">
        <v>145</v>
      </c>
      <c r="F369" s="26" t="s">
        <v>146</v>
      </c>
      <c r="G369" s="21" t="s">
        <v>156</v>
      </c>
      <c r="H369" s="44" t="s">
        <v>287</v>
      </c>
      <c r="I369" s="11">
        <v>0.8</v>
      </c>
      <c r="J369" s="29">
        <v>0.86</v>
      </c>
      <c r="K369" s="28" t="s">
        <v>150</v>
      </c>
      <c r="L369" s="29">
        <v>0.8</v>
      </c>
      <c r="M369" s="28" t="s">
        <v>150</v>
      </c>
      <c r="N369" s="29">
        <v>1</v>
      </c>
      <c r="O369" s="28" t="s">
        <v>150</v>
      </c>
      <c r="P369" s="29">
        <v>0.89</v>
      </c>
      <c r="Q369" s="28" t="s">
        <v>150</v>
      </c>
      <c r="R369" s="29">
        <v>0.89</v>
      </c>
      <c r="S369" s="28" t="s">
        <v>150</v>
      </c>
      <c r="T369" s="29">
        <v>0.89</v>
      </c>
      <c r="U369" s="28" t="s">
        <v>150</v>
      </c>
      <c r="V369" s="29">
        <v>0.84</v>
      </c>
      <c r="W369" s="28" t="s">
        <v>150</v>
      </c>
      <c r="X369" s="29">
        <v>0.87</v>
      </c>
      <c r="Y369" s="28" t="s">
        <v>150</v>
      </c>
      <c r="Z369" s="28" t="s">
        <v>206</v>
      </c>
      <c r="AA369" s="15" t="s">
        <v>154</v>
      </c>
      <c r="AB369" s="15" t="s">
        <v>154</v>
      </c>
      <c r="AC369" s="15" t="s">
        <v>154</v>
      </c>
      <c r="AD369" s="126" t="s">
        <v>154</v>
      </c>
      <c r="AE369" s="126" t="s">
        <v>154</v>
      </c>
      <c r="AF369" s="140" t="s">
        <v>154</v>
      </c>
      <c r="AG369" s="97" t="s">
        <v>154</v>
      </c>
      <c r="AH369" s="79" t="s">
        <v>154</v>
      </c>
      <c r="AI369" s="94" t="s">
        <v>154</v>
      </c>
      <c r="AJ369" s="102">
        <v>0.9</v>
      </c>
      <c r="AK369" s="199" t="s">
        <v>150</v>
      </c>
    </row>
    <row r="370" spans="1:37" x14ac:dyDescent="0.25">
      <c r="A370" s="21" t="s">
        <v>41</v>
      </c>
      <c r="B370" s="5" t="s">
        <v>42</v>
      </c>
      <c r="C370" s="263" t="s">
        <v>501</v>
      </c>
      <c r="D370" s="26" t="s">
        <v>43</v>
      </c>
      <c r="E370" s="26" t="s">
        <v>145</v>
      </c>
      <c r="F370" s="26" t="s">
        <v>146</v>
      </c>
      <c r="G370" s="21" t="s">
        <v>156</v>
      </c>
      <c r="H370" s="21" t="s">
        <v>288</v>
      </c>
      <c r="I370" s="11">
        <v>0.05</v>
      </c>
      <c r="J370" s="29">
        <v>0</v>
      </c>
      <c r="K370" s="28" t="s">
        <v>150</v>
      </c>
      <c r="L370" s="29">
        <v>0</v>
      </c>
      <c r="M370" s="28" t="s">
        <v>150</v>
      </c>
      <c r="N370" s="29">
        <v>0</v>
      </c>
      <c r="O370" s="28" t="s">
        <v>150</v>
      </c>
      <c r="P370" s="29">
        <v>0</v>
      </c>
      <c r="Q370" s="28" t="s">
        <v>150</v>
      </c>
      <c r="R370" s="29">
        <v>0</v>
      </c>
      <c r="S370" s="28" t="s">
        <v>150</v>
      </c>
      <c r="T370" s="29">
        <v>0</v>
      </c>
      <c r="U370" s="28" t="s">
        <v>150</v>
      </c>
      <c r="V370" s="29">
        <v>0</v>
      </c>
      <c r="W370" s="28" t="s">
        <v>150</v>
      </c>
      <c r="X370" s="29">
        <v>0</v>
      </c>
      <c r="Y370" s="28" t="s">
        <v>150</v>
      </c>
      <c r="Z370" s="28" t="s">
        <v>206</v>
      </c>
      <c r="AA370" s="15" t="s">
        <v>154</v>
      </c>
      <c r="AB370" s="15" t="s">
        <v>154</v>
      </c>
      <c r="AC370" s="15" t="s">
        <v>154</v>
      </c>
      <c r="AD370" s="126" t="s">
        <v>154</v>
      </c>
      <c r="AE370" s="126" t="s">
        <v>154</v>
      </c>
      <c r="AF370" s="140" t="s">
        <v>154</v>
      </c>
      <c r="AG370" s="97" t="s">
        <v>154</v>
      </c>
      <c r="AH370" s="79" t="s">
        <v>154</v>
      </c>
      <c r="AI370" s="94" t="s">
        <v>154</v>
      </c>
      <c r="AJ370" s="102">
        <v>0</v>
      </c>
      <c r="AK370" s="199" t="s">
        <v>150</v>
      </c>
    </row>
    <row r="371" spans="1:37" x14ac:dyDescent="0.25">
      <c r="A371" s="21" t="s">
        <v>497</v>
      </c>
      <c r="B371" s="5" t="s">
        <v>42</v>
      </c>
      <c r="C371" s="263" t="s">
        <v>501</v>
      </c>
      <c r="D371" s="26" t="s">
        <v>43</v>
      </c>
      <c r="E371" s="26" t="s">
        <v>145</v>
      </c>
      <c r="F371" s="21" t="s">
        <v>146</v>
      </c>
      <c r="G371" s="21" t="s">
        <v>156</v>
      </c>
      <c r="H371" s="75" t="s">
        <v>197</v>
      </c>
      <c r="I371" s="28" t="s">
        <v>216</v>
      </c>
      <c r="J371" s="29" t="s">
        <v>206</v>
      </c>
      <c r="K371" s="29" t="s">
        <v>206</v>
      </c>
      <c r="L371" s="29" t="s">
        <v>206</v>
      </c>
      <c r="M371" s="29" t="s">
        <v>206</v>
      </c>
      <c r="N371" s="29" t="s">
        <v>206</v>
      </c>
      <c r="O371" s="29" t="s">
        <v>206</v>
      </c>
      <c r="P371" s="29" t="s">
        <v>206</v>
      </c>
      <c r="Q371" s="29" t="s">
        <v>206</v>
      </c>
      <c r="R371" s="29" t="s">
        <v>206</v>
      </c>
      <c r="S371" s="29" t="s">
        <v>206</v>
      </c>
      <c r="T371" s="29" t="s">
        <v>206</v>
      </c>
      <c r="U371" s="29" t="s">
        <v>206</v>
      </c>
      <c r="V371" s="28" t="s">
        <v>206</v>
      </c>
      <c r="W371" s="28" t="s">
        <v>206</v>
      </c>
      <c r="X371" s="28" t="s">
        <v>206</v>
      </c>
      <c r="Y371" s="28" t="s">
        <v>206</v>
      </c>
      <c r="Z371" s="13" t="s">
        <v>498</v>
      </c>
      <c r="AA371" s="28" t="s">
        <v>150</v>
      </c>
      <c r="AB371" s="78">
        <v>33</v>
      </c>
      <c r="AC371" s="28" t="s">
        <v>150</v>
      </c>
      <c r="AD371" s="78">
        <v>31</v>
      </c>
      <c r="AE371" s="28" t="s">
        <v>150</v>
      </c>
      <c r="AF371" s="78">
        <v>50</v>
      </c>
      <c r="AG371" s="28" t="s">
        <v>194</v>
      </c>
      <c r="AH371" s="78">
        <v>55</v>
      </c>
      <c r="AI371" s="28" t="s">
        <v>194</v>
      </c>
      <c r="AJ371" s="290">
        <v>44</v>
      </c>
      <c r="AK371" s="199" t="s">
        <v>150</v>
      </c>
    </row>
    <row r="372" spans="1:37" x14ac:dyDescent="0.25">
      <c r="A372" s="21" t="s">
        <v>497</v>
      </c>
      <c r="B372" s="5" t="s">
        <v>42</v>
      </c>
      <c r="C372" s="263" t="s">
        <v>501</v>
      </c>
      <c r="D372" s="26" t="s">
        <v>43</v>
      </c>
      <c r="E372" s="26" t="s">
        <v>145</v>
      </c>
      <c r="F372" s="26" t="s">
        <v>146</v>
      </c>
      <c r="G372" s="21" t="s">
        <v>156</v>
      </c>
      <c r="H372" s="44" t="s">
        <v>272</v>
      </c>
      <c r="I372" s="11">
        <v>0.6</v>
      </c>
      <c r="J372" s="29" t="s">
        <v>206</v>
      </c>
      <c r="K372" s="29" t="s">
        <v>206</v>
      </c>
      <c r="L372" s="29" t="s">
        <v>206</v>
      </c>
      <c r="M372" s="29" t="s">
        <v>206</v>
      </c>
      <c r="N372" s="29" t="s">
        <v>206</v>
      </c>
      <c r="O372" s="29" t="s">
        <v>206</v>
      </c>
      <c r="P372" s="29" t="s">
        <v>206</v>
      </c>
      <c r="Q372" s="29" t="s">
        <v>206</v>
      </c>
      <c r="R372" s="29" t="s">
        <v>206</v>
      </c>
      <c r="S372" s="29" t="s">
        <v>206</v>
      </c>
      <c r="T372" s="29" t="s">
        <v>206</v>
      </c>
      <c r="U372" s="29" t="s">
        <v>206</v>
      </c>
      <c r="V372" s="28" t="s">
        <v>206</v>
      </c>
      <c r="W372" s="28" t="s">
        <v>206</v>
      </c>
      <c r="X372" s="28" t="s">
        <v>206</v>
      </c>
      <c r="Y372" s="28" t="s">
        <v>206</v>
      </c>
      <c r="Z372" s="20">
        <v>0.4</v>
      </c>
      <c r="AA372" s="28" t="s">
        <v>194</v>
      </c>
      <c r="AB372" s="119">
        <v>0.5</v>
      </c>
      <c r="AC372" s="28" t="s">
        <v>194</v>
      </c>
      <c r="AD372" s="119">
        <f>2/4</f>
        <v>0.5</v>
      </c>
      <c r="AE372" s="28" t="s">
        <v>194</v>
      </c>
      <c r="AF372" s="149">
        <f>1/3</f>
        <v>0.33333333333333331</v>
      </c>
      <c r="AG372" s="28" t="s">
        <v>194</v>
      </c>
      <c r="AH372" s="119">
        <v>0.36363636363636365</v>
      </c>
      <c r="AI372" s="28" t="s">
        <v>194</v>
      </c>
      <c r="AJ372" s="119">
        <v>0.38235294117647056</v>
      </c>
      <c r="AK372" s="28" t="s">
        <v>194</v>
      </c>
    </row>
    <row r="373" spans="1:37" x14ac:dyDescent="0.25">
      <c r="A373" s="21" t="s">
        <v>497</v>
      </c>
      <c r="B373" s="5" t="s">
        <v>42</v>
      </c>
      <c r="C373" s="263" t="s">
        <v>501</v>
      </c>
      <c r="D373" s="26" t="s">
        <v>43</v>
      </c>
      <c r="E373" s="26" t="s">
        <v>145</v>
      </c>
      <c r="F373" s="26" t="s">
        <v>146</v>
      </c>
      <c r="G373" s="21" t="s">
        <v>156</v>
      </c>
      <c r="H373" s="44" t="s">
        <v>273</v>
      </c>
      <c r="I373" s="11">
        <v>0.4</v>
      </c>
      <c r="J373" s="29" t="s">
        <v>206</v>
      </c>
      <c r="K373" s="29" t="s">
        <v>206</v>
      </c>
      <c r="L373" s="29" t="s">
        <v>206</v>
      </c>
      <c r="M373" s="29" t="s">
        <v>206</v>
      </c>
      <c r="N373" s="29" t="s">
        <v>206</v>
      </c>
      <c r="O373" s="29" t="s">
        <v>206</v>
      </c>
      <c r="P373" s="29" t="s">
        <v>206</v>
      </c>
      <c r="Q373" s="29" t="s">
        <v>206</v>
      </c>
      <c r="R373" s="29" t="s">
        <v>206</v>
      </c>
      <c r="S373" s="29" t="s">
        <v>206</v>
      </c>
      <c r="T373" s="29" t="s">
        <v>206</v>
      </c>
      <c r="U373" s="29" t="s">
        <v>206</v>
      </c>
      <c r="V373" s="28" t="s">
        <v>206</v>
      </c>
      <c r="W373" s="28" t="s">
        <v>206</v>
      </c>
      <c r="X373" s="28" t="s">
        <v>206</v>
      </c>
      <c r="Y373" s="28" t="s">
        <v>206</v>
      </c>
      <c r="Z373" s="20">
        <v>0.6</v>
      </c>
      <c r="AA373" s="28" t="s">
        <v>150</v>
      </c>
      <c r="AB373" s="82">
        <v>0.5</v>
      </c>
      <c r="AC373" s="28" t="s">
        <v>150</v>
      </c>
      <c r="AD373" s="149">
        <f>2/4</f>
        <v>0.5</v>
      </c>
      <c r="AE373" s="28" t="s">
        <v>150</v>
      </c>
      <c r="AF373" s="119">
        <f>2/3</f>
        <v>0.66666666666666663</v>
      </c>
      <c r="AG373" s="199" t="s">
        <v>150</v>
      </c>
      <c r="AH373" s="119">
        <v>0.63636363636363635</v>
      </c>
      <c r="AI373" s="199" t="s">
        <v>150</v>
      </c>
      <c r="AJ373" s="82">
        <v>0.52941176470588236</v>
      </c>
      <c r="AK373" s="199" t="s">
        <v>150</v>
      </c>
    </row>
    <row r="374" spans="1:37" x14ac:dyDescent="0.25">
      <c r="A374" s="21" t="s">
        <v>497</v>
      </c>
      <c r="B374" s="5" t="s">
        <v>42</v>
      </c>
      <c r="C374" s="263" t="s">
        <v>501</v>
      </c>
      <c r="D374" s="26" t="s">
        <v>43</v>
      </c>
      <c r="E374" s="26" t="s">
        <v>145</v>
      </c>
      <c r="F374" s="26" t="s">
        <v>146</v>
      </c>
      <c r="G374" s="21" t="s">
        <v>156</v>
      </c>
      <c r="H374" s="76" t="s">
        <v>176</v>
      </c>
      <c r="I374" s="11">
        <v>0.8</v>
      </c>
      <c r="J374" s="29" t="s">
        <v>206</v>
      </c>
      <c r="K374" s="29" t="s">
        <v>206</v>
      </c>
      <c r="L374" s="29" t="s">
        <v>206</v>
      </c>
      <c r="M374" s="29" t="s">
        <v>206</v>
      </c>
      <c r="N374" s="29" t="s">
        <v>206</v>
      </c>
      <c r="O374" s="29" t="s">
        <v>206</v>
      </c>
      <c r="P374" s="29" t="s">
        <v>206</v>
      </c>
      <c r="Q374" s="29" t="s">
        <v>206</v>
      </c>
      <c r="R374" s="29" t="s">
        <v>206</v>
      </c>
      <c r="S374" s="29" t="s">
        <v>206</v>
      </c>
      <c r="T374" s="29" t="s">
        <v>206</v>
      </c>
      <c r="U374" s="29" t="s">
        <v>206</v>
      </c>
      <c r="V374" s="28" t="s">
        <v>206</v>
      </c>
      <c r="W374" s="28" t="s">
        <v>206</v>
      </c>
      <c r="X374" s="28" t="s">
        <v>206</v>
      </c>
      <c r="Y374" s="28" t="s">
        <v>206</v>
      </c>
      <c r="Z374" s="20">
        <v>0.98000000000000009</v>
      </c>
      <c r="AA374" s="28" t="s">
        <v>150</v>
      </c>
      <c r="AB374" s="82">
        <v>0.98000000000000009</v>
      </c>
      <c r="AC374" s="28" t="s">
        <v>150</v>
      </c>
      <c r="AD374" s="149">
        <f>5/5</f>
        <v>1</v>
      </c>
      <c r="AE374" s="28" t="s">
        <v>150</v>
      </c>
      <c r="AF374" s="119">
        <f>5/5</f>
        <v>1</v>
      </c>
      <c r="AG374" s="199" t="s">
        <v>150</v>
      </c>
      <c r="AH374" s="119">
        <v>1</v>
      </c>
      <c r="AI374" s="199" t="s">
        <v>150</v>
      </c>
      <c r="AJ374" s="291">
        <v>0.98000000000000009</v>
      </c>
      <c r="AK374" s="199" t="s">
        <v>150</v>
      </c>
    </row>
    <row r="375" spans="1:37" x14ac:dyDescent="0.25">
      <c r="A375" s="21" t="s">
        <v>497</v>
      </c>
      <c r="B375" s="5" t="s">
        <v>42</v>
      </c>
      <c r="C375" s="263" t="s">
        <v>501</v>
      </c>
      <c r="D375" s="26" t="s">
        <v>43</v>
      </c>
      <c r="E375" s="26" t="s">
        <v>145</v>
      </c>
      <c r="F375" s="26" t="s">
        <v>146</v>
      </c>
      <c r="G375" s="21" t="s">
        <v>156</v>
      </c>
      <c r="H375" s="76" t="s">
        <v>274</v>
      </c>
      <c r="I375" s="11">
        <v>0.8</v>
      </c>
      <c r="J375" s="29" t="s">
        <v>206</v>
      </c>
      <c r="K375" s="29" t="s">
        <v>206</v>
      </c>
      <c r="L375" s="29" t="s">
        <v>206</v>
      </c>
      <c r="M375" s="29" t="s">
        <v>206</v>
      </c>
      <c r="N375" s="29" t="s">
        <v>206</v>
      </c>
      <c r="O375" s="29" t="s">
        <v>206</v>
      </c>
      <c r="P375" s="29" t="s">
        <v>206</v>
      </c>
      <c r="Q375" s="29" t="s">
        <v>206</v>
      </c>
      <c r="R375" s="29" t="s">
        <v>206</v>
      </c>
      <c r="S375" s="29" t="s">
        <v>206</v>
      </c>
      <c r="T375" s="29" t="s">
        <v>206</v>
      </c>
      <c r="U375" s="29" t="s">
        <v>206</v>
      </c>
      <c r="V375" s="28" t="s">
        <v>206</v>
      </c>
      <c r="W375" s="28" t="s">
        <v>206</v>
      </c>
      <c r="X375" s="28" t="s">
        <v>206</v>
      </c>
      <c r="Y375" s="28" t="s">
        <v>206</v>
      </c>
      <c r="Z375" s="20">
        <v>0.96</v>
      </c>
      <c r="AA375" s="28" t="s">
        <v>150</v>
      </c>
      <c r="AB375" s="82">
        <v>0.94000000000000006</v>
      </c>
      <c r="AC375" s="28" t="s">
        <v>150</v>
      </c>
      <c r="AD375" s="149">
        <f>4.9/5</f>
        <v>0.98000000000000009</v>
      </c>
      <c r="AE375" s="28" t="s">
        <v>150</v>
      </c>
      <c r="AF375" s="119">
        <f>4.5/5</f>
        <v>0.9</v>
      </c>
      <c r="AG375" s="199" t="s">
        <v>150</v>
      </c>
      <c r="AH375" s="119">
        <v>0.86</v>
      </c>
      <c r="AI375" s="199" t="s">
        <v>150</v>
      </c>
      <c r="AJ375" s="82">
        <v>0.91999999999999993</v>
      </c>
      <c r="AK375" s="199" t="s">
        <v>150</v>
      </c>
    </row>
    <row r="376" spans="1:37" x14ac:dyDescent="0.25">
      <c r="A376" s="21" t="s">
        <v>497</v>
      </c>
      <c r="B376" s="5" t="s">
        <v>42</v>
      </c>
      <c r="C376" s="263" t="s">
        <v>501</v>
      </c>
      <c r="D376" s="26" t="s">
        <v>43</v>
      </c>
      <c r="E376" s="26" t="s">
        <v>145</v>
      </c>
      <c r="F376" s="26" t="s">
        <v>146</v>
      </c>
      <c r="G376" s="21" t="s">
        <v>156</v>
      </c>
      <c r="H376" s="76" t="s">
        <v>174</v>
      </c>
      <c r="I376" s="11">
        <v>0.35</v>
      </c>
      <c r="J376" s="29" t="s">
        <v>206</v>
      </c>
      <c r="K376" s="29" t="s">
        <v>206</v>
      </c>
      <c r="L376" s="29" t="s">
        <v>206</v>
      </c>
      <c r="M376" s="29" t="s">
        <v>206</v>
      </c>
      <c r="N376" s="29" t="s">
        <v>206</v>
      </c>
      <c r="O376" s="29" t="s">
        <v>206</v>
      </c>
      <c r="P376" s="29" t="s">
        <v>206</v>
      </c>
      <c r="Q376" s="29" t="s">
        <v>206</v>
      </c>
      <c r="R376" s="29" t="s">
        <v>206</v>
      </c>
      <c r="S376" s="29" t="s">
        <v>206</v>
      </c>
      <c r="T376" s="29" t="s">
        <v>206</v>
      </c>
      <c r="U376" s="29" t="s">
        <v>206</v>
      </c>
      <c r="V376" s="28" t="s">
        <v>206</v>
      </c>
      <c r="W376" s="28" t="s">
        <v>206</v>
      </c>
      <c r="X376" s="28" t="s">
        <v>206</v>
      </c>
      <c r="Y376" s="28" t="s">
        <v>206</v>
      </c>
      <c r="Z376" s="50">
        <v>0.5</v>
      </c>
      <c r="AA376" s="28" t="s">
        <v>150</v>
      </c>
      <c r="AB376" s="82">
        <v>0.33</v>
      </c>
      <c r="AC376" s="28" t="s">
        <v>194</v>
      </c>
      <c r="AD376" s="119">
        <f>0/4</f>
        <v>0</v>
      </c>
      <c r="AE376" s="28" t="s">
        <v>194</v>
      </c>
      <c r="AF376" s="119">
        <f>2/3</f>
        <v>0.66666666666666663</v>
      </c>
      <c r="AG376" s="199" t="s">
        <v>150</v>
      </c>
      <c r="AH376" s="119">
        <v>0.36363636363636365</v>
      </c>
      <c r="AI376" s="199" t="s">
        <v>150</v>
      </c>
      <c r="AJ376" s="119">
        <v>0.38235294117647056</v>
      </c>
      <c r="AK376" s="199" t="s">
        <v>150</v>
      </c>
    </row>
    <row r="377" spans="1:37" x14ac:dyDescent="0.25">
      <c r="A377" s="21" t="s">
        <v>497</v>
      </c>
      <c r="B377" s="5" t="s">
        <v>42</v>
      </c>
      <c r="C377" s="263" t="s">
        <v>501</v>
      </c>
      <c r="D377" s="26" t="s">
        <v>43</v>
      </c>
      <c r="E377" s="26" t="s">
        <v>145</v>
      </c>
      <c r="F377" s="26" t="s">
        <v>146</v>
      </c>
      <c r="G377" s="21" t="s">
        <v>156</v>
      </c>
      <c r="H377" s="44" t="s">
        <v>189</v>
      </c>
      <c r="I377" s="11">
        <v>0.15</v>
      </c>
      <c r="J377" s="29" t="s">
        <v>206</v>
      </c>
      <c r="K377" s="29" t="s">
        <v>206</v>
      </c>
      <c r="L377" s="29" t="s">
        <v>206</v>
      </c>
      <c r="M377" s="29" t="s">
        <v>206</v>
      </c>
      <c r="N377" s="29" t="s">
        <v>206</v>
      </c>
      <c r="O377" s="29" t="s">
        <v>206</v>
      </c>
      <c r="P377" s="29" t="s">
        <v>206</v>
      </c>
      <c r="Q377" s="29" t="s">
        <v>206</v>
      </c>
      <c r="R377" s="29" t="s">
        <v>206</v>
      </c>
      <c r="S377" s="29" t="s">
        <v>206</v>
      </c>
      <c r="T377" s="29" t="s">
        <v>206</v>
      </c>
      <c r="U377" s="29" t="s">
        <v>206</v>
      </c>
      <c r="V377" s="28" t="s">
        <v>206</v>
      </c>
      <c r="W377" s="28" t="s">
        <v>206</v>
      </c>
      <c r="X377" s="28" t="s">
        <v>206</v>
      </c>
      <c r="Y377" s="28" t="s">
        <v>206</v>
      </c>
      <c r="Z377" s="50">
        <v>0</v>
      </c>
      <c r="AA377" s="28" t="s">
        <v>150</v>
      </c>
      <c r="AB377" s="82">
        <v>0</v>
      </c>
      <c r="AC377" s="28" t="s">
        <v>150</v>
      </c>
      <c r="AD377" s="149">
        <f>0/9</f>
        <v>0</v>
      </c>
      <c r="AE377" s="28" t="s">
        <v>150</v>
      </c>
      <c r="AF377" s="149">
        <f>1/13</f>
        <v>7.6923076923076927E-2</v>
      </c>
      <c r="AG377" s="199" t="s">
        <v>150</v>
      </c>
      <c r="AH377" s="119">
        <v>0</v>
      </c>
      <c r="AI377" s="199" t="s">
        <v>150</v>
      </c>
      <c r="AJ377" s="82">
        <v>2.2222222222222223E-2</v>
      </c>
      <c r="AK377" s="199" t="s">
        <v>150</v>
      </c>
    </row>
    <row r="378" spans="1:37" x14ac:dyDescent="0.25">
      <c r="A378" s="21" t="s">
        <v>497</v>
      </c>
      <c r="B378" s="5" t="s">
        <v>42</v>
      </c>
      <c r="C378" s="263" t="s">
        <v>501</v>
      </c>
      <c r="D378" s="26" t="s">
        <v>43</v>
      </c>
      <c r="E378" s="26" t="s">
        <v>145</v>
      </c>
      <c r="F378" s="26" t="s">
        <v>146</v>
      </c>
      <c r="G378" s="21" t="s">
        <v>156</v>
      </c>
      <c r="H378" s="44" t="s">
        <v>207</v>
      </c>
      <c r="I378" s="11">
        <v>0.2</v>
      </c>
      <c r="J378" s="29" t="s">
        <v>206</v>
      </c>
      <c r="K378" s="29" t="s">
        <v>206</v>
      </c>
      <c r="L378" s="29" t="s">
        <v>206</v>
      </c>
      <c r="M378" s="29" t="s">
        <v>206</v>
      </c>
      <c r="N378" s="29" t="s">
        <v>206</v>
      </c>
      <c r="O378" s="29" t="s">
        <v>206</v>
      </c>
      <c r="P378" s="29" t="s">
        <v>206</v>
      </c>
      <c r="Q378" s="29" t="s">
        <v>206</v>
      </c>
      <c r="R378" s="29" t="s">
        <v>206</v>
      </c>
      <c r="S378" s="29" t="s">
        <v>206</v>
      </c>
      <c r="T378" s="29" t="s">
        <v>206</v>
      </c>
      <c r="U378" s="29" t="s">
        <v>206</v>
      </c>
      <c r="V378" s="28" t="s">
        <v>206</v>
      </c>
      <c r="W378" s="28" t="s">
        <v>206</v>
      </c>
      <c r="X378" s="28" t="s">
        <v>206</v>
      </c>
      <c r="Y378" s="28" t="s">
        <v>206</v>
      </c>
      <c r="Z378" s="20">
        <v>0.2</v>
      </c>
      <c r="AA378" s="28" t="s">
        <v>150</v>
      </c>
      <c r="AB378" s="82">
        <v>0</v>
      </c>
      <c r="AC378" s="28" t="s">
        <v>150</v>
      </c>
      <c r="AD378" s="149">
        <f>1/4</f>
        <v>0.25</v>
      </c>
      <c r="AE378" s="28" t="s">
        <v>194</v>
      </c>
      <c r="AF378" s="149">
        <f>0/3</f>
        <v>0</v>
      </c>
      <c r="AG378" s="199" t="s">
        <v>150</v>
      </c>
      <c r="AH378" s="119">
        <v>9.0909090909090912E-2</v>
      </c>
      <c r="AI378" s="199" t="s">
        <v>150</v>
      </c>
      <c r="AJ378" s="82">
        <v>0.11764705882352941</v>
      </c>
      <c r="AK378" s="199" t="s">
        <v>150</v>
      </c>
    </row>
    <row r="379" spans="1:37" x14ac:dyDescent="0.25">
      <c r="A379" s="21" t="s">
        <v>497</v>
      </c>
      <c r="B379" s="5" t="s">
        <v>42</v>
      </c>
      <c r="C379" s="263" t="s">
        <v>501</v>
      </c>
      <c r="D379" s="26" t="s">
        <v>43</v>
      </c>
      <c r="E379" s="26" t="s">
        <v>145</v>
      </c>
      <c r="F379" s="21" t="s">
        <v>179</v>
      </c>
      <c r="G379" s="21" t="s">
        <v>147</v>
      </c>
      <c r="H379" s="77" t="s">
        <v>180</v>
      </c>
      <c r="I379" s="14" t="s">
        <v>275</v>
      </c>
      <c r="J379" s="29" t="s">
        <v>206</v>
      </c>
      <c r="K379" s="29" t="s">
        <v>206</v>
      </c>
      <c r="L379" s="29" t="s">
        <v>206</v>
      </c>
      <c r="M379" s="29" t="s">
        <v>206</v>
      </c>
      <c r="N379" s="29" t="s">
        <v>206</v>
      </c>
      <c r="O379" s="29" t="s">
        <v>206</v>
      </c>
      <c r="P379" s="29" t="s">
        <v>206</v>
      </c>
      <c r="Q379" s="29" t="s">
        <v>206</v>
      </c>
      <c r="R379" s="29" t="s">
        <v>206</v>
      </c>
      <c r="S379" s="29" t="s">
        <v>206</v>
      </c>
      <c r="T379" s="29" t="s">
        <v>206</v>
      </c>
      <c r="U379" s="29" t="s">
        <v>206</v>
      </c>
      <c r="V379" s="28" t="s">
        <v>206</v>
      </c>
      <c r="W379" s="28" t="s">
        <v>206</v>
      </c>
      <c r="X379" s="28" t="s">
        <v>206</v>
      </c>
      <c r="Y379" s="28" t="s">
        <v>206</v>
      </c>
      <c r="Z379" s="14" t="s">
        <v>499</v>
      </c>
      <c r="AA379" s="28" t="s">
        <v>150</v>
      </c>
      <c r="AB379" s="78">
        <v>74</v>
      </c>
      <c r="AC379" s="28" t="s">
        <v>150</v>
      </c>
      <c r="AD379" s="147">
        <v>87</v>
      </c>
      <c r="AE379" s="28" t="s">
        <v>150</v>
      </c>
      <c r="AF379" s="147">
        <v>113</v>
      </c>
      <c r="AG379" s="199" t="s">
        <v>150</v>
      </c>
      <c r="AH379" s="78">
        <v>75</v>
      </c>
      <c r="AI379" s="199" t="s">
        <v>150</v>
      </c>
      <c r="AJ379" s="274">
        <v>90</v>
      </c>
      <c r="AK379" s="199" t="s">
        <v>150</v>
      </c>
    </row>
    <row r="380" spans="1:37" x14ac:dyDescent="0.25">
      <c r="A380" s="21" t="s">
        <v>497</v>
      </c>
      <c r="B380" s="5" t="s">
        <v>42</v>
      </c>
      <c r="C380" s="263" t="s">
        <v>501</v>
      </c>
      <c r="D380" s="26" t="s">
        <v>43</v>
      </c>
      <c r="E380" s="26" t="s">
        <v>145</v>
      </c>
      <c r="F380" s="21" t="s">
        <v>179</v>
      </c>
      <c r="G380" s="21" t="s">
        <v>147</v>
      </c>
      <c r="H380" s="77" t="s">
        <v>188</v>
      </c>
      <c r="I380" s="16">
        <v>4.7222222222222221E-2</v>
      </c>
      <c r="J380" s="29" t="s">
        <v>206</v>
      </c>
      <c r="K380" s="29" t="s">
        <v>206</v>
      </c>
      <c r="L380" s="29" t="s">
        <v>206</v>
      </c>
      <c r="M380" s="29" t="s">
        <v>206</v>
      </c>
      <c r="N380" s="29" t="s">
        <v>206</v>
      </c>
      <c r="O380" s="29" t="s">
        <v>206</v>
      </c>
      <c r="P380" s="29" t="s">
        <v>206</v>
      </c>
      <c r="Q380" s="29" t="s">
        <v>206</v>
      </c>
      <c r="R380" s="29" t="s">
        <v>206</v>
      </c>
      <c r="S380" s="29" t="s">
        <v>206</v>
      </c>
      <c r="T380" s="29" t="s">
        <v>206</v>
      </c>
      <c r="U380" s="29" t="s">
        <v>206</v>
      </c>
      <c r="V380" s="28" t="s">
        <v>206</v>
      </c>
      <c r="W380" s="28" t="s">
        <v>206</v>
      </c>
      <c r="X380" s="28" t="s">
        <v>206</v>
      </c>
      <c r="Y380" s="28" t="s">
        <v>206</v>
      </c>
      <c r="Z380" s="51">
        <v>4.5138888888888888E-2</v>
      </c>
      <c r="AA380" s="28" t="s">
        <v>150</v>
      </c>
      <c r="AB380" s="121">
        <v>4.3749999999999997E-2</v>
      </c>
      <c r="AC380" s="28" t="s">
        <v>150</v>
      </c>
      <c r="AD380" s="141">
        <v>4.3749999999999997E-2</v>
      </c>
      <c r="AE380" s="28" t="s">
        <v>150</v>
      </c>
      <c r="AF380" s="141">
        <v>4.2361111111111113E-2</v>
      </c>
      <c r="AG380" s="199" t="s">
        <v>150</v>
      </c>
      <c r="AH380" s="101" t="s">
        <v>573</v>
      </c>
      <c r="AI380" s="28" t="s">
        <v>194</v>
      </c>
      <c r="AJ380" s="281">
        <v>4.3055555555555555E-2</v>
      </c>
      <c r="AK380" s="199" t="s">
        <v>150</v>
      </c>
    </row>
    <row r="381" spans="1:37" x14ac:dyDescent="0.25">
      <c r="A381" s="21" t="s">
        <v>497</v>
      </c>
      <c r="B381" s="5" t="s">
        <v>42</v>
      </c>
      <c r="C381" s="263" t="s">
        <v>501</v>
      </c>
      <c r="D381" s="26" t="s">
        <v>43</v>
      </c>
      <c r="E381" s="26" t="s">
        <v>145</v>
      </c>
      <c r="F381" s="21" t="s">
        <v>179</v>
      </c>
      <c r="G381" s="21" t="s">
        <v>147</v>
      </c>
      <c r="H381" s="77" t="s">
        <v>190</v>
      </c>
      <c r="I381" s="15">
        <v>0.85</v>
      </c>
      <c r="J381" s="29" t="s">
        <v>206</v>
      </c>
      <c r="K381" s="29" t="s">
        <v>206</v>
      </c>
      <c r="L381" s="29" t="s">
        <v>206</v>
      </c>
      <c r="M381" s="29" t="s">
        <v>206</v>
      </c>
      <c r="N381" s="29" t="s">
        <v>206</v>
      </c>
      <c r="O381" s="29" t="s">
        <v>206</v>
      </c>
      <c r="P381" s="29" t="s">
        <v>206</v>
      </c>
      <c r="Q381" s="29" t="s">
        <v>206</v>
      </c>
      <c r="R381" s="29" t="s">
        <v>206</v>
      </c>
      <c r="S381" s="29" t="s">
        <v>206</v>
      </c>
      <c r="T381" s="29" t="s">
        <v>206</v>
      </c>
      <c r="U381" s="29" t="s">
        <v>206</v>
      </c>
      <c r="V381" s="28" t="s">
        <v>206</v>
      </c>
      <c r="W381" s="28" t="s">
        <v>206</v>
      </c>
      <c r="X381" s="28" t="s">
        <v>206</v>
      </c>
      <c r="Y381" s="28" t="s">
        <v>206</v>
      </c>
      <c r="Z381" s="11">
        <v>0.48</v>
      </c>
      <c r="AA381" s="28" t="s">
        <v>194</v>
      </c>
      <c r="AB381" s="102">
        <v>0.21</v>
      </c>
      <c r="AC381" s="28" t="s">
        <v>194</v>
      </c>
      <c r="AD381" s="102">
        <v>0.44</v>
      </c>
      <c r="AE381" s="28" t="s">
        <v>194</v>
      </c>
      <c r="AF381" s="102">
        <v>7.0000000000000007E-2</v>
      </c>
      <c r="AG381" s="28" t="s">
        <v>194</v>
      </c>
      <c r="AH381" s="102">
        <v>0.39</v>
      </c>
      <c r="AI381" s="28" t="s">
        <v>194</v>
      </c>
      <c r="AJ381" s="272">
        <v>0.32</v>
      </c>
      <c r="AK381" s="28" t="s">
        <v>194</v>
      </c>
    </row>
    <row r="382" spans="1:37" x14ac:dyDescent="0.25">
      <c r="A382" s="21" t="s">
        <v>497</v>
      </c>
      <c r="B382" s="5" t="s">
        <v>42</v>
      </c>
      <c r="C382" s="263" t="s">
        <v>501</v>
      </c>
      <c r="D382" s="26" t="s">
        <v>43</v>
      </c>
      <c r="E382" s="26" t="s">
        <v>145</v>
      </c>
      <c r="F382" s="21" t="s">
        <v>179</v>
      </c>
      <c r="G382" s="21" t="s">
        <v>147</v>
      </c>
      <c r="H382" s="77" t="s">
        <v>186</v>
      </c>
      <c r="I382" s="15">
        <v>0.75</v>
      </c>
      <c r="J382" s="29" t="s">
        <v>206</v>
      </c>
      <c r="K382" s="29" t="s">
        <v>206</v>
      </c>
      <c r="L382" s="29" t="s">
        <v>206</v>
      </c>
      <c r="M382" s="29" t="s">
        <v>206</v>
      </c>
      <c r="N382" s="29" t="s">
        <v>206</v>
      </c>
      <c r="O382" s="29" t="s">
        <v>206</v>
      </c>
      <c r="P382" s="29" t="s">
        <v>206</v>
      </c>
      <c r="Q382" s="29" t="s">
        <v>206</v>
      </c>
      <c r="R382" s="29" t="s">
        <v>206</v>
      </c>
      <c r="S382" s="29" t="s">
        <v>206</v>
      </c>
      <c r="T382" s="29" t="s">
        <v>206</v>
      </c>
      <c r="U382" s="29" t="s">
        <v>206</v>
      </c>
      <c r="V382" s="28" t="s">
        <v>206</v>
      </c>
      <c r="W382" s="28" t="s">
        <v>206</v>
      </c>
      <c r="X382" s="28" t="s">
        <v>206</v>
      </c>
      <c r="Y382" s="28" t="s">
        <v>206</v>
      </c>
      <c r="Z382" s="11">
        <v>0.82</v>
      </c>
      <c r="AA382" s="28" t="s">
        <v>150</v>
      </c>
      <c r="AB382" s="102">
        <v>0.76</v>
      </c>
      <c r="AC382" s="28" t="s">
        <v>150</v>
      </c>
      <c r="AD382" s="102">
        <v>0.75</v>
      </c>
      <c r="AE382" s="28" t="s">
        <v>150</v>
      </c>
      <c r="AF382" s="102">
        <v>0.76</v>
      </c>
      <c r="AG382" s="199" t="s">
        <v>150</v>
      </c>
      <c r="AH382" s="102">
        <v>0.78</v>
      </c>
      <c r="AI382" s="199" t="s">
        <v>150</v>
      </c>
      <c r="AJ382" s="272">
        <v>0.76</v>
      </c>
      <c r="AK382" s="199" t="s">
        <v>150</v>
      </c>
    </row>
    <row r="383" spans="1:37" x14ac:dyDescent="0.25">
      <c r="A383" s="21" t="s">
        <v>497</v>
      </c>
      <c r="B383" s="5" t="s">
        <v>42</v>
      </c>
      <c r="C383" s="263" t="s">
        <v>501</v>
      </c>
      <c r="D383" s="26" t="s">
        <v>43</v>
      </c>
      <c r="E383" s="26" t="s">
        <v>145</v>
      </c>
      <c r="F383" s="26" t="s">
        <v>146</v>
      </c>
      <c r="G383" s="21" t="s">
        <v>156</v>
      </c>
      <c r="H383" s="44" t="s">
        <v>287</v>
      </c>
      <c r="I383" s="11">
        <v>0.8</v>
      </c>
      <c r="J383" s="29" t="s">
        <v>206</v>
      </c>
      <c r="K383" s="29" t="s">
        <v>206</v>
      </c>
      <c r="L383" s="29" t="s">
        <v>206</v>
      </c>
      <c r="M383" s="29" t="s">
        <v>206</v>
      </c>
      <c r="N383" s="29" t="s">
        <v>206</v>
      </c>
      <c r="O383" s="29" t="s">
        <v>206</v>
      </c>
      <c r="P383" s="29" t="s">
        <v>206</v>
      </c>
      <c r="Q383" s="29" t="s">
        <v>206</v>
      </c>
      <c r="R383" s="29" t="s">
        <v>206</v>
      </c>
      <c r="S383" s="29" t="s">
        <v>206</v>
      </c>
      <c r="T383" s="29" t="s">
        <v>206</v>
      </c>
      <c r="U383" s="29" t="s">
        <v>206</v>
      </c>
      <c r="V383" s="28" t="s">
        <v>206</v>
      </c>
      <c r="W383" s="28" t="s">
        <v>206</v>
      </c>
      <c r="X383" s="28" t="s">
        <v>206</v>
      </c>
      <c r="Y383" s="28" t="s">
        <v>206</v>
      </c>
      <c r="Z383" s="20">
        <v>0.9</v>
      </c>
      <c r="AA383" s="28" t="s">
        <v>150</v>
      </c>
      <c r="AB383" s="102">
        <v>0.83</v>
      </c>
      <c r="AC383" s="28" t="s">
        <v>150</v>
      </c>
      <c r="AD383" s="102">
        <v>1</v>
      </c>
      <c r="AE383" s="28" t="s">
        <v>150</v>
      </c>
      <c r="AF383" s="102">
        <v>1</v>
      </c>
      <c r="AG383" s="199" t="s">
        <v>150</v>
      </c>
      <c r="AH383" s="102">
        <v>1</v>
      </c>
      <c r="AI383" s="199" t="s">
        <v>150</v>
      </c>
      <c r="AJ383" s="272">
        <v>0.94</v>
      </c>
      <c r="AK383" s="199" t="s">
        <v>150</v>
      </c>
    </row>
    <row r="384" spans="1:37" x14ac:dyDescent="0.25">
      <c r="A384" s="21" t="s">
        <v>497</v>
      </c>
      <c r="B384" s="5" t="s">
        <v>42</v>
      </c>
      <c r="C384" s="263" t="s">
        <v>501</v>
      </c>
      <c r="D384" s="26" t="s">
        <v>43</v>
      </c>
      <c r="E384" s="26" t="s">
        <v>145</v>
      </c>
      <c r="F384" s="26" t="s">
        <v>146</v>
      </c>
      <c r="G384" s="21" t="s">
        <v>156</v>
      </c>
      <c r="H384" s="44" t="s">
        <v>288</v>
      </c>
      <c r="I384" s="11">
        <v>0.05</v>
      </c>
      <c r="J384" s="29" t="s">
        <v>206</v>
      </c>
      <c r="K384" s="29" t="s">
        <v>206</v>
      </c>
      <c r="L384" s="29" t="s">
        <v>206</v>
      </c>
      <c r="M384" s="29" t="s">
        <v>206</v>
      </c>
      <c r="N384" s="29" t="s">
        <v>206</v>
      </c>
      <c r="O384" s="29" t="s">
        <v>206</v>
      </c>
      <c r="P384" s="29" t="s">
        <v>206</v>
      </c>
      <c r="Q384" s="29" t="s">
        <v>206</v>
      </c>
      <c r="R384" s="29" t="s">
        <v>206</v>
      </c>
      <c r="S384" s="29" t="s">
        <v>206</v>
      </c>
      <c r="T384" s="29" t="s">
        <v>206</v>
      </c>
      <c r="U384" s="29" t="s">
        <v>206</v>
      </c>
      <c r="V384" s="28" t="s">
        <v>206</v>
      </c>
      <c r="W384" s="28" t="s">
        <v>206</v>
      </c>
      <c r="X384" s="28" t="s">
        <v>206</v>
      </c>
      <c r="Y384" s="28" t="s">
        <v>206</v>
      </c>
      <c r="Z384" s="20">
        <v>0</v>
      </c>
      <c r="AA384" s="28" t="s">
        <v>150</v>
      </c>
      <c r="AB384" s="102">
        <v>0</v>
      </c>
      <c r="AC384" s="28" t="s">
        <v>150</v>
      </c>
      <c r="AD384" s="102">
        <v>0</v>
      </c>
      <c r="AE384" s="28" t="s">
        <v>150</v>
      </c>
      <c r="AF384" s="102">
        <v>0</v>
      </c>
      <c r="AG384" s="199" t="s">
        <v>150</v>
      </c>
      <c r="AH384" s="272">
        <v>0</v>
      </c>
      <c r="AI384" s="199" t="s">
        <v>150</v>
      </c>
      <c r="AJ384" s="272">
        <v>0</v>
      </c>
      <c r="AK384" s="199" t="s">
        <v>150</v>
      </c>
    </row>
    <row r="385" spans="1:37" x14ac:dyDescent="0.25">
      <c r="A385" s="21" t="s">
        <v>109</v>
      </c>
      <c r="B385" s="5" t="s">
        <v>42</v>
      </c>
      <c r="C385" s="263" t="s">
        <v>501</v>
      </c>
      <c r="D385" s="26" t="s">
        <v>43</v>
      </c>
      <c r="E385" s="26" t="s">
        <v>145</v>
      </c>
      <c r="F385" s="26" t="s">
        <v>146</v>
      </c>
      <c r="G385" s="21" t="s">
        <v>156</v>
      </c>
      <c r="H385" s="77" t="s">
        <v>197</v>
      </c>
      <c r="I385" s="14" t="s">
        <v>216</v>
      </c>
      <c r="J385" s="29" t="s">
        <v>206</v>
      </c>
      <c r="K385" s="29" t="s">
        <v>206</v>
      </c>
      <c r="L385" s="29" t="s">
        <v>206</v>
      </c>
      <c r="M385" s="29" t="s">
        <v>206</v>
      </c>
      <c r="N385" s="29" t="s">
        <v>206</v>
      </c>
      <c r="O385" s="29" t="s">
        <v>206</v>
      </c>
      <c r="P385" s="29" t="s">
        <v>206</v>
      </c>
      <c r="Q385" s="29" t="s">
        <v>206</v>
      </c>
      <c r="R385" s="29" t="s">
        <v>206</v>
      </c>
      <c r="S385" s="29" t="s">
        <v>206</v>
      </c>
      <c r="T385" s="29" t="s">
        <v>206</v>
      </c>
      <c r="U385" s="29" t="s">
        <v>206</v>
      </c>
      <c r="V385" s="28" t="s">
        <v>206</v>
      </c>
      <c r="W385" s="28" t="s">
        <v>206</v>
      </c>
      <c r="X385" s="28" t="s">
        <v>206</v>
      </c>
      <c r="Y385" s="28" t="s">
        <v>206</v>
      </c>
      <c r="Z385" s="13" t="s">
        <v>269</v>
      </c>
      <c r="AA385" s="28" t="s">
        <v>194</v>
      </c>
      <c r="AB385" s="78">
        <v>45</v>
      </c>
      <c r="AC385" s="28" t="s">
        <v>150</v>
      </c>
      <c r="AD385" s="78">
        <v>34</v>
      </c>
      <c r="AE385" s="28" t="s">
        <v>150</v>
      </c>
      <c r="AF385" s="78">
        <v>37</v>
      </c>
      <c r="AG385" s="199" t="s">
        <v>150</v>
      </c>
      <c r="AH385" s="78">
        <v>36</v>
      </c>
      <c r="AI385" s="199" t="s">
        <v>150</v>
      </c>
      <c r="AJ385" s="290">
        <v>43</v>
      </c>
      <c r="AK385" s="199" t="s">
        <v>150</v>
      </c>
    </row>
    <row r="386" spans="1:37" x14ac:dyDescent="0.25">
      <c r="A386" s="21" t="s">
        <v>109</v>
      </c>
      <c r="B386" s="5" t="s">
        <v>42</v>
      </c>
      <c r="C386" s="263" t="s">
        <v>501</v>
      </c>
      <c r="D386" s="26" t="s">
        <v>43</v>
      </c>
      <c r="E386" s="26" t="s">
        <v>145</v>
      </c>
      <c r="F386" s="26" t="s">
        <v>146</v>
      </c>
      <c r="G386" s="21" t="s">
        <v>156</v>
      </c>
      <c r="H386" s="44" t="s">
        <v>272</v>
      </c>
      <c r="I386" s="11">
        <v>0.6</v>
      </c>
      <c r="J386" s="29" t="s">
        <v>206</v>
      </c>
      <c r="K386" s="29" t="s">
        <v>206</v>
      </c>
      <c r="L386" s="29" t="s">
        <v>206</v>
      </c>
      <c r="M386" s="29" t="s">
        <v>206</v>
      </c>
      <c r="N386" s="29" t="s">
        <v>206</v>
      </c>
      <c r="O386" s="29" t="s">
        <v>206</v>
      </c>
      <c r="P386" s="29" t="s">
        <v>206</v>
      </c>
      <c r="Q386" s="29" t="s">
        <v>206</v>
      </c>
      <c r="R386" s="29" t="s">
        <v>206</v>
      </c>
      <c r="S386" s="29" t="s">
        <v>206</v>
      </c>
      <c r="T386" s="29" t="s">
        <v>206</v>
      </c>
      <c r="U386" s="29" t="s">
        <v>206</v>
      </c>
      <c r="V386" s="28" t="s">
        <v>206</v>
      </c>
      <c r="W386" s="28" t="s">
        <v>206</v>
      </c>
      <c r="X386" s="28" t="s">
        <v>206</v>
      </c>
      <c r="Y386" s="28" t="s">
        <v>206</v>
      </c>
      <c r="Z386" s="50">
        <v>0.56521739130434778</v>
      </c>
      <c r="AA386" s="28" t="s">
        <v>194</v>
      </c>
      <c r="AB386" s="119">
        <v>0.58333333333333337</v>
      </c>
      <c r="AC386" s="28" t="s">
        <v>194</v>
      </c>
      <c r="AD386" s="119">
        <f>8/15</f>
        <v>0.53333333333333333</v>
      </c>
      <c r="AE386" s="28" t="s">
        <v>194</v>
      </c>
      <c r="AF386" s="149">
        <v>0.5714285714285714</v>
      </c>
      <c r="AG386" s="28" t="s">
        <v>194</v>
      </c>
      <c r="AH386" s="82">
        <v>0.8125</v>
      </c>
      <c r="AI386" s="199" t="s">
        <v>150</v>
      </c>
      <c r="AJ386" s="82">
        <v>0.53271028037383172</v>
      </c>
      <c r="AK386" s="28" t="s">
        <v>194</v>
      </c>
    </row>
    <row r="387" spans="1:37" x14ac:dyDescent="0.25">
      <c r="A387" s="21" t="s">
        <v>109</v>
      </c>
      <c r="B387" s="5" t="s">
        <v>42</v>
      </c>
      <c r="C387" s="263" t="s">
        <v>501</v>
      </c>
      <c r="D387" s="26" t="s">
        <v>43</v>
      </c>
      <c r="E387" s="26" t="s">
        <v>145</v>
      </c>
      <c r="F387" s="26" t="s">
        <v>146</v>
      </c>
      <c r="G387" s="21" t="s">
        <v>156</v>
      </c>
      <c r="H387" s="44" t="s">
        <v>273</v>
      </c>
      <c r="I387" s="11">
        <v>0.4</v>
      </c>
      <c r="J387" s="29" t="s">
        <v>206</v>
      </c>
      <c r="K387" s="29" t="s">
        <v>206</v>
      </c>
      <c r="L387" s="29" t="s">
        <v>206</v>
      </c>
      <c r="M387" s="29" t="s">
        <v>206</v>
      </c>
      <c r="N387" s="29" t="s">
        <v>206</v>
      </c>
      <c r="O387" s="29" t="s">
        <v>206</v>
      </c>
      <c r="P387" s="29" t="s">
        <v>206</v>
      </c>
      <c r="Q387" s="29" t="s">
        <v>206</v>
      </c>
      <c r="R387" s="29" t="s">
        <v>206</v>
      </c>
      <c r="S387" s="29" t="s">
        <v>206</v>
      </c>
      <c r="T387" s="29" t="s">
        <v>206</v>
      </c>
      <c r="U387" s="29" t="s">
        <v>206</v>
      </c>
      <c r="V387" s="28" t="s">
        <v>206</v>
      </c>
      <c r="W387" s="28" t="s">
        <v>206</v>
      </c>
      <c r="X387" s="28" t="s">
        <v>206</v>
      </c>
      <c r="Y387" s="28" t="s">
        <v>206</v>
      </c>
      <c r="Z387" s="20">
        <v>0.43478260869565216</v>
      </c>
      <c r="AA387" s="28" t="s">
        <v>150</v>
      </c>
      <c r="AB387" s="119">
        <v>0.41666666666666669</v>
      </c>
      <c r="AC387" s="28" t="s">
        <v>150</v>
      </c>
      <c r="AD387" s="149">
        <f>7/15</f>
        <v>0.46666666666666667</v>
      </c>
      <c r="AE387" s="28" t="s">
        <v>150</v>
      </c>
      <c r="AF387" s="119">
        <v>0.42857142857142855</v>
      </c>
      <c r="AG387" s="199" t="s">
        <v>150</v>
      </c>
      <c r="AH387" s="82">
        <v>0.1875</v>
      </c>
      <c r="AI387" s="28" t="s">
        <v>194</v>
      </c>
      <c r="AJ387" s="82">
        <v>0.46728971962616822</v>
      </c>
      <c r="AK387" s="199" t="s">
        <v>150</v>
      </c>
    </row>
    <row r="388" spans="1:37" x14ac:dyDescent="0.25">
      <c r="A388" s="21" t="s">
        <v>109</v>
      </c>
      <c r="B388" s="5" t="s">
        <v>42</v>
      </c>
      <c r="C388" s="263" t="s">
        <v>501</v>
      </c>
      <c r="D388" s="26" t="s">
        <v>43</v>
      </c>
      <c r="E388" s="26" t="s">
        <v>145</v>
      </c>
      <c r="F388" s="26" t="s">
        <v>146</v>
      </c>
      <c r="G388" s="21" t="s">
        <v>156</v>
      </c>
      <c r="H388" s="76" t="s">
        <v>176</v>
      </c>
      <c r="I388" s="11">
        <v>0.8</v>
      </c>
      <c r="J388" s="29" t="s">
        <v>206</v>
      </c>
      <c r="K388" s="29" t="s">
        <v>206</v>
      </c>
      <c r="L388" s="29" t="s">
        <v>206</v>
      </c>
      <c r="M388" s="29" t="s">
        <v>206</v>
      </c>
      <c r="N388" s="29" t="s">
        <v>206</v>
      </c>
      <c r="O388" s="29" t="s">
        <v>206</v>
      </c>
      <c r="P388" s="29" t="s">
        <v>206</v>
      </c>
      <c r="Q388" s="29" t="s">
        <v>206</v>
      </c>
      <c r="R388" s="29" t="s">
        <v>206</v>
      </c>
      <c r="S388" s="29" t="s">
        <v>206</v>
      </c>
      <c r="T388" s="29" t="s">
        <v>206</v>
      </c>
      <c r="U388" s="29" t="s">
        <v>206</v>
      </c>
      <c r="V388" s="28" t="s">
        <v>206</v>
      </c>
      <c r="W388" s="28" t="s">
        <v>206</v>
      </c>
      <c r="X388" s="28" t="s">
        <v>206</v>
      </c>
      <c r="Y388" s="28" t="s">
        <v>206</v>
      </c>
      <c r="Z388" s="20">
        <v>0.98000000000000009</v>
      </c>
      <c r="AA388" s="28" t="s">
        <v>150</v>
      </c>
      <c r="AB388" s="119">
        <v>0.98000000000000009</v>
      </c>
      <c r="AC388" s="28" t="s">
        <v>150</v>
      </c>
      <c r="AD388" s="149">
        <f>4.9/5</f>
        <v>0.98000000000000009</v>
      </c>
      <c r="AE388" s="28" t="s">
        <v>150</v>
      </c>
      <c r="AF388" s="119">
        <v>1</v>
      </c>
      <c r="AG388" s="199" t="s">
        <v>150</v>
      </c>
      <c r="AH388" s="119">
        <v>0.96</v>
      </c>
      <c r="AI388" s="199" t="s">
        <v>150</v>
      </c>
      <c r="AJ388" s="82">
        <v>0.98000000000000009</v>
      </c>
      <c r="AK388" s="199" t="s">
        <v>150</v>
      </c>
    </row>
    <row r="389" spans="1:37" x14ac:dyDescent="0.25">
      <c r="A389" s="21" t="s">
        <v>109</v>
      </c>
      <c r="B389" s="5" t="s">
        <v>42</v>
      </c>
      <c r="C389" s="263" t="s">
        <v>501</v>
      </c>
      <c r="D389" s="26" t="s">
        <v>43</v>
      </c>
      <c r="E389" s="26" t="s">
        <v>145</v>
      </c>
      <c r="F389" s="26" t="s">
        <v>146</v>
      </c>
      <c r="G389" s="21" t="s">
        <v>156</v>
      </c>
      <c r="H389" s="76" t="s">
        <v>274</v>
      </c>
      <c r="I389" s="11">
        <v>0.8</v>
      </c>
      <c r="J389" s="29" t="s">
        <v>206</v>
      </c>
      <c r="K389" s="29" t="s">
        <v>206</v>
      </c>
      <c r="L389" s="29" t="s">
        <v>206</v>
      </c>
      <c r="M389" s="29" t="s">
        <v>206</v>
      </c>
      <c r="N389" s="29" t="s">
        <v>206</v>
      </c>
      <c r="O389" s="29" t="s">
        <v>206</v>
      </c>
      <c r="P389" s="29" t="s">
        <v>206</v>
      </c>
      <c r="Q389" s="29" t="s">
        <v>206</v>
      </c>
      <c r="R389" s="29" t="s">
        <v>206</v>
      </c>
      <c r="S389" s="29" t="s">
        <v>206</v>
      </c>
      <c r="T389" s="29" t="s">
        <v>206</v>
      </c>
      <c r="U389" s="29" t="s">
        <v>206</v>
      </c>
      <c r="V389" s="28" t="s">
        <v>206</v>
      </c>
      <c r="W389" s="28" t="s">
        <v>206</v>
      </c>
      <c r="X389" s="28" t="s">
        <v>206</v>
      </c>
      <c r="Y389" s="28" t="s">
        <v>206</v>
      </c>
      <c r="Z389" s="20">
        <v>0.98000000000000009</v>
      </c>
      <c r="AA389" s="28" t="s">
        <v>150</v>
      </c>
      <c r="AB389" s="119">
        <v>0.88000000000000012</v>
      </c>
      <c r="AC389" s="28" t="s">
        <v>150</v>
      </c>
      <c r="AD389" s="149">
        <f>4.6/5</f>
        <v>0.91999999999999993</v>
      </c>
      <c r="AE389" s="28" t="s">
        <v>150</v>
      </c>
      <c r="AF389" s="119">
        <v>0.91999999999999993</v>
      </c>
      <c r="AG389" s="199" t="s">
        <v>150</v>
      </c>
      <c r="AH389" s="119">
        <v>0.9</v>
      </c>
      <c r="AI389" s="199" t="s">
        <v>150</v>
      </c>
      <c r="AJ389" s="291">
        <v>0.96</v>
      </c>
      <c r="AK389" s="199" t="s">
        <v>150</v>
      </c>
    </row>
    <row r="390" spans="1:37" x14ac:dyDescent="0.25">
      <c r="A390" s="21" t="s">
        <v>109</v>
      </c>
      <c r="B390" s="5" t="s">
        <v>42</v>
      </c>
      <c r="C390" s="263" t="s">
        <v>501</v>
      </c>
      <c r="D390" s="26" t="s">
        <v>43</v>
      </c>
      <c r="E390" s="26" t="s">
        <v>145</v>
      </c>
      <c r="F390" s="26" t="s">
        <v>146</v>
      </c>
      <c r="G390" s="21" t="s">
        <v>156</v>
      </c>
      <c r="H390" s="76" t="s">
        <v>174</v>
      </c>
      <c r="I390" s="11">
        <v>0.35</v>
      </c>
      <c r="J390" s="29" t="s">
        <v>206</v>
      </c>
      <c r="K390" s="29" t="s">
        <v>206</v>
      </c>
      <c r="L390" s="29" t="s">
        <v>206</v>
      </c>
      <c r="M390" s="29" t="s">
        <v>206</v>
      </c>
      <c r="N390" s="29" t="s">
        <v>206</v>
      </c>
      <c r="O390" s="29" t="s">
        <v>206</v>
      </c>
      <c r="P390" s="29" t="s">
        <v>206</v>
      </c>
      <c r="Q390" s="29" t="s">
        <v>206</v>
      </c>
      <c r="R390" s="29" t="s">
        <v>206</v>
      </c>
      <c r="S390" s="29" t="s">
        <v>206</v>
      </c>
      <c r="T390" s="29" t="s">
        <v>206</v>
      </c>
      <c r="U390" s="29" t="s">
        <v>206</v>
      </c>
      <c r="V390" s="28" t="s">
        <v>206</v>
      </c>
      <c r="W390" s="28" t="s">
        <v>206</v>
      </c>
      <c r="X390" s="28" t="s">
        <v>206</v>
      </c>
      <c r="Y390" s="28" t="s">
        <v>206</v>
      </c>
      <c r="Z390" s="20">
        <v>0.2608695652173913</v>
      </c>
      <c r="AA390" s="28" t="s">
        <v>194</v>
      </c>
      <c r="AB390" s="119">
        <v>0.16666666666666666</v>
      </c>
      <c r="AC390" s="28" t="s">
        <v>194</v>
      </c>
      <c r="AD390" s="149">
        <f>4/15</f>
        <v>0.26666666666666666</v>
      </c>
      <c r="AE390" s="28" t="s">
        <v>194</v>
      </c>
      <c r="AF390" s="149">
        <v>0.2857142857142857</v>
      </c>
      <c r="AG390" s="28" t="s">
        <v>194</v>
      </c>
      <c r="AH390" s="82">
        <v>0.375</v>
      </c>
      <c r="AI390" s="199" t="s">
        <v>150</v>
      </c>
      <c r="AJ390" s="291">
        <v>0.28504672897196259</v>
      </c>
      <c r="AK390" s="28" t="s">
        <v>194</v>
      </c>
    </row>
    <row r="391" spans="1:37" x14ac:dyDescent="0.25">
      <c r="A391" s="21" t="s">
        <v>109</v>
      </c>
      <c r="B391" s="5" t="s">
        <v>42</v>
      </c>
      <c r="C391" s="263" t="s">
        <v>501</v>
      </c>
      <c r="D391" s="26" t="s">
        <v>43</v>
      </c>
      <c r="E391" s="26" t="s">
        <v>145</v>
      </c>
      <c r="F391" s="26" t="s">
        <v>146</v>
      </c>
      <c r="G391" s="21" t="s">
        <v>156</v>
      </c>
      <c r="H391" s="44" t="s">
        <v>189</v>
      </c>
      <c r="I391" s="11">
        <v>0.15</v>
      </c>
      <c r="J391" s="29" t="s">
        <v>206</v>
      </c>
      <c r="K391" s="29" t="s">
        <v>206</v>
      </c>
      <c r="L391" s="29" t="s">
        <v>206</v>
      </c>
      <c r="M391" s="29" t="s">
        <v>206</v>
      </c>
      <c r="N391" s="29" t="s">
        <v>206</v>
      </c>
      <c r="O391" s="29" t="s">
        <v>206</v>
      </c>
      <c r="P391" s="29" t="s">
        <v>206</v>
      </c>
      <c r="Q391" s="29" t="s">
        <v>206</v>
      </c>
      <c r="R391" s="29" t="s">
        <v>206</v>
      </c>
      <c r="S391" s="29" t="s">
        <v>206</v>
      </c>
      <c r="T391" s="29" t="s">
        <v>206</v>
      </c>
      <c r="U391" s="29" t="s">
        <v>206</v>
      </c>
      <c r="V391" s="28" t="s">
        <v>206</v>
      </c>
      <c r="W391" s="28" t="s">
        <v>206</v>
      </c>
      <c r="X391" s="28" t="s">
        <v>206</v>
      </c>
      <c r="Y391" s="28" t="s">
        <v>206</v>
      </c>
      <c r="Z391" s="20">
        <v>0</v>
      </c>
      <c r="AA391" s="28" t="s">
        <v>150</v>
      </c>
      <c r="AB391" s="119">
        <v>0</v>
      </c>
      <c r="AC391" s="28" t="s">
        <v>150</v>
      </c>
      <c r="AD391" s="119">
        <f>1/18</f>
        <v>5.5555555555555552E-2</v>
      </c>
      <c r="AE391" s="28" t="s">
        <v>150</v>
      </c>
      <c r="AF391" s="255">
        <v>0</v>
      </c>
      <c r="AG391" s="199" t="s">
        <v>150</v>
      </c>
      <c r="AH391" s="255">
        <v>0</v>
      </c>
      <c r="AI391" s="199" t="s">
        <v>150</v>
      </c>
      <c r="AJ391" s="79">
        <v>9.3617021276595741E-2</v>
      </c>
      <c r="AK391" s="199" t="s">
        <v>150</v>
      </c>
    </row>
    <row r="392" spans="1:37" x14ac:dyDescent="0.25">
      <c r="A392" s="21" t="s">
        <v>109</v>
      </c>
      <c r="B392" s="5" t="s">
        <v>42</v>
      </c>
      <c r="C392" s="263" t="s">
        <v>501</v>
      </c>
      <c r="D392" s="26" t="s">
        <v>43</v>
      </c>
      <c r="E392" s="26" t="s">
        <v>145</v>
      </c>
      <c r="F392" s="26" t="s">
        <v>146</v>
      </c>
      <c r="G392" s="21" t="s">
        <v>156</v>
      </c>
      <c r="H392" s="44" t="s">
        <v>207</v>
      </c>
      <c r="I392" s="11">
        <v>0.2</v>
      </c>
      <c r="J392" s="29" t="s">
        <v>206</v>
      </c>
      <c r="K392" s="29" t="s">
        <v>206</v>
      </c>
      <c r="L392" s="29" t="s">
        <v>206</v>
      </c>
      <c r="M392" s="29" t="s">
        <v>206</v>
      </c>
      <c r="N392" s="29" t="s">
        <v>206</v>
      </c>
      <c r="O392" s="29" t="s">
        <v>206</v>
      </c>
      <c r="P392" s="29" t="s">
        <v>206</v>
      </c>
      <c r="Q392" s="29" t="s">
        <v>206</v>
      </c>
      <c r="R392" s="29" t="s">
        <v>206</v>
      </c>
      <c r="S392" s="29" t="s">
        <v>206</v>
      </c>
      <c r="T392" s="29" t="s">
        <v>206</v>
      </c>
      <c r="U392" s="29" t="s">
        <v>206</v>
      </c>
      <c r="V392" s="28" t="s">
        <v>206</v>
      </c>
      <c r="W392" s="28" t="s">
        <v>206</v>
      </c>
      <c r="X392" s="28" t="s">
        <v>206</v>
      </c>
      <c r="Y392" s="28" t="s">
        <v>206</v>
      </c>
      <c r="Z392" s="20">
        <v>0.30434782608695654</v>
      </c>
      <c r="AA392" s="28" t="s">
        <v>194</v>
      </c>
      <c r="AB392" s="119">
        <v>0.41666666666666669</v>
      </c>
      <c r="AC392" s="28" t="s">
        <v>194</v>
      </c>
      <c r="AD392" s="119">
        <f>1/15</f>
        <v>6.6666666666666666E-2</v>
      </c>
      <c r="AE392" s="28" t="s">
        <v>150</v>
      </c>
      <c r="AF392" s="119">
        <v>0.14285714285714285</v>
      </c>
      <c r="AG392" s="199" t="s">
        <v>150</v>
      </c>
      <c r="AH392" s="119">
        <v>0.125</v>
      </c>
      <c r="AI392" s="199" t="s">
        <v>150</v>
      </c>
      <c r="AJ392" s="82">
        <v>0.20560747663551401</v>
      </c>
      <c r="AK392" s="28" t="s">
        <v>194</v>
      </c>
    </row>
    <row r="393" spans="1:37" x14ac:dyDescent="0.25">
      <c r="A393" s="21" t="s">
        <v>109</v>
      </c>
      <c r="B393" s="5" t="s">
        <v>42</v>
      </c>
      <c r="C393" s="263" t="s">
        <v>501</v>
      </c>
      <c r="D393" s="26" t="s">
        <v>43</v>
      </c>
      <c r="E393" s="26" t="s">
        <v>145</v>
      </c>
      <c r="F393" s="21" t="s">
        <v>179</v>
      </c>
      <c r="G393" s="21" t="s">
        <v>147</v>
      </c>
      <c r="H393" s="77" t="s">
        <v>180</v>
      </c>
      <c r="I393" s="14" t="s">
        <v>275</v>
      </c>
      <c r="J393" s="29" t="s">
        <v>206</v>
      </c>
      <c r="K393" s="29" t="s">
        <v>206</v>
      </c>
      <c r="L393" s="29" t="s">
        <v>206</v>
      </c>
      <c r="M393" s="29" t="s">
        <v>206</v>
      </c>
      <c r="N393" s="29" t="s">
        <v>206</v>
      </c>
      <c r="O393" s="29" t="s">
        <v>206</v>
      </c>
      <c r="P393" s="29" t="s">
        <v>206</v>
      </c>
      <c r="Q393" s="29" t="s">
        <v>206</v>
      </c>
      <c r="R393" s="29" t="s">
        <v>206</v>
      </c>
      <c r="S393" s="29" t="s">
        <v>206</v>
      </c>
      <c r="T393" s="29" t="s">
        <v>206</v>
      </c>
      <c r="U393" s="29" t="s">
        <v>206</v>
      </c>
      <c r="V393" s="28" t="s">
        <v>206</v>
      </c>
      <c r="W393" s="28" t="s">
        <v>206</v>
      </c>
      <c r="X393" s="28" t="s">
        <v>206</v>
      </c>
      <c r="Y393" s="28" t="s">
        <v>206</v>
      </c>
      <c r="Z393" s="14" t="s">
        <v>500</v>
      </c>
      <c r="AA393" s="28" t="s">
        <v>150</v>
      </c>
      <c r="AB393" s="78">
        <v>121</v>
      </c>
      <c r="AC393" s="28" t="s">
        <v>150</v>
      </c>
      <c r="AD393" s="78">
        <v>86</v>
      </c>
      <c r="AE393" s="28" t="s">
        <v>150</v>
      </c>
      <c r="AF393" s="78">
        <v>91</v>
      </c>
      <c r="AG393" s="199" t="s">
        <v>150</v>
      </c>
      <c r="AH393" s="78">
        <v>79</v>
      </c>
      <c r="AI393" s="199" t="s">
        <v>150</v>
      </c>
      <c r="AJ393" s="274">
        <v>88</v>
      </c>
      <c r="AK393" s="199" t="s">
        <v>150</v>
      </c>
    </row>
    <row r="394" spans="1:37" x14ac:dyDescent="0.25">
      <c r="A394" s="21" t="s">
        <v>109</v>
      </c>
      <c r="B394" s="5" t="s">
        <v>42</v>
      </c>
      <c r="C394" s="263" t="s">
        <v>501</v>
      </c>
      <c r="D394" s="26" t="s">
        <v>43</v>
      </c>
      <c r="E394" s="26" t="s">
        <v>145</v>
      </c>
      <c r="F394" s="21" t="s">
        <v>179</v>
      </c>
      <c r="G394" s="21" t="s">
        <v>147</v>
      </c>
      <c r="H394" s="77" t="s">
        <v>188</v>
      </c>
      <c r="I394" s="16">
        <v>4.7222222222222221E-2</v>
      </c>
      <c r="J394" s="29" t="s">
        <v>206</v>
      </c>
      <c r="K394" s="29" t="s">
        <v>206</v>
      </c>
      <c r="L394" s="29" t="s">
        <v>206</v>
      </c>
      <c r="M394" s="29" t="s">
        <v>206</v>
      </c>
      <c r="N394" s="29" t="s">
        <v>206</v>
      </c>
      <c r="O394" s="29" t="s">
        <v>206</v>
      </c>
      <c r="P394" s="29" t="s">
        <v>206</v>
      </c>
      <c r="Q394" s="29" t="s">
        <v>206</v>
      </c>
      <c r="R394" s="29" t="s">
        <v>206</v>
      </c>
      <c r="S394" s="29" t="s">
        <v>206</v>
      </c>
      <c r="T394" s="29" t="s">
        <v>206</v>
      </c>
      <c r="U394" s="29" t="s">
        <v>206</v>
      </c>
      <c r="V394" s="28" t="s">
        <v>206</v>
      </c>
      <c r="W394" s="28" t="s">
        <v>206</v>
      </c>
      <c r="X394" s="28" t="s">
        <v>206</v>
      </c>
      <c r="Y394" s="28" t="s">
        <v>206</v>
      </c>
      <c r="Z394" s="74">
        <v>4.3749999999999997E-2</v>
      </c>
      <c r="AA394" s="28" t="s">
        <v>150</v>
      </c>
      <c r="AB394" s="122">
        <v>4.2361111111111113E-2</v>
      </c>
      <c r="AC394" s="28" t="s">
        <v>150</v>
      </c>
      <c r="AD394" s="141">
        <v>4.3055555555555555E-2</v>
      </c>
      <c r="AE394" s="28" t="s">
        <v>150</v>
      </c>
      <c r="AF394" s="122">
        <v>4.4444444444444446E-2</v>
      </c>
      <c r="AG394" s="199" t="s">
        <v>150</v>
      </c>
      <c r="AH394" s="101" t="s">
        <v>285</v>
      </c>
      <c r="AI394" s="28" t="s">
        <v>194</v>
      </c>
      <c r="AJ394" s="101" t="s">
        <v>284</v>
      </c>
      <c r="AK394" s="28" t="s">
        <v>194</v>
      </c>
    </row>
    <row r="395" spans="1:37" x14ac:dyDescent="0.25">
      <c r="A395" s="21" t="s">
        <v>109</v>
      </c>
      <c r="B395" s="5" t="s">
        <v>42</v>
      </c>
      <c r="C395" s="263" t="s">
        <v>501</v>
      </c>
      <c r="D395" s="26" t="s">
        <v>43</v>
      </c>
      <c r="E395" s="26" t="s">
        <v>145</v>
      </c>
      <c r="F395" s="21" t="s">
        <v>179</v>
      </c>
      <c r="G395" s="21" t="s">
        <v>147</v>
      </c>
      <c r="H395" s="77" t="s">
        <v>190</v>
      </c>
      <c r="I395" s="15">
        <v>0.85</v>
      </c>
      <c r="J395" s="29" t="s">
        <v>206</v>
      </c>
      <c r="K395" s="29" t="s">
        <v>206</v>
      </c>
      <c r="L395" s="29" t="s">
        <v>206</v>
      </c>
      <c r="M395" s="29" t="s">
        <v>206</v>
      </c>
      <c r="N395" s="29" t="s">
        <v>206</v>
      </c>
      <c r="O395" s="29" t="s">
        <v>206</v>
      </c>
      <c r="P395" s="29" t="s">
        <v>206</v>
      </c>
      <c r="Q395" s="29" t="s">
        <v>206</v>
      </c>
      <c r="R395" s="29" t="s">
        <v>206</v>
      </c>
      <c r="S395" s="29" t="s">
        <v>206</v>
      </c>
      <c r="T395" s="29" t="s">
        <v>206</v>
      </c>
      <c r="U395" s="29" t="s">
        <v>206</v>
      </c>
      <c r="V395" s="28" t="s">
        <v>206</v>
      </c>
      <c r="W395" s="28" t="s">
        <v>206</v>
      </c>
      <c r="X395" s="28" t="s">
        <v>206</v>
      </c>
      <c r="Y395" s="28" t="s">
        <v>206</v>
      </c>
      <c r="Z395" s="11">
        <v>0.26</v>
      </c>
      <c r="AA395" s="28" t="s">
        <v>194</v>
      </c>
      <c r="AB395" s="102">
        <v>0.14000000000000001</v>
      </c>
      <c r="AC395" s="28" t="s">
        <v>194</v>
      </c>
      <c r="AD395" s="102">
        <v>0.63</v>
      </c>
      <c r="AE395" s="28" t="s">
        <v>194</v>
      </c>
      <c r="AF395" s="102">
        <v>0.22</v>
      </c>
      <c r="AG395" s="28" t="s">
        <v>194</v>
      </c>
      <c r="AH395" s="102">
        <v>0.24</v>
      </c>
      <c r="AI395" s="28" t="s">
        <v>194</v>
      </c>
      <c r="AJ395" s="272">
        <v>0.28999999999999998</v>
      </c>
      <c r="AK395" s="28" t="s">
        <v>194</v>
      </c>
    </row>
    <row r="396" spans="1:37" x14ac:dyDescent="0.25">
      <c r="A396" s="21" t="s">
        <v>109</v>
      </c>
      <c r="B396" s="5" t="s">
        <v>42</v>
      </c>
      <c r="C396" s="263" t="s">
        <v>501</v>
      </c>
      <c r="D396" s="26" t="s">
        <v>43</v>
      </c>
      <c r="E396" s="26" t="s">
        <v>145</v>
      </c>
      <c r="F396" s="21" t="s">
        <v>179</v>
      </c>
      <c r="G396" s="21" t="s">
        <v>147</v>
      </c>
      <c r="H396" s="77" t="s">
        <v>186</v>
      </c>
      <c r="I396" s="15">
        <v>0.75</v>
      </c>
      <c r="J396" s="29" t="s">
        <v>206</v>
      </c>
      <c r="K396" s="29" t="s">
        <v>206</v>
      </c>
      <c r="L396" s="29" t="s">
        <v>206</v>
      </c>
      <c r="M396" s="29" t="s">
        <v>206</v>
      </c>
      <c r="N396" s="29" t="s">
        <v>206</v>
      </c>
      <c r="O396" s="29" t="s">
        <v>206</v>
      </c>
      <c r="P396" s="29" t="s">
        <v>206</v>
      </c>
      <c r="Q396" s="29" t="s">
        <v>206</v>
      </c>
      <c r="R396" s="29" t="s">
        <v>206</v>
      </c>
      <c r="S396" s="29" t="s">
        <v>206</v>
      </c>
      <c r="T396" s="29" t="s">
        <v>206</v>
      </c>
      <c r="U396" s="29" t="s">
        <v>206</v>
      </c>
      <c r="V396" s="28" t="s">
        <v>206</v>
      </c>
      <c r="W396" s="28" t="s">
        <v>206</v>
      </c>
      <c r="X396" s="28" t="s">
        <v>206</v>
      </c>
      <c r="Y396" s="28" t="s">
        <v>206</v>
      </c>
      <c r="Z396" s="11">
        <v>0.75</v>
      </c>
      <c r="AA396" s="28" t="s">
        <v>150</v>
      </c>
      <c r="AB396" s="83">
        <v>0.75</v>
      </c>
      <c r="AC396" s="28" t="s">
        <v>150</v>
      </c>
      <c r="AD396" s="102">
        <v>0.77</v>
      </c>
      <c r="AE396" s="28" t="s">
        <v>150</v>
      </c>
      <c r="AF396" s="140">
        <v>0.75</v>
      </c>
      <c r="AG396" s="199" t="s">
        <v>150</v>
      </c>
      <c r="AH396" s="102">
        <v>0.78</v>
      </c>
      <c r="AI396" s="199" t="s">
        <v>150</v>
      </c>
      <c r="AJ396" s="272">
        <v>0.75</v>
      </c>
      <c r="AK396" s="199" t="s">
        <v>150</v>
      </c>
    </row>
    <row r="397" spans="1:37" x14ac:dyDescent="0.25">
      <c r="A397" s="21" t="s">
        <v>109</v>
      </c>
      <c r="B397" s="5" t="s">
        <v>42</v>
      </c>
      <c r="C397" s="263" t="s">
        <v>501</v>
      </c>
      <c r="D397" s="26" t="s">
        <v>43</v>
      </c>
      <c r="E397" s="26" t="s">
        <v>145</v>
      </c>
      <c r="F397" s="26" t="s">
        <v>146</v>
      </c>
      <c r="G397" s="21" t="s">
        <v>156</v>
      </c>
      <c r="H397" s="44" t="s">
        <v>287</v>
      </c>
      <c r="I397" s="11">
        <v>0.8</v>
      </c>
      <c r="J397" s="29" t="s">
        <v>206</v>
      </c>
      <c r="K397" s="29" t="s">
        <v>206</v>
      </c>
      <c r="L397" s="29" t="s">
        <v>206</v>
      </c>
      <c r="M397" s="29" t="s">
        <v>206</v>
      </c>
      <c r="N397" s="29" t="s">
        <v>206</v>
      </c>
      <c r="O397" s="29" t="s">
        <v>206</v>
      </c>
      <c r="P397" s="29" t="s">
        <v>206</v>
      </c>
      <c r="Q397" s="29" t="s">
        <v>206</v>
      </c>
      <c r="R397" s="29" t="s">
        <v>206</v>
      </c>
      <c r="S397" s="29" t="s">
        <v>206</v>
      </c>
      <c r="T397" s="29" t="s">
        <v>206</v>
      </c>
      <c r="U397" s="29" t="s">
        <v>206</v>
      </c>
      <c r="V397" s="28" t="s">
        <v>206</v>
      </c>
      <c r="W397" s="28" t="s">
        <v>206</v>
      </c>
      <c r="X397" s="28" t="s">
        <v>206</v>
      </c>
      <c r="Y397" s="28" t="s">
        <v>206</v>
      </c>
      <c r="Z397" s="50">
        <v>0.86956521739130432</v>
      </c>
      <c r="AA397" s="28" t="s">
        <v>150</v>
      </c>
      <c r="AB397" s="102">
        <v>0.75</v>
      </c>
      <c r="AC397" s="28" t="s">
        <v>194</v>
      </c>
      <c r="AD397" s="102">
        <v>0.87</v>
      </c>
      <c r="AE397" s="28" t="s">
        <v>150</v>
      </c>
      <c r="AF397" s="119">
        <v>0.9285714285714286</v>
      </c>
      <c r="AG397" s="199" t="s">
        <v>150</v>
      </c>
      <c r="AH397" s="102">
        <v>1</v>
      </c>
      <c r="AI397" s="199" t="s">
        <v>150</v>
      </c>
      <c r="AJ397" s="119">
        <v>0.87</v>
      </c>
      <c r="AK397" s="199" t="s">
        <v>150</v>
      </c>
    </row>
    <row r="398" spans="1:37" x14ac:dyDescent="0.25">
      <c r="A398" s="21" t="s">
        <v>109</v>
      </c>
      <c r="B398" s="5" t="s">
        <v>42</v>
      </c>
      <c r="C398" s="263" t="s">
        <v>501</v>
      </c>
      <c r="D398" s="26" t="s">
        <v>43</v>
      </c>
      <c r="E398" s="26" t="s">
        <v>145</v>
      </c>
      <c r="F398" s="26" t="s">
        <v>146</v>
      </c>
      <c r="G398" s="21" t="s">
        <v>156</v>
      </c>
      <c r="H398" s="44" t="s">
        <v>288</v>
      </c>
      <c r="I398" s="11">
        <v>0.05</v>
      </c>
      <c r="J398" s="29" t="s">
        <v>206</v>
      </c>
      <c r="K398" s="29" t="s">
        <v>206</v>
      </c>
      <c r="L398" s="29" t="s">
        <v>206</v>
      </c>
      <c r="M398" s="29" t="s">
        <v>206</v>
      </c>
      <c r="N398" s="29" t="s">
        <v>206</v>
      </c>
      <c r="O398" s="29" t="s">
        <v>206</v>
      </c>
      <c r="P398" s="29" t="s">
        <v>206</v>
      </c>
      <c r="Q398" s="29" t="s">
        <v>206</v>
      </c>
      <c r="R398" s="29" t="s">
        <v>206</v>
      </c>
      <c r="S398" s="29" t="s">
        <v>206</v>
      </c>
      <c r="T398" s="29" t="s">
        <v>206</v>
      </c>
      <c r="U398" s="29" t="s">
        <v>206</v>
      </c>
      <c r="V398" s="28" t="s">
        <v>206</v>
      </c>
      <c r="W398" s="28" t="s">
        <v>206</v>
      </c>
      <c r="X398" s="28" t="s">
        <v>206</v>
      </c>
      <c r="Y398" s="28" t="s">
        <v>206</v>
      </c>
      <c r="Z398" s="20">
        <v>0</v>
      </c>
      <c r="AA398" s="28" t="s">
        <v>150</v>
      </c>
      <c r="AB398" s="102">
        <v>0</v>
      </c>
      <c r="AC398" s="28" t="s">
        <v>150</v>
      </c>
      <c r="AD398" s="102">
        <v>0</v>
      </c>
      <c r="AE398" s="28" t="s">
        <v>150</v>
      </c>
      <c r="AF398" s="119">
        <v>0</v>
      </c>
      <c r="AG398" s="199" t="s">
        <v>150</v>
      </c>
      <c r="AH398" s="102">
        <v>0</v>
      </c>
      <c r="AI398" s="199" t="s">
        <v>150</v>
      </c>
      <c r="AJ398" s="82">
        <v>0</v>
      </c>
      <c r="AK398" s="199" t="s">
        <v>150</v>
      </c>
    </row>
    <row r="399" spans="1:37" x14ac:dyDescent="0.25">
      <c r="A399" s="21" t="s">
        <v>88</v>
      </c>
      <c r="B399" s="5" t="s">
        <v>42</v>
      </c>
      <c r="C399" s="263" t="s">
        <v>501</v>
      </c>
      <c r="D399" s="26" t="s">
        <v>43</v>
      </c>
      <c r="E399" s="26" t="s">
        <v>191</v>
      </c>
      <c r="F399" s="21" t="s">
        <v>179</v>
      </c>
      <c r="G399" s="21" t="s">
        <v>147</v>
      </c>
      <c r="H399" s="26" t="s">
        <v>180</v>
      </c>
      <c r="I399" s="11" t="s">
        <v>218</v>
      </c>
      <c r="J399" s="11" t="s">
        <v>195</v>
      </c>
      <c r="K399" s="28" t="s">
        <v>195</v>
      </c>
      <c r="L399" s="11" t="s">
        <v>195</v>
      </c>
      <c r="M399" s="28" t="s">
        <v>195</v>
      </c>
      <c r="N399" s="11" t="s">
        <v>195</v>
      </c>
      <c r="O399" s="28" t="s">
        <v>195</v>
      </c>
      <c r="P399" s="11" t="s">
        <v>195</v>
      </c>
      <c r="Q399" s="28" t="s">
        <v>195</v>
      </c>
      <c r="R399" s="28" t="s">
        <v>195</v>
      </c>
      <c r="S399" s="28" t="s">
        <v>196</v>
      </c>
      <c r="T399" s="11" t="s">
        <v>366</v>
      </c>
      <c r="U399" s="28" t="s">
        <v>150</v>
      </c>
      <c r="V399" s="17" t="s">
        <v>295</v>
      </c>
      <c r="W399" s="28" t="s">
        <v>150</v>
      </c>
      <c r="X399" s="17" t="s">
        <v>280</v>
      </c>
      <c r="Y399" s="28" t="s">
        <v>194</v>
      </c>
      <c r="Z399" s="17" t="s">
        <v>484</v>
      </c>
      <c r="AA399" s="28" t="s">
        <v>150</v>
      </c>
      <c r="AB399" s="17">
        <v>90</v>
      </c>
      <c r="AC399" s="28" t="s">
        <v>150</v>
      </c>
      <c r="AD399" s="93">
        <v>90</v>
      </c>
      <c r="AE399" s="28" t="s">
        <v>150</v>
      </c>
      <c r="AF399" s="93">
        <v>54</v>
      </c>
      <c r="AG399" s="199" t="s">
        <v>150</v>
      </c>
      <c r="AH399" s="93">
        <v>79</v>
      </c>
      <c r="AI399" s="199" t="s">
        <v>150</v>
      </c>
      <c r="AJ399" s="93">
        <v>87</v>
      </c>
      <c r="AK399" s="199" t="s">
        <v>150</v>
      </c>
    </row>
    <row r="400" spans="1:37" x14ac:dyDescent="0.25">
      <c r="A400" s="21" t="s">
        <v>88</v>
      </c>
      <c r="B400" s="5" t="s">
        <v>42</v>
      </c>
      <c r="C400" s="263" t="s">
        <v>501</v>
      </c>
      <c r="D400" s="26" t="s">
        <v>43</v>
      </c>
      <c r="E400" s="26" t="s">
        <v>191</v>
      </c>
      <c r="F400" s="21" t="s">
        <v>179</v>
      </c>
      <c r="G400" s="21" t="s">
        <v>147</v>
      </c>
      <c r="H400" s="26" t="s">
        <v>197</v>
      </c>
      <c r="I400" s="11" t="s">
        <v>306</v>
      </c>
      <c r="J400" s="11" t="s">
        <v>195</v>
      </c>
      <c r="K400" s="28" t="s">
        <v>195</v>
      </c>
      <c r="L400" s="11" t="s">
        <v>195</v>
      </c>
      <c r="M400" s="28" t="s">
        <v>195</v>
      </c>
      <c r="N400" s="11" t="s">
        <v>195</v>
      </c>
      <c r="O400" s="28" t="s">
        <v>195</v>
      </c>
      <c r="P400" s="11" t="s">
        <v>195</v>
      </c>
      <c r="Q400" s="28" t="s">
        <v>195</v>
      </c>
      <c r="R400" s="28" t="s">
        <v>195</v>
      </c>
      <c r="S400" s="28" t="s">
        <v>196</v>
      </c>
      <c r="T400" s="11" t="s">
        <v>216</v>
      </c>
      <c r="U400" s="28" t="s">
        <v>150</v>
      </c>
      <c r="V400" s="17" t="s">
        <v>416</v>
      </c>
      <c r="W400" s="28" t="s">
        <v>150</v>
      </c>
      <c r="X400" s="17" t="s">
        <v>485</v>
      </c>
      <c r="Y400" s="28" t="s">
        <v>150</v>
      </c>
      <c r="Z400" s="17" t="s">
        <v>181</v>
      </c>
      <c r="AA400" s="28" t="s">
        <v>150</v>
      </c>
      <c r="AB400" s="17">
        <v>35</v>
      </c>
      <c r="AC400" s="28" t="s">
        <v>150</v>
      </c>
      <c r="AD400" s="93">
        <v>37</v>
      </c>
      <c r="AE400" s="28" t="s">
        <v>150</v>
      </c>
      <c r="AF400" s="93">
        <v>33</v>
      </c>
      <c r="AG400" s="199" t="s">
        <v>150</v>
      </c>
      <c r="AH400" s="93">
        <v>53</v>
      </c>
      <c r="AI400" s="199" t="s">
        <v>150</v>
      </c>
      <c r="AJ400" s="93">
        <v>50</v>
      </c>
      <c r="AK400" s="199" t="s">
        <v>150</v>
      </c>
    </row>
    <row r="401" spans="1:37" x14ac:dyDescent="0.25">
      <c r="A401" s="21" t="s">
        <v>88</v>
      </c>
      <c r="B401" s="5" t="s">
        <v>42</v>
      </c>
      <c r="C401" s="263" t="s">
        <v>501</v>
      </c>
      <c r="D401" s="26" t="s">
        <v>43</v>
      </c>
      <c r="E401" s="26" t="s">
        <v>191</v>
      </c>
      <c r="F401" s="21" t="s">
        <v>179</v>
      </c>
      <c r="G401" s="21" t="s">
        <v>147</v>
      </c>
      <c r="H401" s="26" t="s">
        <v>207</v>
      </c>
      <c r="I401" s="11">
        <v>0.2</v>
      </c>
      <c r="J401" s="11" t="s">
        <v>195</v>
      </c>
      <c r="K401" s="28" t="s">
        <v>195</v>
      </c>
      <c r="L401" s="11" t="s">
        <v>195</v>
      </c>
      <c r="M401" s="28" t="s">
        <v>195</v>
      </c>
      <c r="N401" s="11" t="s">
        <v>195</v>
      </c>
      <c r="O401" s="28" t="s">
        <v>195</v>
      </c>
      <c r="P401" s="11" t="s">
        <v>195</v>
      </c>
      <c r="Q401" s="28" t="s">
        <v>195</v>
      </c>
      <c r="R401" s="28" t="s">
        <v>195</v>
      </c>
      <c r="S401" s="28" t="s">
        <v>196</v>
      </c>
      <c r="T401" s="11">
        <v>0.41</v>
      </c>
      <c r="U401" s="28" t="s">
        <v>194</v>
      </c>
      <c r="V401" s="18">
        <v>0.41</v>
      </c>
      <c r="W401" s="28" t="s">
        <v>194</v>
      </c>
      <c r="X401" s="18">
        <v>0.41</v>
      </c>
      <c r="Y401" s="28" t="s">
        <v>194</v>
      </c>
      <c r="Z401" s="18">
        <v>0.5</v>
      </c>
      <c r="AA401" s="28" t="s">
        <v>194</v>
      </c>
      <c r="AB401" s="18">
        <v>0.23</v>
      </c>
      <c r="AC401" s="28" t="s">
        <v>194</v>
      </c>
      <c r="AD401" s="96">
        <v>0.47</v>
      </c>
      <c r="AE401" s="28" t="s">
        <v>194</v>
      </c>
      <c r="AF401" s="96">
        <v>0.5</v>
      </c>
      <c r="AG401" s="28" t="s">
        <v>194</v>
      </c>
      <c r="AH401" s="96">
        <v>0.08</v>
      </c>
      <c r="AI401" s="199" t="s">
        <v>150</v>
      </c>
      <c r="AJ401" s="96">
        <v>0.08</v>
      </c>
      <c r="AK401" s="199" t="s">
        <v>150</v>
      </c>
    </row>
    <row r="402" spans="1:37" x14ac:dyDescent="0.25">
      <c r="A402" s="21" t="s">
        <v>88</v>
      </c>
      <c r="B402" s="5" t="s">
        <v>42</v>
      </c>
      <c r="C402" s="263" t="s">
        <v>501</v>
      </c>
      <c r="D402" s="26" t="s">
        <v>43</v>
      </c>
      <c r="E402" s="26" t="s">
        <v>191</v>
      </c>
      <c r="F402" s="21" t="s">
        <v>179</v>
      </c>
      <c r="G402" s="21" t="s">
        <v>147</v>
      </c>
      <c r="H402" s="26" t="s">
        <v>186</v>
      </c>
      <c r="I402" s="11">
        <v>0.5</v>
      </c>
      <c r="J402" s="11" t="s">
        <v>195</v>
      </c>
      <c r="K402" s="28" t="s">
        <v>195</v>
      </c>
      <c r="L402" s="11" t="s">
        <v>195</v>
      </c>
      <c r="M402" s="28" t="s">
        <v>195</v>
      </c>
      <c r="N402" s="11" t="s">
        <v>195</v>
      </c>
      <c r="O402" s="28" t="s">
        <v>195</v>
      </c>
      <c r="P402" s="11" t="s">
        <v>195</v>
      </c>
      <c r="Q402" s="28" t="s">
        <v>195</v>
      </c>
      <c r="R402" s="28" t="s">
        <v>195</v>
      </c>
      <c r="S402" s="28" t="s">
        <v>196</v>
      </c>
      <c r="T402" s="11">
        <v>0.79</v>
      </c>
      <c r="U402" s="28" t="s">
        <v>150</v>
      </c>
      <c r="V402" s="18">
        <v>0.72</v>
      </c>
      <c r="W402" s="28" t="s">
        <v>150</v>
      </c>
      <c r="X402" s="18">
        <v>0.7</v>
      </c>
      <c r="Y402" s="28" t="s">
        <v>150</v>
      </c>
      <c r="Z402" s="18">
        <v>0.8</v>
      </c>
      <c r="AA402" s="28" t="s">
        <v>150</v>
      </c>
      <c r="AB402" s="18">
        <v>0.83</v>
      </c>
      <c r="AC402" s="28" t="s">
        <v>150</v>
      </c>
      <c r="AD402" s="96">
        <v>0.83</v>
      </c>
      <c r="AE402" s="28" t="s">
        <v>150</v>
      </c>
      <c r="AF402" s="96">
        <v>0.83</v>
      </c>
      <c r="AG402" s="199" t="s">
        <v>150</v>
      </c>
      <c r="AH402" s="96">
        <v>0.83</v>
      </c>
      <c r="AI402" s="199" t="s">
        <v>150</v>
      </c>
      <c r="AJ402" s="96">
        <v>0.77</v>
      </c>
      <c r="AK402" s="199" t="s">
        <v>150</v>
      </c>
    </row>
    <row r="403" spans="1:37" x14ac:dyDescent="0.25">
      <c r="A403" s="21" t="s">
        <v>88</v>
      </c>
      <c r="B403" s="5" t="s">
        <v>42</v>
      </c>
      <c r="C403" s="263" t="s">
        <v>501</v>
      </c>
      <c r="D403" s="26" t="s">
        <v>43</v>
      </c>
      <c r="E403" s="26" t="s">
        <v>191</v>
      </c>
      <c r="F403" s="21" t="s">
        <v>179</v>
      </c>
      <c r="G403" s="21" t="s">
        <v>147</v>
      </c>
      <c r="H403" s="26" t="s">
        <v>188</v>
      </c>
      <c r="I403" s="11">
        <v>0.05</v>
      </c>
      <c r="J403" s="11" t="s">
        <v>195</v>
      </c>
      <c r="K403" s="28" t="s">
        <v>195</v>
      </c>
      <c r="L403" s="11" t="s">
        <v>195</v>
      </c>
      <c r="M403" s="28" t="s">
        <v>195</v>
      </c>
      <c r="N403" s="11" t="s">
        <v>195</v>
      </c>
      <c r="O403" s="28" t="s">
        <v>195</v>
      </c>
      <c r="P403" s="11" t="s">
        <v>195</v>
      </c>
      <c r="Q403" s="28" t="s">
        <v>195</v>
      </c>
      <c r="R403" s="28" t="s">
        <v>195</v>
      </c>
      <c r="S403" s="28" t="s">
        <v>196</v>
      </c>
      <c r="T403" s="16">
        <v>4.6527777777777779E-2</v>
      </c>
      <c r="U403" s="28" t="s">
        <v>150</v>
      </c>
      <c r="V403" s="70">
        <v>4.791666666666667E-2</v>
      </c>
      <c r="W403" s="28" t="s">
        <v>150</v>
      </c>
      <c r="X403" s="70">
        <v>4.7222222222222221E-2</v>
      </c>
      <c r="Y403" s="28" t="s">
        <v>150</v>
      </c>
      <c r="Z403" s="18">
        <v>0.16</v>
      </c>
      <c r="AA403" s="28" t="s">
        <v>150</v>
      </c>
      <c r="AB403" s="70">
        <v>4.583333333333333E-2</v>
      </c>
      <c r="AC403" s="28" t="s">
        <v>150</v>
      </c>
      <c r="AD403" s="150">
        <v>4.5138888888888888E-2</v>
      </c>
      <c r="AE403" s="28" t="s">
        <v>150</v>
      </c>
      <c r="AF403" s="150">
        <v>4.583333333333333E-2</v>
      </c>
      <c r="AG403" s="199" t="s">
        <v>150</v>
      </c>
      <c r="AH403" s="292" t="s">
        <v>574</v>
      </c>
      <c r="AI403" s="28" t="s">
        <v>194</v>
      </c>
      <c r="AJ403" s="292" t="s">
        <v>572</v>
      </c>
      <c r="AK403" s="28" t="s">
        <v>194</v>
      </c>
    </row>
    <row r="404" spans="1:37" x14ac:dyDescent="0.25">
      <c r="A404" s="21" t="s">
        <v>88</v>
      </c>
      <c r="B404" s="5" t="s">
        <v>42</v>
      </c>
      <c r="C404" s="263" t="s">
        <v>501</v>
      </c>
      <c r="D404" s="26" t="s">
        <v>43</v>
      </c>
      <c r="E404" s="26" t="s">
        <v>191</v>
      </c>
      <c r="F404" s="21" t="s">
        <v>179</v>
      </c>
      <c r="G404" s="21" t="s">
        <v>147</v>
      </c>
      <c r="H404" s="26" t="s">
        <v>189</v>
      </c>
      <c r="I404" s="11">
        <v>0.2</v>
      </c>
      <c r="J404" s="11" t="s">
        <v>195</v>
      </c>
      <c r="K404" s="28" t="s">
        <v>195</v>
      </c>
      <c r="L404" s="11" t="s">
        <v>195</v>
      </c>
      <c r="M404" s="28" t="s">
        <v>195</v>
      </c>
      <c r="N404" s="11" t="s">
        <v>195</v>
      </c>
      <c r="O404" s="28" t="s">
        <v>195</v>
      </c>
      <c r="P404" s="11" t="s">
        <v>195</v>
      </c>
      <c r="Q404" s="28" t="s">
        <v>195</v>
      </c>
      <c r="R404" s="28" t="s">
        <v>195</v>
      </c>
      <c r="S404" s="28" t="s">
        <v>196</v>
      </c>
      <c r="T404" s="11">
        <v>0.11</v>
      </c>
      <c r="U404" s="28" t="s">
        <v>150</v>
      </c>
      <c r="V404" s="18">
        <v>0.08</v>
      </c>
      <c r="W404" s="28" t="s">
        <v>150</v>
      </c>
      <c r="X404" s="18">
        <v>9.6000000000000002E-2</v>
      </c>
      <c r="Y404" s="28" t="s">
        <v>150</v>
      </c>
      <c r="Z404" s="18">
        <v>0.33</v>
      </c>
      <c r="AA404" s="28" t="s">
        <v>194</v>
      </c>
      <c r="AB404" s="18">
        <v>0.2</v>
      </c>
      <c r="AC404" s="28" t="s">
        <v>150</v>
      </c>
      <c r="AD404" s="111">
        <v>0.11</v>
      </c>
      <c r="AE404" s="28" t="s">
        <v>150</v>
      </c>
      <c r="AF404" s="111">
        <v>0.16</v>
      </c>
      <c r="AG404" s="199" t="s">
        <v>150</v>
      </c>
      <c r="AH404" s="111">
        <v>0.08</v>
      </c>
      <c r="AI404" s="199" t="s">
        <v>150</v>
      </c>
      <c r="AJ404" s="96">
        <v>0.19</v>
      </c>
      <c r="AK404" s="199" t="s">
        <v>150</v>
      </c>
    </row>
    <row r="405" spans="1:37" x14ac:dyDescent="0.25">
      <c r="A405" s="21" t="s">
        <v>87</v>
      </c>
      <c r="B405" s="5" t="s">
        <v>42</v>
      </c>
      <c r="C405" s="263" t="s">
        <v>501</v>
      </c>
      <c r="D405" s="26" t="s">
        <v>43</v>
      </c>
      <c r="E405" s="26" t="s">
        <v>191</v>
      </c>
      <c r="F405" s="21" t="s">
        <v>179</v>
      </c>
      <c r="G405" s="21" t="s">
        <v>147</v>
      </c>
      <c r="H405" s="26" t="s">
        <v>180</v>
      </c>
      <c r="I405" s="11" t="s">
        <v>208</v>
      </c>
      <c r="J405" s="9" t="s">
        <v>323</v>
      </c>
      <c r="K405" s="28" t="s">
        <v>150</v>
      </c>
      <c r="L405" s="28" t="s">
        <v>271</v>
      </c>
      <c r="M405" s="28" t="s">
        <v>150</v>
      </c>
      <c r="N405" s="9" t="s">
        <v>282</v>
      </c>
      <c r="O405" s="28" t="s">
        <v>150</v>
      </c>
      <c r="P405" s="9" t="s">
        <v>478</v>
      </c>
      <c r="Q405" s="28" t="s">
        <v>150</v>
      </c>
      <c r="R405" s="9" t="s">
        <v>479</v>
      </c>
      <c r="S405" s="28" t="s">
        <v>194</v>
      </c>
      <c r="T405" s="9" t="s">
        <v>480</v>
      </c>
      <c r="U405" s="28" t="s">
        <v>150</v>
      </c>
      <c r="V405" s="28" t="s">
        <v>195</v>
      </c>
      <c r="W405" s="28" t="s">
        <v>195</v>
      </c>
      <c r="X405" s="28" t="s">
        <v>195</v>
      </c>
      <c r="Y405" s="28" t="s">
        <v>195</v>
      </c>
      <c r="Z405" s="9" t="s">
        <v>481</v>
      </c>
      <c r="AA405" s="28" t="s">
        <v>194</v>
      </c>
      <c r="AB405" s="117">
        <v>135</v>
      </c>
      <c r="AC405" s="28" t="s">
        <v>194</v>
      </c>
      <c r="AD405" s="151">
        <v>112</v>
      </c>
      <c r="AE405" s="28" t="s">
        <v>194</v>
      </c>
      <c r="AF405" s="157">
        <v>44</v>
      </c>
      <c r="AG405" s="199" t="s">
        <v>150</v>
      </c>
      <c r="AH405" s="282">
        <v>118</v>
      </c>
      <c r="AI405" s="28" t="s">
        <v>194</v>
      </c>
      <c r="AJ405" s="282">
        <v>88</v>
      </c>
      <c r="AK405" s="199" t="s">
        <v>150</v>
      </c>
    </row>
    <row r="406" spans="1:37" x14ac:dyDescent="0.25">
      <c r="A406" s="21" t="s">
        <v>87</v>
      </c>
      <c r="B406" s="5" t="s">
        <v>42</v>
      </c>
      <c r="C406" s="263" t="s">
        <v>501</v>
      </c>
      <c r="D406" s="26" t="s">
        <v>43</v>
      </c>
      <c r="E406" s="26" t="s">
        <v>191</v>
      </c>
      <c r="F406" s="21" t="s">
        <v>179</v>
      </c>
      <c r="G406" s="21" t="s">
        <v>147</v>
      </c>
      <c r="H406" s="26" t="s">
        <v>197</v>
      </c>
      <c r="I406" s="11" t="s">
        <v>365</v>
      </c>
      <c r="J406" s="14" t="s">
        <v>395</v>
      </c>
      <c r="K406" s="28" t="s">
        <v>150</v>
      </c>
      <c r="L406" s="28" t="s">
        <v>206</v>
      </c>
      <c r="M406" s="15" t="s">
        <v>154</v>
      </c>
      <c r="N406" s="14" t="s">
        <v>268</v>
      </c>
      <c r="O406" s="28" t="s">
        <v>150</v>
      </c>
      <c r="P406" s="14" t="s">
        <v>266</v>
      </c>
      <c r="Q406" s="28" t="s">
        <v>150</v>
      </c>
      <c r="R406" s="14" t="s">
        <v>365</v>
      </c>
      <c r="S406" s="28" t="s">
        <v>150</v>
      </c>
      <c r="T406" s="14" t="s">
        <v>482</v>
      </c>
      <c r="U406" s="28" t="s">
        <v>194</v>
      </c>
      <c r="V406" s="28" t="s">
        <v>195</v>
      </c>
      <c r="W406" s="28" t="s">
        <v>195</v>
      </c>
      <c r="X406" s="28" t="s">
        <v>195</v>
      </c>
      <c r="Y406" s="28" t="s">
        <v>195</v>
      </c>
      <c r="Z406" s="14" t="s">
        <v>483</v>
      </c>
      <c r="AA406" s="28" t="s">
        <v>150</v>
      </c>
      <c r="AB406" s="6">
        <v>59</v>
      </c>
      <c r="AC406" s="28" t="s">
        <v>150</v>
      </c>
      <c r="AD406" s="152">
        <v>33</v>
      </c>
      <c r="AE406" s="28" t="s">
        <v>150</v>
      </c>
      <c r="AF406" s="147">
        <v>57</v>
      </c>
      <c r="AG406" s="199" t="s">
        <v>150</v>
      </c>
      <c r="AH406" s="274">
        <v>58</v>
      </c>
      <c r="AI406" s="199" t="s">
        <v>150</v>
      </c>
      <c r="AJ406" s="274">
        <v>47</v>
      </c>
      <c r="AK406" s="199" t="s">
        <v>150</v>
      </c>
    </row>
    <row r="407" spans="1:37" x14ac:dyDescent="0.25">
      <c r="A407" s="21" t="s">
        <v>87</v>
      </c>
      <c r="B407" s="5" t="s">
        <v>42</v>
      </c>
      <c r="C407" s="263" t="s">
        <v>501</v>
      </c>
      <c r="D407" s="26" t="s">
        <v>43</v>
      </c>
      <c r="E407" s="26" t="s">
        <v>191</v>
      </c>
      <c r="F407" s="21" t="s">
        <v>179</v>
      </c>
      <c r="G407" s="21" t="s">
        <v>147</v>
      </c>
      <c r="H407" s="26" t="s">
        <v>207</v>
      </c>
      <c r="I407" s="11">
        <v>0.2</v>
      </c>
      <c r="J407" s="15">
        <v>0.45</v>
      </c>
      <c r="K407" s="28" t="s">
        <v>194</v>
      </c>
      <c r="L407" s="15">
        <v>0.93939393939393945</v>
      </c>
      <c r="M407" s="28" t="s">
        <v>194</v>
      </c>
      <c r="N407" s="15">
        <v>0.75961538461538458</v>
      </c>
      <c r="O407" s="28" t="s">
        <v>194</v>
      </c>
      <c r="P407" s="15">
        <v>0.75961538461538458</v>
      </c>
      <c r="Q407" s="28" t="s">
        <v>194</v>
      </c>
      <c r="R407" s="15">
        <v>0.75961538461538458</v>
      </c>
      <c r="S407" s="28" t="s">
        <v>194</v>
      </c>
      <c r="T407" s="15">
        <v>0.90909090909090906</v>
      </c>
      <c r="U407" s="28" t="s">
        <v>194</v>
      </c>
      <c r="V407" s="28" t="s">
        <v>195</v>
      </c>
      <c r="W407" s="28" t="s">
        <v>195</v>
      </c>
      <c r="X407" s="28" t="s">
        <v>195</v>
      </c>
      <c r="Y407" s="28" t="s">
        <v>195</v>
      </c>
      <c r="Z407" s="20">
        <v>0.32</v>
      </c>
      <c r="AA407" s="28" t="s">
        <v>194</v>
      </c>
      <c r="AB407" s="118">
        <v>0.43283582089552236</v>
      </c>
      <c r="AC407" s="28" t="s">
        <v>194</v>
      </c>
      <c r="AD407" s="153">
        <f>22/56</f>
        <v>0.39285714285714285</v>
      </c>
      <c r="AE407" s="28" t="s">
        <v>194</v>
      </c>
      <c r="AF407" s="153">
        <v>0.67</v>
      </c>
      <c r="AG407" s="28" t="s">
        <v>194</v>
      </c>
      <c r="AH407" s="82">
        <v>0.67</v>
      </c>
      <c r="AI407" s="28" t="s">
        <v>194</v>
      </c>
      <c r="AJ407" s="82">
        <v>0.67</v>
      </c>
      <c r="AK407" s="28" t="s">
        <v>194</v>
      </c>
    </row>
    <row r="408" spans="1:37" x14ac:dyDescent="0.25">
      <c r="A408" s="21" t="s">
        <v>87</v>
      </c>
      <c r="B408" s="5" t="s">
        <v>42</v>
      </c>
      <c r="C408" s="263" t="s">
        <v>501</v>
      </c>
      <c r="D408" s="26" t="s">
        <v>43</v>
      </c>
      <c r="E408" s="26" t="s">
        <v>191</v>
      </c>
      <c r="F408" s="21" t="s">
        <v>179</v>
      </c>
      <c r="G408" s="21" t="s">
        <v>147</v>
      </c>
      <c r="H408" s="26" t="s">
        <v>186</v>
      </c>
      <c r="I408" s="11">
        <v>0.7</v>
      </c>
      <c r="J408" s="36">
        <v>0.52892561983471076</v>
      </c>
      <c r="K408" s="28" t="s">
        <v>194</v>
      </c>
      <c r="L408" s="36">
        <v>0.51219512195121952</v>
      </c>
      <c r="M408" s="28" t="s">
        <v>194</v>
      </c>
      <c r="N408" s="36">
        <v>0.46808510638297873</v>
      </c>
      <c r="O408" s="28" t="s">
        <v>194</v>
      </c>
      <c r="P408" s="36">
        <v>0.51196172248803828</v>
      </c>
      <c r="Q408" s="28" t="s">
        <v>194</v>
      </c>
      <c r="R408" s="36">
        <v>0.48638132295719844</v>
      </c>
      <c r="S408" s="28" t="s">
        <v>194</v>
      </c>
      <c r="T408" s="36">
        <v>0.57692307692307687</v>
      </c>
      <c r="U408" s="28" t="s">
        <v>194</v>
      </c>
      <c r="V408" s="28" t="s">
        <v>195</v>
      </c>
      <c r="W408" s="28" t="s">
        <v>195</v>
      </c>
      <c r="X408" s="28" t="s">
        <v>195</v>
      </c>
      <c r="Y408" s="28" t="s">
        <v>195</v>
      </c>
      <c r="Z408" s="50">
        <v>0.53260869565217395</v>
      </c>
      <c r="AA408" s="28" t="s">
        <v>194</v>
      </c>
      <c r="AB408" s="119">
        <v>0.5374149659863946</v>
      </c>
      <c r="AC408" s="28" t="s">
        <v>194</v>
      </c>
      <c r="AD408" s="119">
        <f>117/175</f>
        <v>0.66857142857142859</v>
      </c>
      <c r="AE408" s="28" t="s">
        <v>194</v>
      </c>
      <c r="AF408" s="119">
        <f>98/155</f>
        <v>0.63225806451612898</v>
      </c>
      <c r="AG408" s="28" t="s">
        <v>194</v>
      </c>
      <c r="AH408" s="119">
        <v>0.60139860139860135</v>
      </c>
      <c r="AI408" s="28" t="s">
        <v>194</v>
      </c>
      <c r="AJ408" s="119">
        <v>0.55000000000000004</v>
      </c>
      <c r="AK408" s="28" t="s">
        <v>194</v>
      </c>
    </row>
    <row r="409" spans="1:37" x14ac:dyDescent="0.25">
      <c r="A409" s="21" t="s">
        <v>87</v>
      </c>
      <c r="B409" s="5" t="s">
        <v>42</v>
      </c>
      <c r="C409" s="263" t="s">
        <v>501</v>
      </c>
      <c r="D409" s="26" t="s">
        <v>43</v>
      </c>
      <c r="E409" s="26" t="s">
        <v>191</v>
      </c>
      <c r="F409" s="21" t="s">
        <v>179</v>
      </c>
      <c r="G409" s="21" t="s">
        <v>147</v>
      </c>
      <c r="H409" s="26" t="s">
        <v>188</v>
      </c>
      <c r="I409" s="11">
        <v>0.7</v>
      </c>
      <c r="J409" s="15">
        <v>3.3057851239669422E-2</v>
      </c>
      <c r="K409" s="28" t="s">
        <v>194</v>
      </c>
      <c r="L409" s="15">
        <v>0.17073170731707318</v>
      </c>
      <c r="M409" s="28" t="s">
        <v>194</v>
      </c>
      <c r="N409" s="15">
        <v>0.10638297872340426</v>
      </c>
      <c r="O409" s="28" t="s">
        <v>194</v>
      </c>
      <c r="P409" s="15">
        <v>7.6555023923444973E-2</v>
      </c>
      <c r="Q409" s="28" t="s">
        <v>194</v>
      </c>
      <c r="R409" s="15">
        <v>3.5019455252918288E-2</v>
      </c>
      <c r="S409" s="28" t="s">
        <v>194</v>
      </c>
      <c r="T409" s="15">
        <v>7.6923076923076927E-2</v>
      </c>
      <c r="U409" s="28" t="s">
        <v>194</v>
      </c>
      <c r="V409" s="28" t="s">
        <v>195</v>
      </c>
      <c r="W409" s="28" t="s">
        <v>195</v>
      </c>
      <c r="X409" s="28" t="s">
        <v>195</v>
      </c>
      <c r="Y409" s="28" t="s">
        <v>195</v>
      </c>
      <c r="Z409" s="20">
        <v>0.16304347826086957</v>
      </c>
      <c r="AA409" s="28" t="s">
        <v>194</v>
      </c>
      <c r="AB409" s="118">
        <v>0</v>
      </c>
      <c r="AC409" s="28" t="s">
        <v>194</v>
      </c>
      <c r="AD409" s="153">
        <f>13/175</f>
        <v>7.4285714285714288E-2</v>
      </c>
      <c r="AE409" s="28" t="s">
        <v>194</v>
      </c>
      <c r="AF409" s="149">
        <f>7/155</f>
        <v>4.5161290322580643E-2</v>
      </c>
      <c r="AG409" s="28" t="s">
        <v>194</v>
      </c>
      <c r="AH409" s="82">
        <v>4.195804195804196E-2</v>
      </c>
      <c r="AI409" s="28" t="s">
        <v>194</v>
      </c>
      <c r="AJ409" s="82">
        <v>7.0000000000000007E-2</v>
      </c>
      <c r="AK409" s="28" t="s">
        <v>194</v>
      </c>
    </row>
    <row r="410" spans="1:37" x14ac:dyDescent="0.25">
      <c r="A410" s="21" t="s">
        <v>87</v>
      </c>
      <c r="B410" s="5" t="s">
        <v>42</v>
      </c>
      <c r="C410" s="263" t="s">
        <v>501</v>
      </c>
      <c r="D410" s="26" t="s">
        <v>43</v>
      </c>
      <c r="E410" s="26" t="s">
        <v>191</v>
      </c>
      <c r="F410" s="21" t="s">
        <v>179</v>
      </c>
      <c r="G410" s="21" t="s">
        <v>147</v>
      </c>
      <c r="H410" s="26" t="s">
        <v>189</v>
      </c>
      <c r="I410" s="11">
        <v>0.1</v>
      </c>
      <c r="J410" s="11">
        <v>0</v>
      </c>
      <c r="K410" s="28" t="s">
        <v>150</v>
      </c>
      <c r="L410" s="28" t="s">
        <v>206</v>
      </c>
      <c r="M410" s="15" t="s">
        <v>154</v>
      </c>
      <c r="N410" s="11">
        <v>0</v>
      </c>
      <c r="O410" s="28" t="s">
        <v>150</v>
      </c>
      <c r="P410" s="11">
        <v>0</v>
      </c>
      <c r="Q410" s="28" t="s">
        <v>150</v>
      </c>
      <c r="R410" s="11">
        <v>0</v>
      </c>
      <c r="S410" s="28" t="s">
        <v>150</v>
      </c>
      <c r="T410" s="11">
        <v>0</v>
      </c>
      <c r="U410" s="28" t="s">
        <v>150</v>
      </c>
      <c r="V410" s="28" t="s">
        <v>195</v>
      </c>
      <c r="W410" s="28" t="s">
        <v>195</v>
      </c>
      <c r="X410" s="28" t="s">
        <v>195</v>
      </c>
      <c r="Y410" s="28" t="s">
        <v>195</v>
      </c>
      <c r="Z410" s="11">
        <v>0</v>
      </c>
      <c r="AA410" s="28" t="s">
        <v>150</v>
      </c>
      <c r="AB410" s="120">
        <v>0</v>
      </c>
      <c r="AC410" s="28" t="s">
        <v>150</v>
      </c>
      <c r="AD410" s="154">
        <f>0/1</f>
        <v>0</v>
      </c>
      <c r="AE410" s="28" t="s">
        <v>150</v>
      </c>
      <c r="AF410" s="135">
        <f>0/7</f>
        <v>0</v>
      </c>
      <c r="AG410" s="199" t="s">
        <v>150</v>
      </c>
      <c r="AH410" s="272">
        <v>0</v>
      </c>
      <c r="AI410" s="199" t="s">
        <v>150</v>
      </c>
      <c r="AJ410" s="272">
        <v>0</v>
      </c>
      <c r="AK410" s="199" t="s">
        <v>150</v>
      </c>
    </row>
    <row r="411" spans="1:37" x14ac:dyDescent="0.25">
      <c r="A411" s="21" t="s">
        <v>87</v>
      </c>
      <c r="B411" s="5" t="s">
        <v>42</v>
      </c>
      <c r="C411" s="263" t="s">
        <v>501</v>
      </c>
      <c r="D411" s="26" t="s">
        <v>43</v>
      </c>
      <c r="E411" s="26" t="s">
        <v>191</v>
      </c>
      <c r="F411" s="21" t="s">
        <v>179</v>
      </c>
      <c r="G411" s="21" t="s">
        <v>147</v>
      </c>
      <c r="H411" s="26" t="s">
        <v>190</v>
      </c>
      <c r="I411" s="11">
        <v>0.3</v>
      </c>
      <c r="J411" s="15">
        <v>2.5000000000000001E-2</v>
      </c>
      <c r="K411" s="28" t="s">
        <v>194</v>
      </c>
      <c r="L411" s="15">
        <v>6.0606060606060608E-2</v>
      </c>
      <c r="M411" s="28" t="s">
        <v>194</v>
      </c>
      <c r="N411" s="15">
        <v>3.2258064516129031E-2</v>
      </c>
      <c r="O411" s="28" t="s">
        <v>194</v>
      </c>
      <c r="P411" s="15">
        <v>3.8461538461538464E-2</v>
      </c>
      <c r="Q411" s="28" t="s">
        <v>194</v>
      </c>
      <c r="R411" s="15">
        <v>0.11538461538461539</v>
      </c>
      <c r="S411" s="28" t="s">
        <v>194</v>
      </c>
      <c r="T411" s="15">
        <v>9.0909090909090912E-2</v>
      </c>
      <c r="U411" s="28" t="s">
        <v>194</v>
      </c>
      <c r="V411" s="28" t="s">
        <v>195</v>
      </c>
      <c r="W411" s="28" t="s">
        <v>195</v>
      </c>
      <c r="X411" s="28" t="s">
        <v>195</v>
      </c>
      <c r="Y411" s="28" t="s">
        <v>195</v>
      </c>
      <c r="Z411" s="20">
        <v>0.24</v>
      </c>
      <c r="AA411" s="28" t="s">
        <v>194</v>
      </c>
      <c r="AB411" s="118">
        <v>4.4776119402985072E-2</v>
      </c>
      <c r="AC411" s="28" t="s">
        <v>194</v>
      </c>
      <c r="AD411" s="153">
        <f>2/56</f>
        <v>3.5714285714285712E-2</v>
      </c>
      <c r="AE411" s="28" t="s">
        <v>194</v>
      </c>
      <c r="AF411" s="149">
        <f>3/48</f>
        <v>6.25E-2</v>
      </c>
      <c r="AG411" s="28" t="s">
        <v>194</v>
      </c>
      <c r="AH411" s="82">
        <v>4.0816326530612242E-2</v>
      </c>
      <c r="AI411" s="28" t="s">
        <v>194</v>
      </c>
      <c r="AJ411" s="82">
        <v>0.09</v>
      </c>
      <c r="AK411" s="28" t="s">
        <v>194</v>
      </c>
    </row>
    <row r="412" spans="1:37" x14ac:dyDescent="0.25">
      <c r="A412" s="21" t="s">
        <v>87</v>
      </c>
      <c r="B412" s="5" t="s">
        <v>42</v>
      </c>
      <c r="C412" s="263" t="s">
        <v>501</v>
      </c>
      <c r="D412" s="26" t="s">
        <v>43</v>
      </c>
      <c r="E412" s="26" t="s">
        <v>191</v>
      </c>
      <c r="F412" s="21" t="s">
        <v>179</v>
      </c>
      <c r="G412" s="21" t="s">
        <v>147</v>
      </c>
      <c r="H412" s="26" t="s">
        <v>174</v>
      </c>
      <c r="I412" s="11">
        <v>0.15</v>
      </c>
      <c r="J412" s="11">
        <v>0</v>
      </c>
      <c r="K412" s="28" t="s">
        <v>194</v>
      </c>
      <c r="L412" s="11">
        <v>0</v>
      </c>
      <c r="M412" s="28" t="s">
        <v>194</v>
      </c>
      <c r="N412" s="11">
        <v>0</v>
      </c>
      <c r="O412" s="28" t="s">
        <v>194</v>
      </c>
      <c r="P412" s="11">
        <v>0</v>
      </c>
      <c r="Q412" s="28" t="s">
        <v>194</v>
      </c>
      <c r="R412" s="11">
        <v>0</v>
      </c>
      <c r="S412" s="28" t="s">
        <v>194</v>
      </c>
      <c r="T412" s="11">
        <v>0</v>
      </c>
      <c r="U412" s="28" t="s">
        <v>194</v>
      </c>
      <c r="V412" s="28" t="s">
        <v>195</v>
      </c>
      <c r="W412" s="28" t="s">
        <v>195</v>
      </c>
      <c r="X412" s="28" t="s">
        <v>195</v>
      </c>
      <c r="Y412" s="28" t="s">
        <v>195</v>
      </c>
      <c r="Z412" s="11">
        <v>0</v>
      </c>
      <c r="AA412" s="28" t="s">
        <v>194</v>
      </c>
      <c r="AB412" s="120">
        <v>0</v>
      </c>
      <c r="AC412" s="28" t="s">
        <v>194</v>
      </c>
      <c r="AD412" s="154" t="s">
        <v>154</v>
      </c>
      <c r="AE412" s="97" t="s">
        <v>154</v>
      </c>
      <c r="AF412" s="190" t="s">
        <v>154</v>
      </c>
      <c r="AG412" s="97" t="s">
        <v>154</v>
      </c>
      <c r="AH412" s="272" t="s">
        <v>154</v>
      </c>
      <c r="AI412" s="97" t="s">
        <v>154</v>
      </c>
      <c r="AJ412" s="272" t="s">
        <v>154</v>
      </c>
      <c r="AK412" s="97" t="s">
        <v>154</v>
      </c>
    </row>
    <row r="413" spans="1:37" x14ac:dyDescent="0.25">
      <c r="A413" s="21" t="s">
        <v>85</v>
      </c>
      <c r="B413" s="5" t="s">
        <v>31</v>
      </c>
      <c r="C413" s="76" t="s">
        <v>39</v>
      </c>
      <c r="D413" s="26" t="s">
        <v>46</v>
      </c>
      <c r="E413" s="26" t="s">
        <v>145</v>
      </c>
      <c r="F413" s="21" t="s">
        <v>179</v>
      </c>
      <c r="G413" s="21" t="s">
        <v>147</v>
      </c>
      <c r="H413" s="26" t="s">
        <v>426</v>
      </c>
      <c r="I413" s="11" t="s">
        <v>320</v>
      </c>
      <c r="J413" s="28">
        <v>54</v>
      </c>
      <c r="K413" s="28" t="s">
        <v>150</v>
      </c>
      <c r="L413" s="28">
        <v>52</v>
      </c>
      <c r="M413" s="28" t="s">
        <v>150</v>
      </c>
      <c r="N413" s="28" t="s">
        <v>154</v>
      </c>
      <c r="O413" s="28" t="s">
        <v>154</v>
      </c>
      <c r="P413" s="28" t="s">
        <v>154</v>
      </c>
      <c r="Q413" s="28" t="s">
        <v>154</v>
      </c>
      <c r="R413" s="14">
        <v>44</v>
      </c>
      <c r="S413" s="28" t="s">
        <v>150</v>
      </c>
      <c r="T413" s="14">
        <v>48</v>
      </c>
      <c r="U413" s="28" t="s">
        <v>150</v>
      </c>
      <c r="V413" s="14">
        <v>48</v>
      </c>
      <c r="W413" s="28" t="s">
        <v>150</v>
      </c>
      <c r="X413" s="14" t="s">
        <v>195</v>
      </c>
      <c r="Y413" s="28" t="s">
        <v>195</v>
      </c>
      <c r="Z413" s="14">
        <v>56</v>
      </c>
      <c r="AA413" s="28" t="s">
        <v>150</v>
      </c>
      <c r="AB413" s="90">
        <v>57</v>
      </c>
      <c r="AC413" s="28" t="s">
        <v>150</v>
      </c>
      <c r="AD413" s="152">
        <v>52</v>
      </c>
      <c r="AE413" s="28" t="s">
        <v>150</v>
      </c>
      <c r="AF413" s="152">
        <v>43</v>
      </c>
      <c r="AG413" s="199" t="s">
        <v>150</v>
      </c>
      <c r="AH413" s="277">
        <v>44</v>
      </c>
      <c r="AI413" s="199" t="s">
        <v>150</v>
      </c>
      <c r="AJ413" s="277">
        <v>51</v>
      </c>
      <c r="AK413" s="199" t="s">
        <v>150</v>
      </c>
    </row>
    <row r="414" spans="1:37" x14ac:dyDescent="0.25">
      <c r="A414" s="21" t="s">
        <v>85</v>
      </c>
      <c r="B414" s="5" t="s">
        <v>31</v>
      </c>
      <c r="C414" s="76" t="s">
        <v>39</v>
      </c>
      <c r="D414" s="26" t="s">
        <v>46</v>
      </c>
      <c r="E414" s="26" t="s">
        <v>145</v>
      </c>
      <c r="F414" s="21" t="s">
        <v>179</v>
      </c>
      <c r="G414" s="21" t="s">
        <v>147</v>
      </c>
      <c r="H414" s="26" t="s">
        <v>180</v>
      </c>
      <c r="I414" s="11" t="s">
        <v>218</v>
      </c>
      <c r="J414" s="28">
        <v>94</v>
      </c>
      <c r="K414" s="28" t="s">
        <v>194</v>
      </c>
      <c r="L414" s="28">
        <v>73</v>
      </c>
      <c r="M414" s="28" t="s">
        <v>150</v>
      </c>
      <c r="N414" s="28">
        <v>65</v>
      </c>
      <c r="O414" s="28" t="s">
        <v>150</v>
      </c>
      <c r="P414" s="28">
        <v>61</v>
      </c>
      <c r="Q414" s="28" t="s">
        <v>150</v>
      </c>
      <c r="R414" s="14">
        <v>68</v>
      </c>
      <c r="S414" s="28" t="s">
        <v>150</v>
      </c>
      <c r="T414" s="14">
        <v>72</v>
      </c>
      <c r="U414" s="28" t="s">
        <v>150</v>
      </c>
      <c r="V414" s="14">
        <v>75</v>
      </c>
      <c r="W414" s="28" t="s">
        <v>150</v>
      </c>
      <c r="X414" s="14" t="s">
        <v>195</v>
      </c>
      <c r="Y414" s="28" t="s">
        <v>195</v>
      </c>
      <c r="Z414" s="14">
        <v>75</v>
      </c>
      <c r="AA414" s="28" t="s">
        <v>150</v>
      </c>
      <c r="AB414" s="90">
        <v>59</v>
      </c>
      <c r="AC414" s="28" t="s">
        <v>150</v>
      </c>
      <c r="AD414" s="152">
        <v>66</v>
      </c>
      <c r="AE414" s="28" t="s">
        <v>150</v>
      </c>
      <c r="AF414" s="152">
        <v>72</v>
      </c>
      <c r="AG414" s="199" t="s">
        <v>150</v>
      </c>
      <c r="AH414" s="277">
        <v>60</v>
      </c>
      <c r="AI414" s="199" t="s">
        <v>150</v>
      </c>
      <c r="AJ414" s="277">
        <v>74</v>
      </c>
      <c r="AK414" s="199" t="s">
        <v>150</v>
      </c>
    </row>
    <row r="415" spans="1:37" x14ac:dyDescent="0.25">
      <c r="A415" s="21" t="s">
        <v>85</v>
      </c>
      <c r="B415" s="5" t="s">
        <v>31</v>
      </c>
      <c r="C415" s="76" t="s">
        <v>39</v>
      </c>
      <c r="D415" s="26" t="s">
        <v>46</v>
      </c>
      <c r="E415" s="26" t="s">
        <v>145</v>
      </c>
      <c r="F415" s="21" t="s">
        <v>179</v>
      </c>
      <c r="G415" s="21" t="s">
        <v>147</v>
      </c>
      <c r="H415" s="26" t="s">
        <v>427</v>
      </c>
      <c r="I415" s="11" t="s">
        <v>215</v>
      </c>
      <c r="J415" s="28">
        <v>22</v>
      </c>
      <c r="K415" s="28" t="s">
        <v>150</v>
      </c>
      <c r="L415" s="28">
        <v>15</v>
      </c>
      <c r="M415" s="28" t="s">
        <v>150</v>
      </c>
      <c r="N415" s="28" t="s">
        <v>154</v>
      </c>
      <c r="O415" s="28" t="s">
        <v>154</v>
      </c>
      <c r="P415" s="28" t="s">
        <v>154</v>
      </c>
      <c r="Q415" s="28" t="s">
        <v>154</v>
      </c>
      <c r="R415" s="14">
        <v>16</v>
      </c>
      <c r="S415" s="28" t="s">
        <v>150</v>
      </c>
      <c r="T415" s="14">
        <v>18</v>
      </c>
      <c r="U415" s="28" t="s">
        <v>150</v>
      </c>
      <c r="V415" s="14">
        <v>23</v>
      </c>
      <c r="W415" s="28" t="s">
        <v>150</v>
      </c>
      <c r="X415" s="14" t="s">
        <v>195</v>
      </c>
      <c r="Y415" s="28" t="s">
        <v>195</v>
      </c>
      <c r="Z415" s="14">
        <v>21</v>
      </c>
      <c r="AA415" s="28" t="s">
        <v>150</v>
      </c>
      <c r="AB415" s="90">
        <v>19</v>
      </c>
      <c r="AC415" s="28" t="s">
        <v>150</v>
      </c>
      <c r="AD415" s="152">
        <v>17</v>
      </c>
      <c r="AE415" s="28" t="s">
        <v>150</v>
      </c>
      <c r="AF415" s="152">
        <v>21</v>
      </c>
      <c r="AG415" s="199" t="s">
        <v>150</v>
      </c>
      <c r="AH415" s="277">
        <v>15</v>
      </c>
      <c r="AI415" s="199" t="s">
        <v>150</v>
      </c>
      <c r="AJ415" s="277">
        <v>20</v>
      </c>
      <c r="AK415" s="199" t="s">
        <v>150</v>
      </c>
    </row>
    <row r="416" spans="1:37" x14ac:dyDescent="0.25">
      <c r="A416" s="21" t="s">
        <v>85</v>
      </c>
      <c r="B416" s="5" t="s">
        <v>31</v>
      </c>
      <c r="C416" s="76" t="s">
        <v>39</v>
      </c>
      <c r="D416" s="26" t="s">
        <v>46</v>
      </c>
      <c r="E416" s="26" t="s">
        <v>145</v>
      </c>
      <c r="F416" s="21" t="s">
        <v>179</v>
      </c>
      <c r="G416" s="21" t="s">
        <v>147</v>
      </c>
      <c r="H416" s="26" t="s">
        <v>197</v>
      </c>
      <c r="I416" s="11" t="s">
        <v>311</v>
      </c>
      <c r="J416" s="28">
        <v>34</v>
      </c>
      <c r="K416" s="28" t="s">
        <v>150</v>
      </c>
      <c r="L416" s="28">
        <v>36</v>
      </c>
      <c r="M416" s="28" t="s">
        <v>150</v>
      </c>
      <c r="N416" s="28">
        <v>24</v>
      </c>
      <c r="O416" s="28" t="s">
        <v>150</v>
      </c>
      <c r="P416" s="28">
        <v>25</v>
      </c>
      <c r="Q416" s="28" t="s">
        <v>150</v>
      </c>
      <c r="R416" s="14">
        <v>27</v>
      </c>
      <c r="S416" s="28" t="s">
        <v>150</v>
      </c>
      <c r="T416" s="14">
        <v>32</v>
      </c>
      <c r="U416" s="28" t="s">
        <v>150</v>
      </c>
      <c r="V416" s="14">
        <v>32</v>
      </c>
      <c r="W416" s="28" t="s">
        <v>150</v>
      </c>
      <c r="X416" s="14" t="s">
        <v>195</v>
      </c>
      <c r="Y416" s="28" t="s">
        <v>195</v>
      </c>
      <c r="Z416" s="14">
        <v>24</v>
      </c>
      <c r="AA416" s="28" t="s">
        <v>150</v>
      </c>
      <c r="AB416" s="90">
        <v>32</v>
      </c>
      <c r="AC416" s="28" t="s">
        <v>150</v>
      </c>
      <c r="AD416" s="152">
        <v>23</v>
      </c>
      <c r="AE416" s="28" t="s">
        <v>150</v>
      </c>
      <c r="AF416" s="152">
        <v>26</v>
      </c>
      <c r="AG416" s="199" t="s">
        <v>150</v>
      </c>
      <c r="AH416" s="277">
        <v>28</v>
      </c>
      <c r="AI416" s="199" t="s">
        <v>150</v>
      </c>
      <c r="AJ416" s="277">
        <v>31</v>
      </c>
      <c r="AK416" s="199" t="s">
        <v>150</v>
      </c>
    </row>
    <row r="417" spans="1:37" x14ac:dyDescent="0.25">
      <c r="A417" s="21" t="s">
        <v>85</v>
      </c>
      <c r="B417" s="5" t="s">
        <v>31</v>
      </c>
      <c r="C417" s="76" t="s">
        <v>39</v>
      </c>
      <c r="D417" s="26" t="s">
        <v>46</v>
      </c>
      <c r="E417" s="26" t="s">
        <v>145</v>
      </c>
      <c r="F417" s="21" t="s">
        <v>179</v>
      </c>
      <c r="G417" s="21" t="s">
        <v>147</v>
      </c>
      <c r="H417" s="26" t="s">
        <v>207</v>
      </c>
      <c r="I417" s="11" t="s">
        <v>319</v>
      </c>
      <c r="J417" s="29">
        <v>0.62</v>
      </c>
      <c r="K417" s="28" t="s">
        <v>194</v>
      </c>
      <c r="L417" s="29">
        <v>0.21</v>
      </c>
      <c r="M417" s="28" t="s">
        <v>194</v>
      </c>
      <c r="N417" s="15">
        <v>0.34523809523809523</v>
      </c>
      <c r="O417" s="28" t="s">
        <v>194</v>
      </c>
      <c r="P417" s="15">
        <v>0.34523809523809523</v>
      </c>
      <c r="Q417" s="28" t="s">
        <v>194</v>
      </c>
      <c r="R417" s="9">
        <v>15.254237288135593</v>
      </c>
      <c r="S417" s="28" t="s">
        <v>150</v>
      </c>
      <c r="T417" s="9">
        <v>29.850746268656714</v>
      </c>
      <c r="U417" s="28" t="s">
        <v>194</v>
      </c>
      <c r="V417" s="15">
        <v>0.19480519480519481</v>
      </c>
      <c r="W417" s="28" t="s">
        <v>150</v>
      </c>
      <c r="X417" s="14" t="s">
        <v>195</v>
      </c>
      <c r="Y417" s="28" t="s">
        <v>195</v>
      </c>
      <c r="Z417" s="11">
        <v>0.11428571428571428</v>
      </c>
      <c r="AA417" s="28" t="s">
        <v>150</v>
      </c>
      <c r="AB417" s="82">
        <v>0.13846153846153847</v>
      </c>
      <c r="AC417" s="28" t="s">
        <v>150</v>
      </c>
      <c r="AD417" s="153">
        <v>4.2253521126760563E-2</v>
      </c>
      <c r="AE417" s="28" t="s">
        <v>150</v>
      </c>
      <c r="AF417" s="153">
        <f>26/142</f>
        <v>0.18309859154929578</v>
      </c>
      <c r="AG417" s="199" t="s">
        <v>150</v>
      </c>
      <c r="AH417" s="118">
        <v>0.2</v>
      </c>
      <c r="AI417" s="199" t="s">
        <v>150</v>
      </c>
      <c r="AJ417" s="118">
        <v>0.2</v>
      </c>
      <c r="AK417" s="199" t="s">
        <v>150</v>
      </c>
    </row>
    <row r="418" spans="1:37" x14ac:dyDescent="0.25">
      <c r="A418" s="21" t="s">
        <v>85</v>
      </c>
      <c r="B418" s="5" t="s">
        <v>31</v>
      </c>
      <c r="C418" s="76" t="s">
        <v>39</v>
      </c>
      <c r="D418" s="26" t="s">
        <v>46</v>
      </c>
      <c r="E418" s="26" t="s">
        <v>145</v>
      </c>
      <c r="F418" s="21" t="s">
        <v>179</v>
      </c>
      <c r="G418" s="21" t="s">
        <v>147</v>
      </c>
      <c r="H418" s="26" t="s">
        <v>186</v>
      </c>
      <c r="I418" s="11">
        <v>0.6</v>
      </c>
      <c r="J418" s="29">
        <v>0.68</v>
      </c>
      <c r="K418" s="28" t="s">
        <v>150</v>
      </c>
      <c r="L418" s="29">
        <v>0.72</v>
      </c>
      <c r="M418" s="28" t="s">
        <v>150</v>
      </c>
      <c r="N418" s="15">
        <v>0.66846361185983827</v>
      </c>
      <c r="O418" s="28" t="s">
        <v>150</v>
      </c>
      <c r="P418" s="15">
        <v>0.67382657120127287</v>
      </c>
      <c r="Q418" s="28" t="s">
        <v>150</v>
      </c>
      <c r="R418" s="9">
        <v>70.35175879396985</v>
      </c>
      <c r="S418" s="28" t="s">
        <v>150</v>
      </c>
      <c r="T418" s="15">
        <v>0.64806866952789699</v>
      </c>
      <c r="U418" s="28" t="s">
        <v>150</v>
      </c>
      <c r="V418" s="15">
        <v>0.73085339168490149</v>
      </c>
      <c r="W418" s="28" t="s">
        <v>150</v>
      </c>
      <c r="X418" s="14" t="s">
        <v>195</v>
      </c>
      <c r="Y418" s="28" t="s">
        <v>195</v>
      </c>
      <c r="Z418" s="20">
        <v>0.70680628272251311</v>
      </c>
      <c r="AA418" s="28" t="s">
        <v>150</v>
      </c>
      <c r="AB418" s="82">
        <v>0.70955165692007793</v>
      </c>
      <c r="AC418" s="28" t="s">
        <v>150</v>
      </c>
      <c r="AD418" s="153">
        <v>0.83252032520325203</v>
      </c>
      <c r="AE418" s="28" t="s">
        <v>150</v>
      </c>
      <c r="AF418" s="153">
        <f>503/726</f>
        <v>0.69283746556473824</v>
      </c>
      <c r="AG418" s="199" t="s">
        <v>150</v>
      </c>
      <c r="AH418" s="118">
        <v>0.74617737003058104</v>
      </c>
      <c r="AI418" s="199" t="s">
        <v>150</v>
      </c>
      <c r="AJ418" s="118">
        <v>0.70722725180297685</v>
      </c>
      <c r="AK418" s="199" t="s">
        <v>150</v>
      </c>
    </row>
    <row r="419" spans="1:37" x14ac:dyDescent="0.25">
      <c r="A419" s="21" t="s">
        <v>85</v>
      </c>
      <c r="B419" s="5" t="s">
        <v>31</v>
      </c>
      <c r="C419" s="76" t="s">
        <v>39</v>
      </c>
      <c r="D419" s="26" t="s">
        <v>46</v>
      </c>
      <c r="E419" s="26" t="s">
        <v>145</v>
      </c>
      <c r="F419" s="21" t="s">
        <v>179</v>
      </c>
      <c r="G419" s="21" t="s">
        <v>147</v>
      </c>
      <c r="H419" s="26" t="s">
        <v>188</v>
      </c>
      <c r="I419" s="16">
        <v>4.583333333333333E-2</v>
      </c>
      <c r="J419" s="49">
        <v>4.583333333333333E-2</v>
      </c>
      <c r="K419" s="28" t="s">
        <v>150</v>
      </c>
      <c r="L419" s="49">
        <v>4.791666666666667E-2</v>
      </c>
      <c r="M419" s="28" t="s">
        <v>194</v>
      </c>
      <c r="N419" s="49">
        <v>4.6527777777777779E-2</v>
      </c>
      <c r="O419" s="28" t="s">
        <v>194</v>
      </c>
      <c r="P419" s="49">
        <v>4.6527777777777779E-2</v>
      </c>
      <c r="Q419" s="28" t="s">
        <v>194</v>
      </c>
      <c r="R419" s="16">
        <v>4.7222222222222221E-2</v>
      </c>
      <c r="S419" s="28" t="s">
        <v>194</v>
      </c>
      <c r="T419" s="16">
        <v>0.05</v>
      </c>
      <c r="U419" s="28" t="s">
        <v>194</v>
      </c>
      <c r="V419" s="16">
        <v>4.583333333333333E-2</v>
      </c>
      <c r="W419" s="28" t="s">
        <v>150</v>
      </c>
      <c r="X419" s="14" t="s">
        <v>195</v>
      </c>
      <c r="Y419" s="28" t="s">
        <v>195</v>
      </c>
      <c r="Z419" s="49">
        <v>4.3749999999999997E-2</v>
      </c>
      <c r="AA419" s="28" t="s">
        <v>150</v>
      </c>
      <c r="AB419" s="113">
        <v>4.7222222222222221E-2</v>
      </c>
      <c r="AC419" s="28" t="s">
        <v>194</v>
      </c>
      <c r="AD419" s="124">
        <v>4.7222222222222221E-2</v>
      </c>
      <c r="AE419" s="28" t="s">
        <v>194</v>
      </c>
      <c r="AF419" s="256">
        <v>4.7222222222222221E-2</v>
      </c>
      <c r="AG419" s="28" t="s">
        <v>194</v>
      </c>
      <c r="AH419" s="256">
        <v>4.4444444444444446E-2</v>
      </c>
      <c r="AI419" s="199" t="s">
        <v>150</v>
      </c>
      <c r="AJ419" s="256">
        <v>4.6527777777777779E-2</v>
      </c>
      <c r="AK419" s="28" t="s">
        <v>194</v>
      </c>
    </row>
    <row r="420" spans="1:37" x14ac:dyDescent="0.25">
      <c r="A420" s="21" t="s">
        <v>85</v>
      </c>
      <c r="B420" s="5" t="s">
        <v>31</v>
      </c>
      <c r="C420" s="76" t="s">
        <v>39</v>
      </c>
      <c r="D420" s="26" t="s">
        <v>46</v>
      </c>
      <c r="E420" s="26" t="s">
        <v>145</v>
      </c>
      <c r="F420" s="21" t="s">
        <v>179</v>
      </c>
      <c r="G420" s="21" t="s">
        <v>147</v>
      </c>
      <c r="H420" s="26" t="s">
        <v>189</v>
      </c>
      <c r="I420" s="11">
        <v>0.15</v>
      </c>
      <c r="J420" s="29">
        <v>0.24</v>
      </c>
      <c r="K420" s="28" t="s">
        <v>194</v>
      </c>
      <c r="L420" s="29">
        <v>0.02</v>
      </c>
      <c r="M420" s="28" t="s">
        <v>150</v>
      </c>
      <c r="N420" s="36">
        <v>0.13207547169811321</v>
      </c>
      <c r="O420" s="28" t="s">
        <v>150</v>
      </c>
      <c r="P420" s="36">
        <v>0.24705882352941178</v>
      </c>
      <c r="Q420" s="28" t="s">
        <v>194</v>
      </c>
      <c r="R420" s="15">
        <v>0.31666666666666665</v>
      </c>
      <c r="S420" s="28" t="s">
        <v>194</v>
      </c>
      <c r="T420" s="15">
        <v>0.38181818181818183</v>
      </c>
      <c r="U420" s="28" t="s">
        <v>194</v>
      </c>
      <c r="V420" s="15">
        <v>0.35185185185185186</v>
      </c>
      <c r="W420" s="28" t="s">
        <v>194</v>
      </c>
      <c r="X420" s="14" t="s">
        <v>195</v>
      </c>
      <c r="Y420" s="28" t="s">
        <v>195</v>
      </c>
      <c r="Z420" s="29">
        <v>0.59</v>
      </c>
      <c r="AA420" s="28" t="s">
        <v>194</v>
      </c>
      <c r="AB420" s="82">
        <v>0.08</v>
      </c>
      <c r="AC420" s="28" t="s">
        <v>150</v>
      </c>
      <c r="AD420" s="126">
        <v>0.02</v>
      </c>
      <c r="AE420" s="28" t="s">
        <v>150</v>
      </c>
      <c r="AF420" s="200">
        <v>7.0000000000000007E-2</v>
      </c>
      <c r="AG420" s="199" t="s">
        <v>150</v>
      </c>
      <c r="AH420" s="94">
        <v>0.05</v>
      </c>
      <c r="AI420" s="199" t="s">
        <v>150</v>
      </c>
      <c r="AJ420" s="118">
        <v>0.13224368499257058</v>
      </c>
      <c r="AK420" s="199" t="s">
        <v>150</v>
      </c>
    </row>
    <row r="421" spans="1:37" x14ac:dyDescent="0.25">
      <c r="A421" s="21" t="s">
        <v>85</v>
      </c>
      <c r="B421" s="5" t="s">
        <v>31</v>
      </c>
      <c r="C421" s="76" t="s">
        <v>39</v>
      </c>
      <c r="D421" s="26" t="s">
        <v>46</v>
      </c>
      <c r="E421" s="26" t="s">
        <v>145</v>
      </c>
      <c r="F421" s="21" t="s">
        <v>146</v>
      </c>
      <c r="G421" s="21" t="s">
        <v>156</v>
      </c>
      <c r="H421" s="26" t="s">
        <v>190</v>
      </c>
      <c r="I421" s="11">
        <v>0.9</v>
      </c>
      <c r="J421" s="29">
        <v>1.1299999999999999</v>
      </c>
      <c r="K421" s="28" t="s">
        <v>150</v>
      </c>
      <c r="L421" s="29">
        <v>1.1000000000000001</v>
      </c>
      <c r="M421" s="28" t="s">
        <v>150</v>
      </c>
      <c r="N421" s="15">
        <v>0.54761904761904767</v>
      </c>
      <c r="O421" s="28" t="s">
        <v>194</v>
      </c>
      <c r="P421" s="15">
        <v>1.8690476190476191</v>
      </c>
      <c r="Q421" s="28" t="s">
        <v>150</v>
      </c>
      <c r="R421" s="11">
        <v>0.40677966101694918</v>
      </c>
      <c r="S421" s="28" t="s">
        <v>194</v>
      </c>
      <c r="T421" s="15">
        <v>0.53731343283582089</v>
      </c>
      <c r="U421" s="28" t="s">
        <v>194</v>
      </c>
      <c r="V421" s="15">
        <v>0.62337662337662336</v>
      </c>
      <c r="W421" s="28" t="s">
        <v>194</v>
      </c>
      <c r="X421" s="14" t="s">
        <v>195</v>
      </c>
      <c r="Y421" s="28" t="s">
        <v>195</v>
      </c>
      <c r="Z421" s="20">
        <v>0.5714285714285714</v>
      </c>
      <c r="AA421" s="28" t="s">
        <v>194</v>
      </c>
      <c r="AB421" s="82">
        <v>0.43</v>
      </c>
      <c r="AC421" s="28" t="s">
        <v>194</v>
      </c>
      <c r="AD421" s="155">
        <v>0.35164835164835168</v>
      </c>
      <c r="AE421" s="28" t="s">
        <v>194</v>
      </c>
      <c r="AF421" s="126">
        <v>0.25</v>
      </c>
      <c r="AG421" s="28" t="s">
        <v>194</v>
      </c>
      <c r="AH421" s="118">
        <v>0.20576131687242799</v>
      </c>
      <c r="AI421" s="28" t="s">
        <v>194</v>
      </c>
      <c r="AJ421" s="118">
        <v>0.53298429319371732</v>
      </c>
      <c r="AK421" s="28" t="s">
        <v>194</v>
      </c>
    </row>
    <row r="422" spans="1:37" x14ac:dyDescent="0.25">
      <c r="A422" s="21" t="s">
        <v>85</v>
      </c>
      <c r="B422" s="5" t="s">
        <v>31</v>
      </c>
      <c r="C422" s="76" t="s">
        <v>39</v>
      </c>
      <c r="D422" s="26" t="s">
        <v>46</v>
      </c>
      <c r="E422" s="26" t="s">
        <v>145</v>
      </c>
      <c r="F422" s="21" t="s">
        <v>179</v>
      </c>
      <c r="G422" s="21" t="s">
        <v>147</v>
      </c>
      <c r="H422" s="26" t="s">
        <v>174</v>
      </c>
      <c r="I422" s="11">
        <v>0.05</v>
      </c>
      <c r="J422" s="29">
        <v>0.04</v>
      </c>
      <c r="K422" s="28" t="s">
        <v>194</v>
      </c>
      <c r="L422" s="29">
        <v>0.11</v>
      </c>
      <c r="M422" s="28" t="s">
        <v>150</v>
      </c>
      <c r="N422" s="15">
        <v>0.16666666666666666</v>
      </c>
      <c r="O422" s="28" t="s">
        <v>150</v>
      </c>
      <c r="P422" s="11">
        <v>9.9337748344370855E-2</v>
      </c>
      <c r="Q422" s="28" t="s">
        <v>150</v>
      </c>
      <c r="R422" s="67">
        <v>0.14583333333333334</v>
      </c>
      <c r="S422" s="28" t="s">
        <v>150</v>
      </c>
      <c r="T422" s="15">
        <v>0.1388888888888889</v>
      </c>
      <c r="U422" s="28" t="s">
        <v>150</v>
      </c>
      <c r="V422" s="15">
        <v>8.3333333333333329E-2</v>
      </c>
      <c r="W422" s="28" t="s">
        <v>150</v>
      </c>
      <c r="X422" s="14" t="s">
        <v>195</v>
      </c>
      <c r="Y422" s="28" t="s">
        <v>195</v>
      </c>
      <c r="Z422" s="20">
        <v>0</v>
      </c>
      <c r="AA422" s="28" t="s">
        <v>194</v>
      </c>
      <c r="AB422" s="82">
        <v>0.14000000000000001</v>
      </c>
      <c r="AC422" s="28" t="s">
        <v>150</v>
      </c>
      <c r="AD422" s="153">
        <v>3.125E-2</v>
      </c>
      <c r="AE422" s="28" t="s">
        <v>194</v>
      </c>
      <c r="AF422" s="98">
        <v>0.08</v>
      </c>
      <c r="AG422" s="199" t="s">
        <v>150</v>
      </c>
      <c r="AH422" s="118">
        <v>0.06</v>
      </c>
      <c r="AI422" s="199" t="s">
        <v>150</v>
      </c>
      <c r="AJ422" s="118">
        <v>8.4479371316306479E-2</v>
      </c>
      <c r="AK422" s="199" t="s">
        <v>150</v>
      </c>
    </row>
    <row r="423" spans="1:37" x14ac:dyDescent="0.25">
      <c r="A423" s="161" t="s">
        <v>85</v>
      </c>
      <c r="B423" s="162" t="s">
        <v>31</v>
      </c>
      <c r="C423" s="264" t="s">
        <v>39</v>
      </c>
      <c r="D423" s="163" t="s">
        <v>46</v>
      </c>
      <c r="E423" s="163" t="s">
        <v>145</v>
      </c>
      <c r="F423" s="161" t="s">
        <v>146</v>
      </c>
      <c r="G423" s="161" t="s">
        <v>156</v>
      </c>
      <c r="H423" s="163" t="s">
        <v>197</v>
      </c>
      <c r="I423" s="170">
        <v>0.9</v>
      </c>
      <c r="J423" s="166">
        <v>0.8</v>
      </c>
      <c r="K423" s="167" t="s">
        <v>194</v>
      </c>
      <c r="L423" s="166">
        <v>0.82</v>
      </c>
      <c r="M423" s="167" t="s">
        <v>194</v>
      </c>
      <c r="N423" s="165">
        <v>0.8936170212765957</v>
      </c>
      <c r="O423" s="167" t="s">
        <v>194</v>
      </c>
      <c r="P423" s="165">
        <v>0.86577181208053688</v>
      </c>
      <c r="Q423" s="167" t="s">
        <v>194</v>
      </c>
      <c r="R423" s="187">
        <v>0.875</v>
      </c>
      <c r="S423" s="167" t="s">
        <v>194</v>
      </c>
      <c r="T423" s="165">
        <v>0.62745098039215685</v>
      </c>
      <c r="U423" s="167" t="s">
        <v>194</v>
      </c>
      <c r="V423" s="165">
        <v>0.78</v>
      </c>
      <c r="W423" s="167" t="s">
        <v>194</v>
      </c>
      <c r="X423" s="171" t="s">
        <v>195</v>
      </c>
      <c r="Y423" s="167" t="s">
        <v>195</v>
      </c>
      <c r="Z423" s="188">
        <v>0.89189189189189189</v>
      </c>
      <c r="AA423" s="167" t="s">
        <v>194</v>
      </c>
      <c r="AB423" s="189">
        <v>0.9</v>
      </c>
      <c r="AC423" s="167" t="s">
        <v>150</v>
      </c>
      <c r="AD423" s="190">
        <v>0.89830508474576276</v>
      </c>
      <c r="AE423" s="167" t="s">
        <v>194</v>
      </c>
      <c r="AF423" s="97">
        <v>88</v>
      </c>
      <c r="AG423" s="199" t="s">
        <v>150</v>
      </c>
      <c r="AH423" s="278">
        <v>0.91150442477876104</v>
      </c>
      <c r="AI423" s="199" t="s">
        <v>150</v>
      </c>
      <c r="AJ423" s="278">
        <v>0.85420240137221271</v>
      </c>
      <c r="AK423" s="28" t="s">
        <v>194</v>
      </c>
    </row>
    <row r="424" spans="1:37" x14ac:dyDescent="0.25">
      <c r="A424" s="21" t="s">
        <v>71</v>
      </c>
      <c r="B424" s="5" t="s">
        <v>23</v>
      </c>
      <c r="C424" s="76" t="s">
        <v>24</v>
      </c>
      <c r="D424" s="26" t="s">
        <v>91</v>
      </c>
      <c r="E424" s="26" t="s">
        <v>145</v>
      </c>
      <c r="F424" s="21" t="s">
        <v>146</v>
      </c>
      <c r="G424" s="21" t="s">
        <v>147</v>
      </c>
      <c r="H424" s="27" t="s">
        <v>197</v>
      </c>
      <c r="I424" s="14" t="s">
        <v>215</v>
      </c>
      <c r="J424" s="28" t="s">
        <v>195</v>
      </c>
      <c r="K424" s="28" t="s">
        <v>195</v>
      </c>
      <c r="L424" s="55">
        <v>21</v>
      </c>
      <c r="M424" s="28" t="s">
        <v>150</v>
      </c>
      <c r="N424" s="28">
        <v>28</v>
      </c>
      <c r="O424" s="28" t="s">
        <v>150</v>
      </c>
      <c r="P424" s="55">
        <v>16</v>
      </c>
      <c r="Q424" s="28" t="s">
        <v>150</v>
      </c>
      <c r="R424" s="17" t="s">
        <v>154</v>
      </c>
      <c r="S424" s="15" t="s">
        <v>154</v>
      </c>
      <c r="T424" s="17" t="s">
        <v>154</v>
      </c>
      <c r="U424" s="15" t="s">
        <v>154</v>
      </c>
      <c r="V424" s="15" t="s">
        <v>195</v>
      </c>
      <c r="W424" s="28" t="s">
        <v>195</v>
      </c>
      <c r="X424" s="15" t="s">
        <v>195</v>
      </c>
      <c r="Y424" s="28" t="s">
        <v>195</v>
      </c>
      <c r="Z424" s="28" t="s">
        <v>195</v>
      </c>
      <c r="AA424" s="28" t="s">
        <v>195</v>
      </c>
      <c r="AB424" s="95">
        <v>280</v>
      </c>
      <c r="AC424" s="28" t="s">
        <v>194</v>
      </c>
      <c r="AD424" s="97" t="s">
        <v>195</v>
      </c>
      <c r="AE424" s="97" t="s">
        <v>195</v>
      </c>
      <c r="AF424" s="95">
        <v>408</v>
      </c>
      <c r="AG424" s="28" t="s">
        <v>194</v>
      </c>
      <c r="AH424" s="95" t="s">
        <v>195</v>
      </c>
      <c r="AI424" s="97" t="s">
        <v>195</v>
      </c>
      <c r="AJ424" s="95" t="s">
        <v>195</v>
      </c>
      <c r="AK424" s="97" t="s">
        <v>195</v>
      </c>
    </row>
    <row r="425" spans="1:37" x14ac:dyDescent="0.25">
      <c r="A425" s="21" t="s">
        <v>71</v>
      </c>
      <c r="B425" s="5" t="s">
        <v>23</v>
      </c>
      <c r="C425" s="76" t="s">
        <v>24</v>
      </c>
      <c r="D425" s="26" t="s">
        <v>91</v>
      </c>
      <c r="E425" s="26" t="s">
        <v>145</v>
      </c>
      <c r="F425" s="21" t="s">
        <v>146</v>
      </c>
      <c r="G425" s="21" t="s">
        <v>147</v>
      </c>
      <c r="H425" s="27" t="s">
        <v>180</v>
      </c>
      <c r="I425" s="14" t="s">
        <v>304</v>
      </c>
      <c r="J425" s="28" t="s">
        <v>195</v>
      </c>
      <c r="K425" s="28" t="s">
        <v>195</v>
      </c>
      <c r="L425" s="55">
        <v>72</v>
      </c>
      <c r="M425" s="28" t="s">
        <v>150</v>
      </c>
      <c r="N425" s="28">
        <v>70</v>
      </c>
      <c r="O425" s="28" t="s">
        <v>150</v>
      </c>
      <c r="P425" s="55">
        <v>57</v>
      </c>
      <c r="Q425" s="28" t="s">
        <v>150</v>
      </c>
      <c r="R425" s="17" t="s">
        <v>154</v>
      </c>
      <c r="S425" s="15" t="s">
        <v>154</v>
      </c>
      <c r="T425" s="17" t="s">
        <v>154</v>
      </c>
      <c r="U425" s="15" t="s">
        <v>154</v>
      </c>
      <c r="V425" s="15" t="s">
        <v>195</v>
      </c>
      <c r="W425" s="28" t="s">
        <v>195</v>
      </c>
      <c r="X425" s="15" t="s">
        <v>195</v>
      </c>
      <c r="Y425" s="28" t="s">
        <v>195</v>
      </c>
      <c r="Z425" s="28" t="s">
        <v>195</v>
      </c>
      <c r="AA425" s="28" t="s">
        <v>195</v>
      </c>
      <c r="AB425" s="95">
        <v>122</v>
      </c>
      <c r="AC425" s="28" t="s">
        <v>194</v>
      </c>
      <c r="AD425" s="97" t="s">
        <v>195</v>
      </c>
      <c r="AE425" s="97" t="s">
        <v>195</v>
      </c>
      <c r="AF425" s="95">
        <v>402</v>
      </c>
      <c r="AG425" s="28" t="s">
        <v>194</v>
      </c>
      <c r="AH425" s="95" t="s">
        <v>195</v>
      </c>
      <c r="AI425" s="97" t="s">
        <v>195</v>
      </c>
      <c r="AJ425" s="95" t="s">
        <v>195</v>
      </c>
      <c r="AK425" s="97" t="s">
        <v>195</v>
      </c>
    </row>
    <row r="426" spans="1:37" x14ac:dyDescent="0.25">
      <c r="A426" s="201" t="s">
        <v>71</v>
      </c>
      <c r="B426" s="202" t="s">
        <v>23</v>
      </c>
      <c r="C426" s="265" t="s">
        <v>24</v>
      </c>
      <c r="D426" s="203" t="s">
        <v>91</v>
      </c>
      <c r="E426" s="203" t="s">
        <v>145</v>
      </c>
      <c r="F426" s="201" t="s">
        <v>146</v>
      </c>
      <c r="G426" s="201" t="s">
        <v>147</v>
      </c>
      <c r="H426" s="207" t="s">
        <v>188</v>
      </c>
      <c r="I426" s="204">
        <v>0.2</v>
      </c>
      <c r="J426" s="199" t="s">
        <v>195</v>
      </c>
      <c r="K426" s="199" t="s">
        <v>195</v>
      </c>
      <c r="L426" s="199" t="s">
        <v>195</v>
      </c>
      <c r="M426" s="199" t="s">
        <v>195</v>
      </c>
      <c r="N426" s="199" t="s">
        <v>195</v>
      </c>
      <c r="O426" s="199" t="s">
        <v>195</v>
      </c>
      <c r="P426" s="199" t="s">
        <v>195</v>
      </c>
      <c r="Q426" s="199" t="s">
        <v>195</v>
      </c>
      <c r="R426" s="210" t="s">
        <v>154</v>
      </c>
      <c r="S426" s="197" t="s">
        <v>154</v>
      </c>
      <c r="T426" s="210" t="s">
        <v>154</v>
      </c>
      <c r="U426" s="197" t="s">
        <v>154</v>
      </c>
      <c r="V426" s="197" t="s">
        <v>195</v>
      </c>
      <c r="W426" s="199" t="s">
        <v>195</v>
      </c>
      <c r="X426" s="197" t="s">
        <v>195</v>
      </c>
      <c r="Y426" s="199" t="s">
        <v>195</v>
      </c>
      <c r="Z426" s="199" t="s">
        <v>195</v>
      </c>
      <c r="AA426" s="199" t="s">
        <v>195</v>
      </c>
      <c r="AB426" s="243">
        <v>0.08</v>
      </c>
      <c r="AC426" s="199" t="s">
        <v>194</v>
      </c>
      <c r="AD426" s="244">
        <v>0.2</v>
      </c>
      <c r="AE426" s="199" t="s">
        <v>150</v>
      </c>
      <c r="AF426" s="102">
        <v>0.25</v>
      </c>
      <c r="AG426" s="199" t="s">
        <v>150</v>
      </c>
      <c r="AH426" s="95" t="s">
        <v>195</v>
      </c>
      <c r="AI426" s="94" t="s">
        <v>195</v>
      </c>
      <c r="AJ426" s="95" t="s">
        <v>195</v>
      </c>
      <c r="AK426" s="94" t="s">
        <v>195</v>
      </c>
    </row>
    <row r="427" spans="1:37" x14ac:dyDescent="0.25">
      <c r="A427" s="21" t="s">
        <v>71</v>
      </c>
      <c r="B427" s="5" t="s">
        <v>23</v>
      </c>
      <c r="C427" s="76" t="s">
        <v>24</v>
      </c>
      <c r="D427" s="26" t="s">
        <v>91</v>
      </c>
      <c r="E427" s="26" t="s">
        <v>145</v>
      </c>
      <c r="F427" s="21" t="s">
        <v>146</v>
      </c>
      <c r="G427" s="21" t="s">
        <v>147</v>
      </c>
      <c r="H427" s="21" t="s">
        <v>189</v>
      </c>
      <c r="I427" s="11">
        <v>0.15</v>
      </c>
      <c r="J427" s="28" t="s">
        <v>195</v>
      </c>
      <c r="K427" s="28" t="s">
        <v>195</v>
      </c>
      <c r="L427" s="29">
        <v>0.18</v>
      </c>
      <c r="M427" s="28" t="s">
        <v>194</v>
      </c>
      <c r="N427" s="28" t="s">
        <v>195</v>
      </c>
      <c r="O427" s="28" t="s">
        <v>195</v>
      </c>
      <c r="P427" s="29">
        <v>0.13730000000000001</v>
      </c>
      <c r="Q427" s="28" t="s">
        <v>150</v>
      </c>
      <c r="R427" s="17" t="s">
        <v>154</v>
      </c>
      <c r="S427" s="15" t="s">
        <v>154</v>
      </c>
      <c r="T427" s="17" t="s">
        <v>154</v>
      </c>
      <c r="U427" s="15" t="s">
        <v>154</v>
      </c>
      <c r="V427" s="15" t="s">
        <v>195</v>
      </c>
      <c r="W427" s="28" t="s">
        <v>195</v>
      </c>
      <c r="X427" s="15" t="s">
        <v>195</v>
      </c>
      <c r="Y427" s="28" t="s">
        <v>195</v>
      </c>
      <c r="Z427" s="28" t="s">
        <v>195</v>
      </c>
      <c r="AA427" s="28" t="s">
        <v>195</v>
      </c>
      <c r="AB427" s="102">
        <v>0.86</v>
      </c>
      <c r="AC427" s="28" t="s">
        <v>194</v>
      </c>
      <c r="AD427" s="135">
        <v>0.15</v>
      </c>
      <c r="AE427" s="28" t="s">
        <v>150</v>
      </c>
      <c r="AF427" s="243">
        <v>0.17</v>
      </c>
      <c r="AG427" s="28" t="s">
        <v>194</v>
      </c>
      <c r="AH427" s="95" t="s">
        <v>195</v>
      </c>
      <c r="AI427" s="94" t="s">
        <v>195</v>
      </c>
      <c r="AJ427" s="95" t="s">
        <v>195</v>
      </c>
      <c r="AK427" s="94" t="s">
        <v>195</v>
      </c>
    </row>
    <row r="428" spans="1:37" x14ac:dyDescent="0.25">
      <c r="A428" s="21" t="s">
        <v>71</v>
      </c>
      <c r="B428" s="5" t="s">
        <v>23</v>
      </c>
      <c r="C428" s="76" t="s">
        <v>24</v>
      </c>
      <c r="D428" s="26" t="s">
        <v>91</v>
      </c>
      <c r="E428" s="26" t="s">
        <v>145</v>
      </c>
      <c r="F428" s="21" t="s">
        <v>146</v>
      </c>
      <c r="G428" s="21" t="s">
        <v>147</v>
      </c>
      <c r="H428" s="21" t="s">
        <v>381</v>
      </c>
      <c r="I428" s="11">
        <v>0.6</v>
      </c>
      <c r="J428" s="28" t="s">
        <v>195</v>
      </c>
      <c r="K428" s="28" t="s">
        <v>195</v>
      </c>
      <c r="L428" s="28" t="s">
        <v>195</v>
      </c>
      <c r="M428" s="28" t="s">
        <v>195</v>
      </c>
      <c r="N428" s="28" t="s">
        <v>195</v>
      </c>
      <c r="O428" s="28" t="s">
        <v>195</v>
      </c>
      <c r="P428" s="28" t="s">
        <v>195</v>
      </c>
      <c r="Q428" s="28" t="s">
        <v>195</v>
      </c>
      <c r="R428" s="17" t="s">
        <v>154</v>
      </c>
      <c r="S428" s="15" t="s">
        <v>154</v>
      </c>
      <c r="T428" s="17" t="s">
        <v>154</v>
      </c>
      <c r="U428" s="15" t="s">
        <v>154</v>
      </c>
      <c r="V428" s="15" t="s">
        <v>195</v>
      </c>
      <c r="W428" s="28" t="s">
        <v>195</v>
      </c>
      <c r="X428" s="15" t="s">
        <v>195</v>
      </c>
      <c r="Y428" s="28" t="s">
        <v>195</v>
      </c>
      <c r="Z428" s="28" t="s">
        <v>195</v>
      </c>
      <c r="AA428" s="28" t="s">
        <v>195</v>
      </c>
      <c r="AB428" s="102">
        <v>0.67</v>
      </c>
      <c r="AC428" s="28" t="s">
        <v>150</v>
      </c>
      <c r="AD428" s="135">
        <v>0.6</v>
      </c>
      <c r="AE428" s="28" t="s">
        <v>150</v>
      </c>
      <c r="AF428" s="243">
        <v>0.5</v>
      </c>
      <c r="AG428" s="28" t="s">
        <v>194</v>
      </c>
      <c r="AH428" s="95" t="s">
        <v>195</v>
      </c>
      <c r="AI428" s="94" t="s">
        <v>195</v>
      </c>
      <c r="AJ428" s="95" t="s">
        <v>195</v>
      </c>
      <c r="AK428" s="94" t="s">
        <v>195</v>
      </c>
    </row>
    <row r="429" spans="1:37" x14ac:dyDescent="0.25">
      <c r="A429" s="21" t="s">
        <v>71</v>
      </c>
      <c r="B429" s="5" t="s">
        <v>23</v>
      </c>
      <c r="C429" s="76" t="s">
        <v>24</v>
      </c>
      <c r="D429" s="26" t="s">
        <v>91</v>
      </c>
      <c r="E429" s="26" t="s">
        <v>145</v>
      </c>
      <c r="F429" s="21" t="s">
        <v>146</v>
      </c>
      <c r="G429" s="21" t="s">
        <v>147</v>
      </c>
      <c r="H429" s="21" t="s">
        <v>382</v>
      </c>
      <c r="I429" s="14" t="s">
        <v>154</v>
      </c>
      <c r="J429" s="28" t="s">
        <v>195</v>
      </c>
      <c r="K429" s="28" t="s">
        <v>195</v>
      </c>
      <c r="L429" s="28" t="s">
        <v>195</v>
      </c>
      <c r="M429" s="28" t="s">
        <v>195</v>
      </c>
      <c r="N429" s="28" t="s">
        <v>195</v>
      </c>
      <c r="O429" s="28" t="s">
        <v>195</v>
      </c>
      <c r="P429" s="28" t="s">
        <v>195</v>
      </c>
      <c r="Q429" s="28" t="s">
        <v>195</v>
      </c>
      <c r="R429" s="17" t="s">
        <v>154</v>
      </c>
      <c r="S429" s="15" t="s">
        <v>154</v>
      </c>
      <c r="T429" s="17" t="s">
        <v>154</v>
      </c>
      <c r="U429" s="15" t="s">
        <v>154</v>
      </c>
      <c r="V429" s="15" t="s">
        <v>195</v>
      </c>
      <c r="W429" s="28" t="s">
        <v>195</v>
      </c>
      <c r="X429" s="15" t="s">
        <v>195</v>
      </c>
      <c r="Y429" s="28" t="s">
        <v>195</v>
      </c>
      <c r="Z429" s="28" t="s">
        <v>195</v>
      </c>
      <c r="AA429" s="28" t="s">
        <v>195</v>
      </c>
      <c r="AB429" s="90" t="s">
        <v>154</v>
      </c>
      <c r="AC429" s="15" t="s">
        <v>154</v>
      </c>
      <c r="AD429" s="126" t="s">
        <v>154</v>
      </c>
      <c r="AE429" s="126" t="s">
        <v>154</v>
      </c>
      <c r="AF429" s="206" t="s">
        <v>195</v>
      </c>
      <c r="AG429" s="140" t="s">
        <v>195</v>
      </c>
      <c r="AH429" s="95" t="s">
        <v>195</v>
      </c>
      <c r="AI429" s="94" t="s">
        <v>195</v>
      </c>
      <c r="AJ429" s="95" t="s">
        <v>195</v>
      </c>
      <c r="AK429" s="94" t="s">
        <v>195</v>
      </c>
    </row>
    <row r="430" spans="1:37" x14ac:dyDescent="0.25">
      <c r="A430" s="21" t="s">
        <v>71</v>
      </c>
      <c r="B430" s="5" t="s">
        <v>23</v>
      </c>
      <c r="C430" s="76" t="s">
        <v>24</v>
      </c>
      <c r="D430" s="26" t="s">
        <v>91</v>
      </c>
      <c r="E430" s="26" t="s">
        <v>145</v>
      </c>
      <c r="F430" s="21" t="s">
        <v>146</v>
      </c>
      <c r="G430" s="21" t="s">
        <v>147</v>
      </c>
      <c r="H430" s="26" t="s">
        <v>174</v>
      </c>
      <c r="I430" s="11">
        <v>0.1</v>
      </c>
      <c r="J430" s="28" t="s">
        <v>195</v>
      </c>
      <c r="K430" s="28" t="s">
        <v>195</v>
      </c>
      <c r="L430" s="28" t="s">
        <v>195</v>
      </c>
      <c r="M430" s="28" t="s">
        <v>195</v>
      </c>
      <c r="N430" s="29">
        <v>0.16669999999999999</v>
      </c>
      <c r="O430" s="28" t="s">
        <v>150</v>
      </c>
      <c r="P430" s="29">
        <v>0.22</v>
      </c>
      <c r="Q430" s="28" t="s">
        <v>150</v>
      </c>
      <c r="R430" s="17" t="s">
        <v>154</v>
      </c>
      <c r="S430" s="15" t="s">
        <v>154</v>
      </c>
      <c r="T430" s="17" t="s">
        <v>154</v>
      </c>
      <c r="U430" s="15" t="s">
        <v>154</v>
      </c>
      <c r="V430" s="15" t="s">
        <v>195</v>
      </c>
      <c r="W430" s="28" t="s">
        <v>195</v>
      </c>
      <c r="X430" s="15" t="s">
        <v>195</v>
      </c>
      <c r="Y430" s="28" t="s">
        <v>195</v>
      </c>
      <c r="Z430" s="28" t="s">
        <v>195</v>
      </c>
      <c r="AA430" s="28" t="s">
        <v>195</v>
      </c>
      <c r="AB430" s="102">
        <v>0.5</v>
      </c>
      <c r="AC430" s="28" t="s">
        <v>150</v>
      </c>
      <c r="AD430" s="102">
        <v>0</v>
      </c>
      <c r="AE430" s="28" t="s">
        <v>194</v>
      </c>
      <c r="AF430" s="243">
        <v>0</v>
      </c>
      <c r="AG430" s="28" t="s">
        <v>194</v>
      </c>
      <c r="AH430" s="95" t="s">
        <v>195</v>
      </c>
      <c r="AI430" s="97" t="s">
        <v>195</v>
      </c>
      <c r="AJ430" s="95" t="s">
        <v>195</v>
      </c>
      <c r="AK430" s="97" t="s">
        <v>195</v>
      </c>
    </row>
    <row r="431" spans="1:37" x14ac:dyDescent="0.25">
      <c r="A431" s="21" t="s">
        <v>71</v>
      </c>
      <c r="B431" s="5" t="s">
        <v>23</v>
      </c>
      <c r="C431" s="76" t="s">
        <v>24</v>
      </c>
      <c r="D431" s="26" t="s">
        <v>91</v>
      </c>
      <c r="E431" s="26" t="s">
        <v>191</v>
      </c>
      <c r="F431" s="27" t="s">
        <v>179</v>
      </c>
      <c r="G431" s="21" t="s">
        <v>147</v>
      </c>
      <c r="H431" s="21" t="s">
        <v>207</v>
      </c>
      <c r="I431" s="15">
        <v>0.2</v>
      </c>
      <c r="J431" s="28" t="s">
        <v>195</v>
      </c>
      <c r="K431" s="28" t="s">
        <v>195</v>
      </c>
      <c r="L431" s="28" t="s">
        <v>195</v>
      </c>
      <c r="M431" s="28" t="s">
        <v>195</v>
      </c>
      <c r="N431" s="28" t="s">
        <v>195</v>
      </c>
      <c r="O431" s="28" t="s">
        <v>195</v>
      </c>
      <c r="P431" s="28" t="s">
        <v>195</v>
      </c>
      <c r="Q431" s="28" t="s">
        <v>195</v>
      </c>
      <c r="R431" s="17" t="s">
        <v>154</v>
      </c>
      <c r="S431" s="15" t="s">
        <v>154</v>
      </c>
      <c r="T431" s="17" t="s">
        <v>154</v>
      </c>
      <c r="U431" s="15" t="s">
        <v>154</v>
      </c>
      <c r="V431" s="15" t="s">
        <v>195</v>
      </c>
      <c r="W431" s="28" t="s">
        <v>195</v>
      </c>
      <c r="X431" s="15" t="s">
        <v>195</v>
      </c>
      <c r="Y431" s="28" t="s">
        <v>195</v>
      </c>
      <c r="Z431" s="28" t="s">
        <v>195</v>
      </c>
      <c r="AA431" s="28" t="s">
        <v>195</v>
      </c>
      <c r="AB431" s="102">
        <v>1</v>
      </c>
      <c r="AC431" s="28" t="s">
        <v>194</v>
      </c>
      <c r="AD431" s="102">
        <v>1</v>
      </c>
      <c r="AE431" s="28" t="s">
        <v>194</v>
      </c>
      <c r="AF431" s="243">
        <v>1</v>
      </c>
      <c r="AG431" s="28" t="s">
        <v>194</v>
      </c>
      <c r="AH431" s="95" t="s">
        <v>195</v>
      </c>
      <c r="AI431" s="271" t="s">
        <v>195</v>
      </c>
      <c r="AJ431" s="95" t="s">
        <v>195</v>
      </c>
      <c r="AK431" s="271" t="s">
        <v>195</v>
      </c>
    </row>
    <row r="432" spans="1:37" x14ac:dyDescent="0.25">
      <c r="A432" s="161" t="s">
        <v>71</v>
      </c>
      <c r="B432" s="162" t="s">
        <v>23</v>
      </c>
      <c r="C432" s="264" t="s">
        <v>24</v>
      </c>
      <c r="D432" s="163" t="s">
        <v>91</v>
      </c>
      <c r="E432" s="163" t="s">
        <v>191</v>
      </c>
      <c r="F432" s="164" t="s">
        <v>179</v>
      </c>
      <c r="G432" s="161" t="s">
        <v>147</v>
      </c>
      <c r="H432" s="164" t="s">
        <v>190</v>
      </c>
      <c r="I432" s="165">
        <v>0.9</v>
      </c>
      <c r="J432" s="167" t="s">
        <v>195</v>
      </c>
      <c r="K432" s="167" t="s">
        <v>195</v>
      </c>
      <c r="L432" s="166">
        <v>0.2</v>
      </c>
      <c r="M432" s="167" t="s">
        <v>194</v>
      </c>
      <c r="N432" s="166">
        <v>0.13</v>
      </c>
      <c r="O432" s="167" t="s">
        <v>194</v>
      </c>
      <c r="P432" s="166">
        <v>0.50209999999999999</v>
      </c>
      <c r="Q432" s="167" t="s">
        <v>194</v>
      </c>
      <c r="R432" s="168" t="s">
        <v>154</v>
      </c>
      <c r="S432" s="165" t="s">
        <v>154</v>
      </c>
      <c r="T432" s="168" t="s">
        <v>154</v>
      </c>
      <c r="U432" s="165" t="s">
        <v>154</v>
      </c>
      <c r="V432" s="165" t="s">
        <v>195</v>
      </c>
      <c r="W432" s="167" t="s">
        <v>195</v>
      </c>
      <c r="X432" s="165" t="s">
        <v>195</v>
      </c>
      <c r="Y432" s="167" t="s">
        <v>195</v>
      </c>
      <c r="Z432" s="167" t="s">
        <v>195</v>
      </c>
      <c r="AA432" s="167" t="s">
        <v>195</v>
      </c>
      <c r="AB432" s="191">
        <v>0.11</v>
      </c>
      <c r="AC432" s="167" t="s">
        <v>194</v>
      </c>
      <c r="AD432" s="191">
        <v>0.11</v>
      </c>
      <c r="AE432" s="167" t="s">
        <v>194</v>
      </c>
      <c r="AF432" s="243">
        <v>0.04</v>
      </c>
      <c r="AG432" s="28" t="s">
        <v>194</v>
      </c>
      <c r="AH432" s="95" t="s">
        <v>195</v>
      </c>
      <c r="AI432" s="94" t="s">
        <v>195</v>
      </c>
      <c r="AJ432" s="95" t="s">
        <v>195</v>
      </c>
      <c r="AK432" s="94" t="s">
        <v>195</v>
      </c>
    </row>
    <row r="433" spans="1:37" x14ac:dyDescent="0.25">
      <c r="A433" s="21" t="s">
        <v>84</v>
      </c>
      <c r="B433" s="5" t="s">
        <v>31</v>
      </c>
      <c r="C433" s="76" t="s">
        <v>39</v>
      </c>
      <c r="D433" s="26" t="s">
        <v>46</v>
      </c>
      <c r="E433" s="26" t="s">
        <v>191</v>
      </c>
      <c r="F433" s="21" t="s">
        <v>179</v>
      </c>
      <c r="G433" s="21" t="s">
        <v>147</v>
      </c>
      <c r="H433" s="26" t="s">
        <v>180</v>
      </c>
      <c r="I433" s="11" t="s">
        <v>218</v>
      </c>
      <c r="J433" s="28" t="s">
        <v>195</v>
      </c>
      <c r="K433" s="28" t="s">
        <v>195</v>
      </c>
      <c r="L433" s="28" t="s">
        <v>195</v>
      </c>
      <c r="M433" s="28" t="s">
        <v>195</v>
      </c>
      <c r="N433" s="28" t="s">
        <v>195</v>
      </c>
      <c r="O433" s="28" t="s">
        <v>195</v>
      </c>
      <c r="P433" s="28" t="s">
        <v>195</v>
      </c>
      <c r="Q433" s="28" t="s">
        <v>195</v>
      </c>
      <c r="R433" s="28" t="s">
        <v>195</v>
      </c>
      <c r="S433" s="28" t="s">
        <v>196</v>
      </c>
      <c r="T433" s="28" t="s">
        <v>195</v>
      </c>
      <c r="U433" s="28" t="s">
        <v>196</v>
      </c>
      <c r="V433" s="28" t="s">
        <v>195</v>
      </c>
      <c r="W433" s="28" t="s">
        <v>195</v>
      </c>
      <c r="X433" s="28" t="s">
        <v>195</v>
      </c>
      <c r="Y433" s="28" t="s">
        <v>195</v>
      </c>
      <c r="Z433" s="28" t="s">
        <v>195</v>
      </c>
      <c r="AA433" s="28" t="s">
        <v>195</v>
      </c>
      <c r="AB433" s="97" t="s">
        <v>195</v>
      </c>
      <c r="AC433" s="90" t="s">
        <v>195</v>
      </c>
      <c r="AD433" s="97" t="str">
        <f t="shared" ref="AD433:AD439" si="2">IF(AC433="NA","NA",IF(AC433="Not Reported","Not Reported",IF(AC433&gt;$L$346,"Not Met","Met")))</f>
        <v>Not Reported</v>
      </c>
      <c r="AE433" s="97" t="s">
        <v>195</v>
      </c>
      <c r="AF433" s="206" t="s">
        <v>195</v>
      </c>
      <c r="AG433" s="140" t="s">
        <v>195</v>
      </c>
      <c r="AH433" s="95" t="s">
        <v>195</v>
      </c>
      <c r="AI433" s="97" t="s">
        <v>195</v>
      </c>
      <c r="AJ433" s="95" t="s">
        <v>195</v>
      </c>
      <c r="AK433" s="97" t="s">
        <v>195</v>
      </c>
    </row>
    <row r="434" spans="1:37" x14ac:dyDescent="0.25">
      <c r="A434" s="21" t="s">
        <v>84</v>
      </c>
      <c r="B434" s="5" t="s">
        <v>31</v>
      </c>
      <c r="C434" s="76" t="s">
        <v>39</v>
      </c>
      <c r="D434" s="26" t="s">
        <v>46</v>
      </c>
      <c r="E434" s="26" t="s">
        <v>191</v>
      </c>
      <c r="F434" s="21" t="s">
        <v>179</v>
      </c>
      <c r="G434" s="21" t="s">
        <v>147</v>
      </c>
      <c r="H434" s="26" t="s">
        <v>197</v>
      </c>
      <c r="I434" s="11" t="s">
        <v>215</v>
      </c>
      <c r="J434" s="28" t="s">
        <v>195</v>
      </c>
      <c r="K434" s="28" t="s">
        <v>195</v>
      </c>
      <c r="L434" s="28" t="s">
        <v>195</v>
      </c>
      <c r="M434" s="28" t="s">
        <v>195</v>
      </c>
      <c r="N434" s="28" t="s">
        <v>195</v>
      </c>
      <c r="O434" s="28" t="s">
        <v>195</v>
      </c>
      <c r="P434" s="28" t="s">
        <v>195</v>
      </c>
      <c r="Q434" s="28" t="s">
        <v>195</v>
      </c>
      <c r="R434" s="28" t="s">
        <v>195</v>
      </c>
      <c r="S434" s="28" t="s">
        <v>196</v>
      </c>
      <c r="T434" s="28" t="s">
        <v>195</v>
      </c>
      <c r="U434" s="28" t="s">
        <v>196</v>
      </c>
      <c r="V434" s="28" t="s">
        <v>195</v>
      </c>
      <c r="W434" s="28" t="s">
        <v>195</v>
      </c>
      <c r="X434" s="28" t="s">
        <v>195</v>
      </c>
      <c r="Y434" s="28" t="s">
        <v>195</v>
      </c>
      <c r="Z434" s="28" t="s">
        <v>195</v>
      </c>
      <c r="AA434" s="28" t="s">
        <v>195</v>
      </c>
      <c r="AB434" s="97" t="s">
        <v>195</v>
      </c>
      <c r="AC434" s="90" t="s">
        <v>195</v>
      </c>
      <c r="AD434" s="97" t="str">
        <f t="shared" si="2"/>
        <v>Not Reported</v>
      </c>
      <c r="AE434" s="97" t="s">
        <v>195</v>
      </c>
      <c r="AF434" s="206" t="s">
        <v>195</v>
      </c>
      <c r="AG434" s="140" t="s">
        <v>195</v>
      </c>
      <c r="AH434" s="95" t="s">
        <v>195</v>
      </c>
      <c r="AI434" s="97" t="s">
        <v>195</v>
      </c>
      <c r="AJ434" s="95" t="s">
        <v>195</v>
      </c>
      <c r="AK434" s="97" t="s">
        <v>195</v>
      </c>
    </row>
    <row r="435" spans="1:37" x14ac:dyDescent="0.25">
      <c r="A435" s="21" t="s">
        <v>84</v>
      </c>
      <c r="B435" s="5" t="s">
        <v>31</v>
      </c>
      <c r="C435" s="76" t="s">
        <v>39</v>
      </c>
      <c r="D435" s="26" t="s">
        <v>46</v>
      </c>
      <c r="E435" s="26" t="s">
        <v>191</v>
      </c>
      <c r="F435" s="21" t="s">
        <v>179</v>
      </c>
      <c r="G435" s="21" t="s">
        <v>147</v>
      </c>
      <c r="H435" s="26" t="s">
        <v>207</v>
      </c>
      <c r="I435" s="11">
        <v>0.2</v>
      </c>
      <c r="J435" s="28" t="s">
        <v>195</v>
      </c>
      <c r="K435" s="28" t="s">
        <v>195</v>
      </c>
      <c r="L435" s="28" t="s">
        <v>195</v>
      </c>
      <c r="M435" s="28" t="s">
        <v>195</v>
      </c>
      <c r="N435" s="28" t="s">
        <v>195</v>
      </c>
      <c r="O435" s="28" t="s">
        <v>195</v>
      </c>
      <c r="P435" s="28" t="s">
        <v>195</v>
      </c>
      <c r="Q435" s="28" t="s">
        <v>195</v>
      </c>
      <c r="R435" s="28" t="s">
        <v>195</v>
      </c>
      <c r="S435" s="28" t="s">
        <v>196</v>
      </c>
      <c r="T435" s="28" t="s">
        <v>195</v>
      </c>
      <c r="U435" s="28" t="s">
        <v>196</v>
      </c>
      <c r="V435" s="28" t="s">
        <v>195</v>
      </c>
      <c r="W435" s="28" t="s">
        <v>195</v>
      </c>
      <c r="X435" s="28" t="s">
        <v>195</v>
      </c>
      <c r="Y435" s="28" t="s">
        <v>195</v>
      </c>
      <c r="Z435" s="28" t="s">
        <v>195</v>
      </c>
      <c r="AA435" s="28" t="s">
        <v>195</v>
      </c>
      <c r="AB435" s="97" t="s">
        <v>195</v>
      </c>
      <c r="AC435" s="90" t="s">
        <v>195</v>
      </c>
      <c r="AD435" s="97" t="str">
        <f t="shared" si="2"/>
        <v>Not Reported</v>
      </c>
      <c r="AE435" s="127" t="s">
        <v>195</v>
      </c>
      <c r="AF435" s="206" t="s">
        <v>195</v>
      </c>
      <c r="AG435" s="140" t="s">
        <v>195</v>
      </c>
      <c r="AH435" s="95" t="s">
        <v>195</v>
      </c>
      <c r="AI435" s="271" t="s">
        <v>195</v>
      </c>
      <c r="AJ435" s="95" t="s">
        <v>195</v>
      </c>
      <c r="AK435" s="271" t="s">
        <v>195</v>
      </c>
    </row>
    <row r="436" spans="1:37" x14ac:dyDescent="0.25">
      <c r="A436" s="21" t="s">
        <v>84</v>
      </c>
      <c r="B436" s="5" t="s">
        <v>31</v>
      </c>
      <c r="C436" s="76" t="s">
        <v>39</v>
      </c>
      <c r="D436" s="26" t="s">
        <v>46</v>
      </c>
      <c r="E436" s="26" t="s">
        <v>191</v>
      </c>
      <c r="F436" s="21" t="s">
        <v>179</v>
      </c>
      <c r="G436" s="21" t="s">
        <v>147</v>
      </c>
      <c r="H436" s="26" t="s">
        <v>186</v>
      </c>
      <c r="I436" s="11">
        <v>0.6</v>
      </c>
      <c r="J436" s="28" t="s">
        <v>195</v>
      </c>
      <c r="K436" s="28" t="s">
        <v>195</v>
      </c>
      <c r="L436" s="28" t="s">
        <v>195</v>
      </c>
      <c r="M436" s="28" t="s">
        <v>195</v>
      </c>
      <c r="N436" s="28" t="s">
        <v>195</v>
      </c>
      <c r="O436" s="28" t="s">
        <v>195</v>
      </c>
      <c r="P436" s="28" t="s">
        <v>195</v>
      </c>
      <c r="Q436" s="28" t="s">
        <v>195</v>
      </c>
      <c r="R436" s="28" t="s">
        <v>195</v>
      </c>
      <c r="S436" s="28" t="s">
        <v>196</v>
      </c>
      <c r="T436" s="28" t="s">
        <v>195</v>
      </c>
      <c r="U436" s="28" t="s">
        <v>196</v>
      </c>
      <c r="V436" s="28" t="s">
        <v>195</v>
      </c>
      <c r="W436" s="28" t="s">
        <v>195</v>
      </c>
      <c r="X436" s="28" t="s">
        <v>195</v>
      </c>
      <c r="Y436" s="28" t="s">
        <v>195</v>
      </c>
      <c r="Z436" s="28" t="s">
        <v>195</v>
      </c>
      <c r="AA436" s="28" t="s">
        <v>195</v>
      </c>
      <c r="AB436" s="97" t="s">
        <v>195</v>
      </c>
      <c r="AC436" s="90" t="s">
        <v>195</v>
      </c>
      <c r="AD436" s="97" t="str">
        <f t="shared" si="2"/>
        <v>Not Reported</v>
      </c>
      <c r="AE436" s="126" t="s">
        <v>195</v>
      </c>
      <c r="AF436" s="95" t="s">
        <v>195</v>
      </c>
      <c r="AG436" s="140" t="s">
        <v>195</v>
      </c>
      <c r="AH436" s="95" t="s">
        <v>195</v>
      </c>
      <c r="AI436" s="94" t="s">
        <v>195</v>
      </c>
      <c r="AJ436" s="95" t="s">
        <v>195</v>
      </c>
      <c r="AK436" s="94" t="s">
        <v>195</v>
      </c>
    </row>
    <row r="437" spans="1:37" x14ac:dyDescent="0.25">
      <c r="A437" s="21" t="s">
        <v>84</v>
      </c>
      <c r="B437" s="5" t="s">
        <v>31</v>
      </c>
      <c r="C437" s="76" t="s">
        <v>39</v>
      </c>
      <c r="D437" s="26" t="s">
        <v>46</v>
      </c>
      <c r="E437" s="26" t="s">
        <v>191</v>
      </c>
      <c r="F437" s="21" t="s">
        <v>179</v>
      </c>
      <c r="G437" s="21" t="s">
        <v>147</v>
      </c>
      <c r="H437" s="26" t="s">
        <v>188</v>
      </c>
      <c r="I437" s="16">
        <v>4.7222222222222221E-2</v>
      </c>
      <c r="J437" s="28" t="s">
        <v>195</v>
      </c>
      <c r="K437" s="28" t="s">
        <v>195</v>
      </c>
      <c r="L437" s="28" t="s">
        <v>195</v>
      </c>
      <c r="M437" s="28" t="s">
        <v>195</v>
      </c>
      <c r="N437" s="28" t="s">
        <v>195</v>
      </c>
      <c r="O437" s="28" t="s">
        <v>195</v>
      </c>
      <c r="P437" s="28" t="s">
        <v>195</v>
      </c>
      <c r="Q437" s="28" t="s">
        <v>195</v>
      </c>
      <c r="R437" s="28" t="s">
        <v>195</v>
      </c>
      <c r="S437" s="28" t="s">
        <v>196</v>
      </c>
      <c r="T437" s="28" t="s">
        <v>195</v>
      </c>
      <c r="U437" s="28" t="s">
        <v>196</v>
      </c>
      <c r="V437" s="28" t="s">
        <v>195</v>
      </c>
      <c r="W437" s="28" t="s">
        <v>195</v>
      </c>
      <c r="X437" s="28" t="s">
        <v>195</v>
      </c>
      <c r="Y437" s="28" t="s">
        <v>195</v>
      </c>
      <c r="Z437" s="28" t="s">
        <v>195</v>
      </c>
      <c r="AA437" s="28" t="s">
        <v>195</v>
      </c>
      <c r="AB437" s="97" t="s">
        <v>195</v>
      </c>
      <c r="AC437" s="90" t="s">
        <v>195</v>
      </c>
      <c r="AD437" s="97" t="str">
        <f t="shared" si="2"/>
        <v>Not Reported</v>
      </c>
      <c r="AE437" s="126" t="s">
        <v>195</v>
      </c>
      <c r="AF437" s="95" t="s">
        <v>195</v>
      </c>
      <c r="AG437" s="140" t="s">
        <v>195</v>
      </c>
      <c r="AH437" s="95" t="s">
        <v>195</v>
      </c>
      <c r="AI437" s="94" t="s">
        <v>195</v>
      </c>
      <c r="AJ437" s="95" t="s">
        <v>195</v>
      </c>
      <c r="AK437" s="94" t="s">
        <v>195</v>
      </c>
    </row>
    <row r="438" spans="1:37" x14ac:dyDescent="0.25">
      <c r="A438" s="21" t="s">
        <v>84</v>
      </c>
      <c r="B438" s="5" t="s">
        <v>31</v>
      </c>
      <c r="C438" s="76" t="s">
        <v>39</v>
      </c>
      <c r="D438" s="26" t="s">
        <v>46</v>
      </c>
      <c r="E438" s="26" t="s">
        <v>191</v>
      </c>
      <c r="F438" s="21" t="s">
        <v>179</v>
      </c>
      <c r="G438" s="21" t="s">
        <v>147</v>
      </c>
      <c r="H438" s="26" t="s">
        <v>189</v>
      </c>
      <c r="I438" s="11">
        <v>0.1</v>
      </c>
      <c r="J438" s="28" t="s">
        <v>195</v>
      </c>
      <c r="K438" s="28" t="s">
        <v>195</v>
      </c>
      <c r="L438" s="28" t="s">
        <v>195</v>
      </c>
      <c r="M438" s="28" t="s">
        <v>195</v>
      </c>
      <c r="N438" s="28" t="s">
        <v>195</v>
      </c>
      <c r="O438" s="28" t="s">
        <v>195</v>
      </c>
      <c r="P438" s="28" t="s">
        <v>195</v>
      </c>
      <c r="Q438" s="28" t="s">
        <v>195</v>
      </c>
      <c r="R438" s="28" t="s">
        <v>195</v>
      </c>
      <c r="S438" s="28" t="s">
        <v>196</v>
      </c>
      <c r="T438" s="28" t="s">
        <v>195</v>
      </c>
      <c r="U438" s="28" t="s">
        <v>196</v>
      </c>
      <c r="V438" s="28" t="s">
        <v>195</v>
      </c>
      <c r="W438" s="28" t="s">
        <v>195</v>
      </c>
      <c r="X438" s="28" t="s">
        <v>195</v>
      </c>
      <c r="Y438" s="28" t="s">
        <v>195</v>
      </c>
      <c r="Z438" s="28" t="s">
        <v>195</v>
      </c>
      <c r="AA438" s="28" t="s">
        <v>195</v>
      </c>
      <c r="AB438" s="97" t="s">
        <v>195</v>
      </c>
      <c r="AC438" s="90" t="s">
        <v>195</v>
      </c>
      <c r="AD438" s="97" t="str">
        <f t="shared" si="2"/>
        <v>Not Reported</v>
      </c>
      <c r="AE438" s="126" t="s">
        <v>195</v>
      </c>
      <c r="AF438" s="95" t="s">
        <v>195</v>
      </c>
      <c r="AG438" s="140" t="s">
        <v>195</v>
      </c>
      <c r="AH438" s="95" t="s">
        <v>195</v>
      </c>
      <c r="AI438" s="94" t="s">
        <v>195</v>
      </c>
      <c r="AJ438" s="95" t="s">
        <v>195</v>
      </c>
      <c r="AK438" s="94" t="s">
        <v>195</v>
      </c>
    </row>
    <row r="439" spans="1:37" x14ac:dyDescent="0.25">
      <c r="A439" s="21" t="s">
        <v>84</v>
      </c>
      <c r="B439" s="5" t="s">
        <v>31</v>
      </c>
      <c r="C439" s="76" t="s">
        <v>39</v>
      </c>
      <c r="D439" s="26" t="s">
        <v>46</v>
      </c>
      <c r="E439" s="26" t="s">
        <v>191</v>
      </c>
      <c r="F439" s="21" t="s">
        <v>179</v>
      </c>
      <c r="G439" s="21" t="s">
        <v>147</v>
      </c>
      <c r="H439" s="26" t="s">
        <v>190</v>
      </c>
      <c r="I439" s="11">
        <v>0.9</v>
      </c>
      <c r="J439" s="28" t="s">
        <v>195</v>
      </c>
      <c r="K439" s="28" t="s">
        <v>195</v>
      </c>
      <c r="L439" s="28" t="s">
        <v>195</v>
      </c>
      <c r="M439" s="28" t="s">
        <v>195</v>
      </c>
      <c r="N439" s="28" t="s">
        <v>195</v>
      </c>
      <c r="O439" s="28" t="s">
        <v>195</v>
      </c>
      <c r="P439" s="28" t="s">
        <v>195</v>
      </c>
      <c r="Q439" s="28" t="s">
        <v>195</v>
      </c>
      <c r="R439" s="28" t="s">
        <v>195</v>
      </c>
      <c r="S439" s="28" t="s">
        <v>196</v>
      </c>
      <c r="T439" s="28" t="s">
        <v>195</v>
      </c>
      <c r="U439" s="28" t="s">
        <v>196</v>
      </c>
      <c r="V439" s="28" t="s">
        <v>195</v>
      </c>
      <c r="W439" s="28" t="s">
        <v>195</v>
      </c>
      <c r="X439" s="28" t="s">
        <v>195</v>
      </c>
      <c r="Y439" s="28" t="s">
        <v>195</v>
      </c>
      <c r="Z439" s="28" t="s">
        <v>195</v>
      </c>
      <c r="AA439" s="28" t="s">
        <v>195</v>
      </c>
      <c r="AB439" s="97" t="s">
        <v>195</v>
      </c>
      <c r="AC439" s="90" t="s">
        <v>195</v>
      </c>
      <c r="AD439" s="97" t="str">
        <f t="shared" si="2"/>
        <v>Not Reported</v>
      </c>
      <c r="AE439" s="126" t="s">
        <v>195</v>
      </c>
      <c r="AF439" s="95" t="s">
        <v>195</v>
      </c>
      <c r="AG439" s="140" t="s">
        <v>195</v>
      </c>
      <c r="AH439" s="95" t="s">
        <v>195</v>
      </c>
      <c r="AI439" s="94" t="s">
        <v>195</v>
      </c>
      <c r="AJ439" s="95" t="s">
        <v>195</v>
      </c>
      <c r="AK439" s="94" t="s">
        <v>195</v>
      </c>
    </row>
    <row r="440" spans="1:37" x14ac:dyDescent="0.25">
      <c r="A440" s="201" t="s">
        <v>47</v>
      </c>
      <c r="B440" s="202" t="s">
        <v>31</v>
      </c>
      <c r="C440" s="265" t="s">
        <v>35</v>
      </c>
      <c r="D440" s="203" t="s">
        <v>36</v>
      </c>
      <c r="E440" s="203" t="s">
        <v>145</v>
      </c>
      <c r="F440" s="201" t="s">
        <v>179</v>
      </c>
      <c r="G440" s="201" t="s">
        <v>147</v>
      </c>
      <c r="H440" s="207" t="s">
        <v>180</v>
      </c>
      <c r="I440" s="208" t="s">
        <v>218</v>
      </c>
      <c r="J440" s="197" t="s">
        <v>206</v>
      </c>
      <c r="K440" s="197" t="s">
        <v>154</v>
      </c>
      <c r="L440" s="197" t="s">
        <v>206</v>
      </c>
      <c r="M440" s="197" t="s">
        <v>154</v>
      </c>
      <c r="N440" s="197" t="s">
        <v>206</v>
      </c>
      <c r="O440" s="197" t="s">
        <v>154</v>
      </c>
      <c r="P440" s="197" t="s">
        <v>206</v>
      </c>
      <c r="Q440" s="197" t="s">
        <v>154</v>
      </c>
      <c r="R440" s="210" t="s">
        <v>154</v>
      </c>
      <c r="S440" s="197" t="s">
        <v>154</v>
      </c>
      <c r="T440" s="210" t="s">
        <v>154</v>
      </c>
      <c r="U440" s="197" t="s">
        <v>154</v>
      </c>
      <c r="V440" s="210" t="s">
        <v>154</v>
      </c>
      <c r="W440" s="197" t="s">
        <v>154</v>
      </c>
      <c r="X440" s="210" t="s">
        <v>154</v>
      </c>
      <c r="Y440" s="197" t="s">
        <v>154</v>
      </c>
      <c r="Z440" s="210" t="s">
        <v>154</v>
      </c>
      <c r="AA440" s="197" t="s">
        <v>154</v>
      </c>
      <c r="AB440" s="158" t="s">
        <v>154</v>
      </c>
      <c r="AC440" s="197" t="s">
        <v>154</v>
      </c>
      <c r="AD440" s="245" t="s">
        <v>154</v>
      </c>
      <c r="AE440" s="160" t="s">
        <v>154</v>
      </c>
      <c r="AF440" s="93" t="s">
        <v>154</v>
      </c>
      <c r="AG440" s="97" t="s">
        <v>154</v>
      </c>
      <c r="AH440" s="93" t="s">
        <v>154</v>
      </c>
      <c r="AI440" s="97" t="s">
        <v>154</v>
      </c>
      <c r="AJ440" s="93" t="s">
        <v>154</v>
      </c>
      <c r="AK440" s="97" t="s">
        <v>154</v>
      </c>
    </row>
    <row r="441" spans="1:37" x14ac:dyDescent="0.25">
      <c r="A441" s="21" t="s">
        <v>47</v>
      </c>
      <c r="B441" s="5" t="s">
        <v>31</v>
      </c>
      <c r="C441" s="76" t="s">
        <v>35</v>
      </c>
      <c r="D441" s="26" t="s">
        <v>36</v>
      </c>
      <c r="E441" s="26" t="s">
        <v>145</v>
      </c>
      <c r="F441" s="21" t="s">
        <v>179</v>
      </c>
      <c r="G441" s="21" t="s">
        <v>147</v>
      </c>
      <c r="H441" s="27" t="s">
        <v>188</v>
      </c>
      <c r="I441" s="11">
        <v>0.2</v>
      </c>
      <c r="J441" s="15" t="s">
        <v>206</v>
      </c>
      <c r="K441" s="15" t="s">
        <v>154</v>
      </c>
      <c r="L441" s="15" t="s">
        <v>206</v>
      </c>
      <c r="M441" s="15" t="s">
        <v>154</v>
      </c>
      <c r="N441" s="15" t="s">
        <v>206</v>
      </c>
      <c r="O441" s="15" t="s">
        <v>154</v>
      </c>
      <c r="P441" s="15" t="s">
        <v>206</v>
      </c>
      <c r="Q441" s="15" t="s">
        <v>154</v>
      </c>
      <c r="R441" s="17" t="s">
        <v>154</v>
      </c>
      <c r="S441" s="15" t="s">
        <v>154</v>
      </c>
      <c r="T441" s="17" t="s">
        <v>154</v>
      </c>
      <c r="U441" s="15" t="s">
        <v>154</v>
      </c>
      <c r="V441" s="17" t="s">
        <v>154</v>
      </c>
      <c r="W441" s="15" t="s">
        <v>154</v>
      </c>
      <c r="X441" s="17" t="s">
        <v>154</v>
      </c>
      <c r="Y441" s="15" t="s">
        <v>154</v>
      </c>
      <c r="Z441" s="17" t="s">
        <v>154</v>
      </c>
      <c r="AA441" s="15" t="s">
        <v>154</v>
      </c>
      <c r="AB441" s="93" t="s">
        <v>154</v>
      </c>
      <c r="AC441" s="15" t="s">
        <v>154</v>
      </c>
      <c r="AD441" s="138" t="s">
        <v>154</v>
      </c>
      <c r="AE441" s="126" t="s">
        <v>154</v>
      </c>
      <c r="AF441" s="93" t="s">
        <v>154</v>
      </c>
      <c r="AG441" s="97" t="s">
        <v>154</v>
      </c>
      <c r="AH441" s="93" t="s">
        <v>154</v>
      </c>
      <c r="AI441" s="94" t="s">
        <v>154</v>
      </c>
      <c r="AJ441" s="93" t="s">
        <v>154</v>
      </c>
      <c r="AK441" s="94" t="s">
        <v>154</v>
      </c>
    </row>
    <row r="442" spans="1:37" x14ac:dyDescent="0.25">
      <c r="A442" s="21" t="s">
        <v>47</v>
      </c>
      <c r="B442" s="5" t="s">
        <v>31</v>
      </c>
      <c r="C442" s="76" t="s">
        <v>35</v>
      </c>
      <c r="D442" s="26" t="s">
        <v>36</v>
      </c>
      <c r="E442" s="26" t="s">
        <v>145</v>
      </c>
      <c r="F442" s="21" t="s">
        <v>179</v>
      </c>
      <c r="G442" s="21" t="s">
        <v>147</v>
      </c>
      <c r="H442" s="21" t="s">
        <v>189</v>
      </c>
      <c r="I442" s="11">
        <v>0.2</v>
      </c>
      <c r="J442" s="15" t="s">
        <v>206</v>
      </c>
      <c r="K442" s="15" t="s">
        <v>154</v>
      </c>
      <c r="L442" s="15" t="s">
        <v>206</v>
      </c>
      <c r="M442" s="15" t="s">
        <v>154</v>
      </c>
      <c r="N442" s="15" t="s">
        <v>206</v>
      </c>
      <c r="O442" s="15" t="s">
        <v>154</v>
      </c>
      <c r="P442" s="15" t="s">
        <v>206</v>
      </c>
      <c r="Q442" s="15" t="s">
        <v>154</v>
      </c>
      <c r="R442" s="17" t="s">
        <v>154</v>
      </c>
      <c r="S442" s="15" t="s">
        <v>154</v>
      </c>
      <c r="T442" s="17" t="s">
        <v>154</v>
      </c>
      <c r="U442" s="15" t="s">
        <v>154</v>
      </c>
      <c r="V442" s="17" t="s">
        <v>154</v>
      </c>
      <c r="W442" s="15" t="s">
        <v>154</v>
      </c>
      <c r="X442" s="17" t="s">
        <v>154</v>
      </c>
      <c r="Y442" s="15" t="s">
        <v>154</v>
      </c>
      <c r="Z442" s="17" t="s">
        <v>154</v>
      </c>
      <c r="AA442" s="15" t="s">
        <v>154</v>
      </c>
      <c r="AB442" s="93" t="s">
        <v>154</v>
      </c>
      <c r="AC442" s="15" t="s">
        <v>154</v>
      </c>
      <c r="AD442" s="138" t="s">
        <v>154</v>
      </c>
      <c r="AE442" s="126" t="s">
        <v>154</v>
      </c>
      <c r="AF442" s="93" t="s">
        <v>154</v>
      </c>
      <c r="AG442" s="97" t="s">
        <v>154</v>
      </c>
      <c r="AH442" s="93" t="s">
        <v>154</v>
      </c>
      <c r="AI442" s="94" t="s">
        <v>154</v>
      </c>
      <c r="AJ442" s="93" t="s">
        <v>154</v>
      </c>
      <c r="AK442" s="94" t="s">
        <v>154</v>
      </c>
    </row>
    <row r="443" spans="1:37" x14ac:dyDescent="0.25">
      <c r="A443" s="21" t="s">
        <v>47</v>
      </c>
      <c r="B443" s="5" t="s">
        <v>31</v>
      </c>
      <c r="C443" s="76" t="s">
        <v>35</v>
      </c>
      <c r="D443" s="26" t="s">
        <v>36</v>
      </c>
      <c r="E443" s="26" t="s">
        <v>145</v>
      </c>
      <c r="F443" s="26" t="s">
        <v>146</v>
      </c>
      <c r="G443" s="21" t="s">
        <v>147</v>
      </c>
      <c r="H443" s="27" t="s">
        <v>289</v>
      </c>
      <c r="I443" s="14" t="s">
        <v>216</v>
      </c>
      <c r="J443" s="15" t="s">
        <v>206</v>
      </c>
      <c r="K443" s="15" t="s">
        <v>154</v>
      </c>
      <c r="L443" s="15" t="s">
        <v>206</v>
      </c>
      <c r="M443" s="15" t="s">
        <v>154</v>
      </c>
      <c r="N443" s="15" t="s">
        <v>206</v>
      </c>
      <c r="O443" s="15" t="s">
        <v>154</v>
      </c>
      <c r="P443" s="15" t="s">
        <v>206</v>
      </c>
      <c r="Q443" s="15" t="s">
        <v>154</v>
      </c>
      <c r="R443" s="17" t="s">
        <v>154</v>
      </c>
      <c r="S443" s="15" t="s">
        <v>154</v>
      </c>
      <c r="T443" s="17" t="s">
        <v>154</v>
      </c>
      <c r="U443" s="15" t="s">
        <v>154</v>
      </c>
      <c r="V443" s="17" t="s">
        <v>154</v>
      </c>
      <c r="W443" s="15" t="s">
        <v>154</v>
      </c>
      <c r="X443" s="17" t="s">
        <v>154</v>
      </c>
      <c r="Y443" s="15" t="s">
        <v>154</v>
      </c>
      <c r="Z443" s="17" t="s">
        <v>154</v>
      </c>
      <c r="AA443" s="15" t="s">
        <v>154</v>
      </c>
      <c r="AB443" s="93" t="s">
        <v>154</v>
      </c>
      <c r="AC443" s="15" t="s">
        <v>154</v>
      </c>
      <c r="AD443" s="138" t="s">
        <v>154</v>
      </c>
      <c r="AE443" s="126" t="s">
        <v>154</v>
      </c>
      <c r="AF443" s="93" t="s">
        <v>154</v>
      </c>
      <c r="AG443" s="97" t="s">
        <v>154</v>
      </c>
      <c r="AH443" s="93" t="s">
        <v>154</v>
      </c>
      <c r="AI443" s="94" t="s">
        <v>154</v>
      </c>
      <c r="AJ443" s="93" t="s">
        <v>154</v>
      </c>
      <c r="AK443" s="94" t="s">
        <v>154</v>
      </c>
    </row>
    <row r="444" spans="1:37" x14ac:dyDescent="0.25">
      <c r="A444" s="21" t="s">
        <v>47</v>
      </c>
      <c r="B444" s="5" t="s">
        <v>31</v>
      </c>
      <c r="C444" s="76" t="s">
        <v>35</v>
      </c>
      <c r="D444" s="26" t="s">
        <v>36</v>
      </c>
      <c r="E444" s="26" t="s">
        <v>145</v>
      </c>
      <c r="F444" s="26" t="s">
        <v>179</v>
      </c>
      <c r="G444" s="21" t="s">
        <v>147</v>
      </c>
      <c r="H444" s="27" t="s">
        <v>186</v>
      </c>
      <c r="I444" s="11">
        <v>0.6</v>
      </c>
      <c r="J444" s="15" t="s">
        <v>206</v>
      </c>
      <c r="K444" s="15" t="s">
        <v>154</v>
      </c>
      <c r="L444" s="15" t="s">
        <v>206</v>
      </c>
      <c r="M444" s="15" t="s">
        <v>154</v>
      </c>
      <c r="N444" s="15" t="s">
        <v>206</v>
      </c>
      <c r="O444" s="15" t="s">
        <v>154</v>
      </c>
      <c r="P444" s="15" t="s">
        <v>206</v>
      </c>
      <c r="Q444" s="15" t="s">
        <v>154</v>
      </c>
      <c r="R444" s="17" t="s">
        <v>154</v>
      </c>
      <c r="S444" s="15" t="s">
        <v>154</v>
      </c>
      <c r="T444" s="17" t="s">
        <v>154</v>
      </c>
      <c r="U444" s="15" t="s">
        <v>154</v>
      </c>
      <c r="V444" s="17" t="s">
        <v>154</v>
      </c>
      <c r="W444" s="15" t="s">
        <v>154</v>
      </c>
      <c r="X444" s="17" t="s">
        <v>154</v>
      </c>
      <c r="Y444" s="15" t="s">
        <v>154</v>
      </c>
      <c r="Z444" s="17" t="s">
        <v>154</v>
      </c>
      <c r="AA444" s="15" t="s">
        <v>154</v>
      </c>
      <c r="AB444" s="93" t="s">
        <v>154</v>
      </c>
      <c r="AC444" s="15" t="s">
        <v>154</v>
      </c>
      <c r="AD444" s="97" t="s">
        <v>154</v>
      </c>
      <c r="AE444" s="126" t="s">
        <v>154</v>
      </c>
      <c r="AF444" s="93" t="s">
        <v>154</v>
      </c>
      <c r="AG444" s="97" t="s">
        <v>154</v>
      </c>
      <c r="AH444" s="93" t="s">
        <v>154</v>
      </c>
      <c r="AI444" s="94" t="s">
        <v>154</v>
      </c>
      <c r="AJ444" s="93" t="s">
        <v>154</v>
      </c>
      <c r="AK444" s="94" t="s">
        <v>154</v>
      </c>
    </row>
    <row r="445" spans="1:37" x14ac:dyDescent="0.25">
      <c r="A445" s="21" t="s">
        <v>47</v>
      </c>
      <c r="B445" s="5" t="s">
        <v>31</v>
      </c>
      <c r="C445" s="76" t="s">
        <v>35</v>
      </c>
      <c r="D445" s="26" t="s">
        <v>36</v>
      </c>
      <c r="E445" s="26" t="s">
        <v>145</v>
      </c>
      <c r="F445" s="26" t="s">
        <v>179</v>
      </c>
      <c r="G445" s="21" t="s">
        <v>147</v>
      </c>
      <c r="H445" s="21" t="s">
        <v>207</v>
      </c>
      <c r="I445" s="11" t="s">
        <v>290</v>
      </c>
      <c r="J445" s="15" t="s">
        <v>206</v>
      </c>
      <c r="K445" s="15" t="s">
        <v>154</v>
      </c>
      <c r="L445" s="15" t="s">
        <v>206</v>
      </c>
      <c r="M445" s="15" t="s">
        <v>154</v>
      </c>
      <c r="N445" s="15" t="s">
        <v>206</v>
      </c>
      <c r="O445" s="15" t="s">
        <v>154</v>
      </c>
      <c r="P445" s="15" t="s">
        <v>206</v>
      </c>
      <c r="Q445" s="15" t="s">
        <v>154</v>
      </c>
      <c r="R445" s="17" t="s">
        <v>154</v>
      </c>
      <c r="S445" s="15" t="s">
        <v>154</v>
      </c>
      <c r="T445" s="17" t="s">
        <v>154</v>
      </c>
      <c r="U445" s="15" t="s">
        <v>154</v>
      </c>
      <c r="V445" s="17" t="s">
        <v>154</v>
      </c>
      <c r="W445" s="15" t="s">
        <v>154</v>
      </c>
      <c r="X445" s="17" t="s">
        <v>154</v>
      </c>
      <c r="Y445" s="15" t="s">
        <v>154</v>
      </c>
      <c r="Z445" s="17" t="s">
        <v>154</v>
      </c>
      <c r="AA445" s="15" t="s">
        <v>154</v>
      </c>
      <c r="AB445" s="93" t="s">
        <v>154</v>
      </c>
      <c r="AC445" s="15" t="s">
        <v>154</v>
      </c>
      <c r="AD445" s="97" t="s">
        <v>154</v>
      </c>
      <c r="AE445" s="127" t="s">
        <v>154</v>
      </c>
      <c r="AF445" s="93" t="s">
        <v>154</v>
      </c>
      <c r="AG445" s="97" t="s">
        <v>154</v>
      </c>
      <c r="AH445" s="93" t="s">
        <v>154</v>
      </c>
      <c r="AI445" s="271" t="s">
        <v>154</v>
      </c>
      <c r="AJ445" s="93" t="s">
        <v>154</v>
      </c>
      <c r="AK445" s="271" t="s">
        <v>154</v>
      </c>
    </row>
    <row r="446" spans="1:37" x14ac:dyDescent="0.25">
      <c r="A446" s="21" t="s">
        <v>47</v>
      </c>
      <c r="B446" s="5" t="s">
        <v>31</v>
      </c>
      <c r="C446" s="76" t="s">
        <v>35</v>
      </c>
      <c r="D446" s="26" t="s">
        <v>36</v>
      </c>
      <c r="E446" s="26" t="s">
        <v>145</v>
      </c>
      <c r="F446" s="26" t="s">
        <v>179</v>
      </c>
      <c r="G446" s="21" t="s">
        <v>147</v>
      </c>
      <c r="H446" s="27" t="s">
        <v>190</v>
      </c>
      <c r="I446" s="11" t="s">
        <v>291</v>
      </c>
      <c r="J446" s="15" t="s">
        <v>206</v>
      </c>
      <c r="K446" s="15" t="s">
        <v>154</v>
      </c>
      <c r="L446" s="15" t="s">
        <v>206</v>
      </c>
      <c r="M446" s="15" t="s">
        <v>154</v>
      </c>
      <c r="N446" s="15" t="s">
        <v>206</v>
      </c>
      <c r="O446" s="15" t="s">
        <v>154</v>
      </c>
      <c r="P446" s="15" t="s">
        <v>206</v>
      </c>
      <c r="Q446" s="15" t="s">
        <v>154</v>
      </c>
      <c r="R446" s="17" t="s">
        <v>154</v>
      </c>
      <c r="S446" s="15" t="s">
        <v>154</v>
      </c>
      <c r="T446" s="17" t="s">
        <v>154</v>
      </c>
      <c r="U446" s="15" t="s">
        <v>154</v>
      </c>
      <c r="V446" s="17" t="s">
        <v>154</v>
      </c>
      <c r="W446" s="15" t="s">
        <v>154</v>
      </c>
      <c r="X446" s="17" t="s">
        <v>154</v>
      </c>
      <c r="Y446" s="15" t="s">
        <v>154</v>
      </c>
      <c r="Z446" s="17" t="s">
        <v>154</v>
      </c>
      <c r="AA446" s="15" t="s">
        <v>154</v>
      </c>
      <c r="AB446" s="93" t="s">
        <v>154</v>
      </c>
      <c r="AC446" s="15" t="s">
        <v>154</v>
      </c>
      <c r="AD446" s="97" t="s">
        <v>154</v>
      </c>
      <c r="AE446" s="126" t="s">
        <v>154</v>
      </c>
      <c r="AF446" s="93" t="s">
        <v>154</v>
      </c>
      <c r="AG446" s="97" t="s">
        <v>154</v>
      </c>
      <c r="AH446" s="93" t="s">
        <v>154</v>
      </c>
      <c r="AI446" s="94" t="s">
        <v>154</v>
      </c>
      <c r="AJ446" s="93" t="s">
        <v>154</v>
      </c>
      <c r="AK446" s="94" t="s">
        <v>154</v>
      </c>
    </row>
    <row r="447" spans="1:37" x14ac:dyDescent="0.25">
      <c r="A447" s="21" t="s">
        <v>76</v>
      </c>
      <c r="B447" s="5" t="s">
        <v>31</v>
      </c>
      <c r="C447" s="76" t="s">
        <v>35</v>
      </c>
      <c r="D447" s="26" t="s">
        <v>36</v>
      </c>
      <c r="E447" s="26" t="s">
        <v>191</v>
      </c>
      <c r="F447" s="21" t="s">
        <v>179</v>
      </c>
      <c r="G447" s="21" t="s">
        <v>147</v>
      </c>
      <c r="H447" s="27" t="s">
        <v>190</v>
      </c>
      <c r="I447" s="11">
        <v>0.95</v>
      </c>
      <c r="J447" s="15" t="s">
        <v>206</v>
      </c>
      <c r="K447" s="15" t="s">
        <v>154</v>
      </c>
      <c r="L447" s="15" t="s">
        <v>206</v>
      </c>
      <c r="M447" s="15" t="s">
        <v>154</v>
      </c>
      <c r="N447" s="15" t="s">
        <v>206</v>
      </c>
      <c r="O447" s="15" t="s">
        <v>154</v>
      </c>
      <c r="P447" s="15" t="s">
        <v>206</v>
      </c>
      <c r="Q447" s="15" t="s">
        <v>154</v>
      </c>
      <c r="R447" s="17" t="s">
        <v>154</v>
      </c>
      <c r="S447" s="15" t="s">
        <v>154</v>
      </c>
      <c r="T447" s="17" t="s">
        <v>154</v>
      </c>
      <c r="U447" s="15" t="s">
        <v>154</v>
      </c>
      <c r="V447" s="17" t="s">
        <v>154</v>
      </c>
      <c r="W447" s="15" t="s">
        <v>154</v>
      </c>
      <c r="X447" s="17" t="s">
        <v>154</v>
      </c>
      <c r="Y447" s="15" t="s">
        <v>154</v>
      </c>
      <c r="Z447" s="17" t="s">
        <v>154</v>
      </c>
      <c r="AA447" s="15" t="s">
        <v>154</v>
      </c>
      <c r="AB447" s="94" t="s">
        <v>154</v>
      </c>
      <c r="AC447" s="15" t="s">
        <v>154</v>
      </c>
      <c r="AD447" s="97" t="s">
        <v>154</v>
      </c>
      <c r="AE447" s="126" t="s">
        <v>154</v>
      </c>
      <c r="AF447" s="93" t="s">
        <v>154</v>
      </c>
      <c r="AG447" s="97" t="s">
        <v>154</v>
      </c>
      <c r="AH447" s="93" t="s">
        <v>154</v>
      </c>
      <c r="AI447" s="94" t="s">
        <v>154</v>
      </c>
      <c r="AJ447" s="93" t="s">
        <v>154</v>
      </c>
      <c r="AK447" s="94" t="s">
        <v>154</v>
      </c>
    </row>
    <row r="448" spans="1:37" x14ac:dyDescent="0.25">
      <c r="A448" s="21" t="s">
        <v>76</v>
      </c>
      <c r="B448" s="5" t="s">
        <v>31</v>
      </c>
      <c r="C448" s="76" t="s">
        <v>35</v>
      </c>
      <c r="D448" s="26" t="s">
        <v>36</v>
      </c>
      <c r="E448" s="26" t="s">
        <v>191</v>
      </c>
      <c r="F448" s="21" t="s">
        <v>179</v>
      </c>
      <c r="G448" s="21" t="s">
        <v>147</v>
      </c>
      <c r="H448" s="27" t="s">
        <v>197</v>
      </c>
      <c r="I448" s="14" t="s">
        <v>215</v>
      </c>
      <c r="J448" s="15" t="s">
        <v>206</v>
      </c>
      <c r="K448" s="15" t="s">
        <v>154</v>
      </c>
      <c r="L448" s="15" t="s">
        <v>206</v>
      </c>
      <c r="M448" s="15" t="s">
        <v>154</v>
      </c>
      <c r="N448" s="15" t="s">
        <v>206</v>
      </c>
      <c r="O448" s="15" t="s">
        <v>154</v>
      </c>
      <c r="P448" s="15" t="s">
        <v>206</v>
      </c>
      <c r="Q448" s="15" t="s">
        <v>154</v>
      </c>
      <c r="R448" s="17" t="s">
        <v>154</v>
      </c>
      <c r="S448" s="15" t="s">
        <v>154</v>
      </c>
      <c r="T448" s="17" t="s">
        <v>154</v>
      </c>
      <c r="U448" s="15" t="s">
        <v>154</v>
      </c>
      <c r="V448" s="17" t="s">
        <v>154</v>
      </c>
      <c r="W448" s="15" t="s">
        <v>154</v>
      </c>
      <c r="X448" s="17" t="s">
        <v>154</v>
      </c>
      <c r="Y448" s="15" t="s">
        <v>154</v>
      </c>
      <c r="Z448" s="17" t="s">
        <v>154</v>
      </c>
      <c r="AA448" s="15" t="s">
        <v>154</v>
      </c>
      <c r="AB448" s="94" t="s">
        <v>154</v>
      </c>
      <c r="AC448" s="15" t="s">
        <v>154</v>
      </c>
      <c r="AD448" s="97" t="s">
        <v>154</v>
      </c>
      <c r="AE448" s="97" t="s">
        <v>154</v>
      </c>
      <c r="AF448" s="93" t="s">
        <v>154</v>
      </c>
      <c r="AG448" s="97" t="s">
        <v>154</v>
      </c>
      <c r="AH448" s="93" t="s">
        <v>154</v>
      </c>
      <c r="AI448" s="97" t="s">
        <v>154</v>
      </c>
      <c r="AJ448" s="93" t="s">
        <v>154</v>
      </c>
      <c r="AK448" s="97" t="s">
        <v>154</v>
      </c>
    </row>
    <row r="449" spans="1:37" x14ac:dyDescent="0.25">
      <c r="A449" s="21" t="s">
        <v>76</v>
      </c>
      <c r="B449" s="5" t="s">
        <v>31</v>
      </c>
      <c r="C449" s="76" t="s">
        <v>35</v>
      </c>
      <c r="D449" s="26" t="s">
        <v>36</v>
      </c>
      <c r="E449" s="26" t="s">
        <v>191</v>
      </c>
      <c r="F449" s="21" t="s">
        <v>179</v>
      </c>
      <c r="G449" s="21" t="s">
        <v>147</v>
      </c>
      <c r="H449" s="27" t="s">
        <v>186</v>
      </c>
      <c r="I449" s="11">
        <v>0.75</v>
      </c>
      <c r="J449" s="15" t="s">
        <v>206</v>
      </c>
      <c r="K449" s="15" t="s">
        <v>154</v>
      </c>
      <c r="L449" s="15" t="s">
        <v>206</v>
      </c>
      <c r="M449" s="15" t="s">
        <v>154</v>
      </c>
      <c r="N449" s="15" t="s">
        <v>206</v>
      </c>
      <c r="O449" s="15" t="s">
        <v>154</v>
      </c>
      <c r="P449" s="15" t="s">
        <v>206</v>
      </c>
      <c r="Q449" s="15" t="s">
        <v>154</v>
      </c>
      <c r="R449" s="17" t="s">
        <v>154</v>
      </c>
      <c r="S449" s="15" t="s">
        <v>154</v>
      </c>
      <c r="T449" s="17" t="s">
        <v>154</v>
      </c>
      <c r="U449" s="15" t="s">
        <v>154</v>
      </c>
      <c r="V449" s="17" t="s">
        <v>154</v>
      </c>
      <c r="W449" s="15" t="s">
        <v>154</v>
      </c>
      <c r="X449" s="17" t="s">
        <v>154</v>
      </c>
      <c r="Y449" s="15" t="s">
        <v>154</v>
      </c>
      <c r="Z449" s="17" t="s">
        <v>154</v>
      </c>
      <c r="AA449" s="15" t="s">
        <v>154</v>
      </c>
      <c r="AB449" s="94" t="s">
        <v>154</v>
      </c>
      <c r="AC449" s="15" t="s">
        <v>154</v>
      </c>
      <c r="AD449" s="97" t="s">
        <v>154</v>
      </c>
      <c r="AE449" s="126" t="s">
        <v>154</v>
      </c>
      <c r="AF449" s="93" t="s">
        <v>154</v>
      </c>
      <c r="AG449" s="97" t="s">
        <v>154</v>
      </c>
      <c r="AH449" s="93" t="s">
        <v>154</v>
      </c>
      <c r="AI449" s="94" t="s">
        <v>154</v>
      </c>
      <c r="AJ449" s="93" t="s">
        <v>154</v>
      </c>
      <c r="AK449" s="94" t="s">
        <v>154</v>
      </c>
    </row>
    <row r="450" spans="1:37" x14ac:dyDescent="0.25">
      <c r="A450" s="21" t="s">
        <v>76</v>
      </c>
      <c r="B450" s="5" t="s">
        <v>31</v>
      </c>
      <c r="C450" s="76" t="s">
        <v>35</v>
      </c>
      <c r="D450" s="26" t="s">
        <v>36</v>
      </c>
      <c r="E450" s="26" t="s">
        <v>191</v>
      </c>
      <c r="F450" s="21" t="s">
        <v>179</v>
      </c>
      <c r="G450" s="21" t="s">
        <v>147</v>
      </c>
      <c r="H450" s="27" t="s">
        <v>180</v>
      </c>
      <c r="I450" s="15" t="s">
        <v>208</v>
      </c>
      <c r="J450" s="15" t="s">
        <v>206</v>
      </c>
      <c r="K450" s="15" t="s">
        <v>154</v>
      </c>
      <c r="L450" s="15" t="s">
        <v>206</v>
      </c>
      <c r="M450" s="15" t="s">
        <v>154</v>
      </c>
      <c r="N450" s="15" t="s">
        <v>206</v>
      </c>
      <c r="O450" s="15" t="s">
        <v>154</v>
      </c>
      <c r="P450" s="15" t="s">
        <v>206</v>
      </c>
      <c r="Q450" s="15" t="s">
        <v>154</v>
      </c>
      <c r="R450" s="17" t="s">
        <v>154</v>
      </c>
      <c r="S450" s="15" t="s">
        <v>154</v>
      </c>
      <c r="T450" s="17" t="s">
        <v>154</v>
      </c>
      <c r="U450" s="15" t="s">
        <v>154</v>
      </c>
      <c r="V450" s="17" t="s">
        <v>154</v>
      </c>
      <c r="W450" s="15" t="s">
        <v>154</v>
      </c>
      <c r="X450" s="17" t="s">
        <v>154</v>
      </c>
      <c r="Y450" s="15" t="s">
        <v>154</v>
      </c>
      <c r="Z450" s="17" t="s">
        <v>154</v>
      </c>
      <c r="AA450" s="15" t="s">
        <v>154</v>
      </c>
      <c r="AB450" s="94" t="s">
        <v>154</v>
      </c>
      <c r="AC450" s="15" t="s">
        <v>154</v>
      </c>
      <c r="AD450" s="97" t="s">
        <v>154</v>
      </c>
      <c r="AE450" s="97" t="s">
        <v>154</v>
      </c>
      <c r="AF450" s="93" t="s">
        <v>154</v>
      </c>
      <c r="AG450" s="97" t="s">
        <v>154</v>
      </c>
      <c r="AH450" s="93" t="s">
        <v>154</v>
      </c>
      <c r="AI450" s="97" t="s">
        <v>154</v>
      </c>
      <c r="AJ450" s="93" t="s">
        <v>154</v>
      </c>
      <c r="AK450" s="97" t="s">
        <v>154</v>
      </c>
    </row>
    <row r="451" spans="1:37" x14ac:dyDescent="0.25">
      <c r="A451" s="21" t="s">
        <v>76</v>
      </c>
      <c r="B451" s="5" t="s">
        <v>31</v>
      </c>
      <c r="C451" s="76" t="s">
        <v>35</v>
      </c>
      <c r="D451" s="26" t="s">
        <v>36</v>
      </c>
      <c r="E451" s="26" t="s">
        <v>191</v>
      </c>
      <c r="F451" s="21" t="s">
        <v>179</v>
      </c>
      <c r="G451" s="21" t="s">
        <v>147</v>
      </c>
      <c r="H451" s="21" t="s">
        <v>207</v>
      </c>
      <c r="I451" s="15">
        <v>0.2</v>
      </c>
      <c r="J451" s="15" t="s">
        <v>206</v>
      </c>
      <c r="K451" s="15" t="s">
        <v>154</v>
      </c>
      <c r="L451" s="15" t="s">
        <v>206</v>
      </c>
      <c r="M451" s="15" t="s">
        <v>154</v>
      </c>
      <c r="N451" s="15" t="s">
        <v>206</v>
      </c>
      <c r="O451" s="15" t="s">
        <v>154</v>
      </c>
      <c r="P451" s="15" t="s">
        <v>206</v>
      </c>
      <c r="Q451" s="15" t="s">
        <v>154</v>
      </c>
      <c r="R451" s="17" t="s">
        <v>154</v>
      </c>
      <c r="S451" s="15" t="s">
        <v>154</v>
      </c>
      <c r="T451" s="17" t="s">
        <v>154</v>
      </c>
      <c r="U451" s="15" t="s">
        <v>154</v>
      </c>
      <c r="V451" s="17" t="s">
        <v>154</v>
      </c>
      <c r="W451" s="15" t="s">
        <v>154</v>
      </c>
      <c r="X451" s="17" t="s">
        <v>154</v>
      </c>
      <c r="Y451" s="15" t="s">
        <v>154</v>
      </c>
      <c r="Z451" s="17" t="s">
        <v>154</v>
      </c>
      <c r="AA451" s="15" t="s">
        <v>154</v>
      </c>
      <c r="AB451" s="94" t="s">
        <v>154</v>
      </c>
      <c r="AC451" s="15" t="s">
        <v>154</v>
      </c>
      <c r="AD451" s="97" t="s">
        <v>154</v>
      </c>
      <c r="AE451" s="127" t="s">
        <v>154</v>
      </c>
      <c r="AF451" s="93" t="s">
        <v>154</v>
      </c>
      <c r="AG451" s="97" t="s">
        <v>154</v>
      </c>
      <c r="AH451" s="93" t="s">
        <v>154</v>
      </c>
      <c r="AI451" s="271" t="s">
        <v>154</v>
      </c>
      <c r="AJ451" s="93" t="s">
        <v>154</v>
      </c>
      <c r="AK451" s="271" t="s">
        <v>154</v>
      </c>
    </row>
    <row r="452" spans="1:37" x14ac:dyDescent="0.25">
      <c r="A452" s="21" t="s">
        <v>76</v>
      </c>
      <c r="B452" s="5" t="s">
        <v>31</v>
      </c>
      <c r="C452" s="76" t="s">
        <v>35</v>
      </c>
      <c r="D452" s="26" t="s">
        <v>36</v>
      </c>
      <c r="E452" s="26" t="s">
        <v>191</v>
      </c>
      <c r="F452" s="21" t="s">
        <v>179</v>
      </c>
      <c r="G452" s="21" t="s">
        <v>147</v>
      </c>
      <c r="H452" s="27" t="s">
        <v>188</v>
      </c>
      <c r="I452" s="15">
        <v>0.2</v>
      </c>
      <c r="J452" s="15" t="s">
        <v>206</v>
      </c>
      <c r="K452" s="15" t="s">
        <v>154</v>
      </c>
      <c r="L452" s="15" t="s">
        <v>206</v>
      </c>
      <c r="M452" s="15" t="s">
        <v>154</v>
      </c>
      <c r="N452" s="15" t="s">
        <v>206</v>
      </c>
      <c r="O452" s="15" t="s">
        <v>154</v>
      </c>
      <c r="P452" s="15" t="s">
        <v>206</v>
      </c>
      <c r="Q452" s="15" t="s">
        <v>154</v>
      </c>
      <c r="R452" s="17" t="s">
        <v>154</v>
      </c>
      <c r="S452" s="15" t="s">
        <v>154</v>
      </c>
      <c r="T452" s="17" t="s">
        <v>154</v>
      </c>
      <c r="U452" s="15" t="s">
        <v>154</v>
      </c>
      <c r="V452" s="17" t="s">
        <v>154</v>
      </c>
      <c r="W452" s="15" t="s">
        <v>154</v>
      </c>
      <c r="X452" s="17" t="s">
        <v>154</v>
      </c>
      <c r="Y452" s="15" t="s">
        <v>154</v>
      </c>
      <c r="Z452" s="17" t="s">
        <v>154</v>
      </c>
      <c r="AA452" s="15" t="s">
        <v>154</v>
      </c>
      <c r="AB452" s="94" t="s">
        <v>154</v>
      </c>
      <c r="AC452" s="15" t="s">
        <v>154</v>
      </c>
      <c r="AD452" s="97" t="s">
        <v>154</v>
      </c>
      <c r="AE452" s="126" t="s">
        <v>154</v>
      </c>
      <c r="AF452" s="93" t="s">
        <v>154</v>
      </c>
      <c r="AG452" s="97" t="s">
        <v>154</v>
      </c>
      <c r="AH452" s="93" t="s">
        <v>154</v>
      </c>
      <c r="AI452" s="94" t="s">
        <v>154</v>
      </c>
      <c r="AJ452" s="93" t="s">
        <v>154</v>
      </c>
      <c r="AK452" s="94" t="s">
        <v>154</v>
      </c>
    </row>
    <row r="453" spans="1:37" x14ac:dyDescent="0.25">
      <c r="A453" s="21" t="s">
        <v>76</v>
      </c>
      <c r="B453" s="5" t="s">
        <v>31</v>
      </c>
      <c r="C453" s="76" t="s">
        <v>35</v>
      </c>
      <c r="D453" s="26" t="s">
        <v>36</v>
      </c>
      <c r="E453" s="26" t="s">
        <v>191</v>
      </c>
      <c r="F453" s="21" t="s">
        <v>179</v>
      </c>
      <c r="G453" s="21" t="s">
        <v>147</v>
      </c>
      <c r="H453" s="21" t="s">
        <v>189</v>
      </c>
      <c r="I453" s="15">
        <v>0.05</v>
      </c>
      <c r="J453" s="15" t="s">
        <v>206</v>
      </c>
      <c r="K453" s="15" t="s">
        <v>154</v>
      </c>
      <c r="L453" s="15" t="s">
        <v>206</v>
      </c>
      <c r="M453" s="15" t="s">
        <v>154</v>
      </c>
      <c r="N453" s="15" t="s">
        <v>206</v>
      </c>
      <c r="O453" s="15" t="s">
        <v>154</v>
      </c>
      <c r="P453" s="15" t="s">
        <v>206</v>
      </c>
      <c r="Q453" s="15" t="s">
        <v>154</v>
      </c>
      <c r="R453" s="17" t="s">
        <v>154</v>
      </c>
      <c r="S453" s="15" t="s">
        <v>154</v>
      </c>
      <c r="T453" s="17" t="s">
        <v>154</v>
      </c>
      <c r="U453" s="15" t="s">
        <v>154</v>
      </c>
      <c r="V453" s="17" t="s">
        <v>154</v>
      </c>
      <c r="W453" s="15" t="s">
        <v>154</v>
      </c>
      <c r="X453" s="17" t="s">
        <v>154</v>
      </c>
      <c r="Y453" s="15" t="s">
        <v>154</v>
      </c>
      <c r="Z453" s="17" t="s">
        <v>154</v>
      </c>
      <c r="AA453" s="15" t="s">
        <v>154</v>
      </c>
      <c r="AB453" s="94" t="s">
        <v>154</v>
      </c>
      <c r="AC453" s="15" t="s">
        <v>154</v>
      </c>
      <c r="AD453" s="97" t="s">
        <v>154</v>
      </c>
      <c r="AE453" s="126" t="s">
        <v>154</v>
      </c>
      <c r="AF453" s="93" t="s">
        <v>154</v>
      </c>
      <c r="AG453" s="97" t="s">
        <v>154</v>
      </c>
      <c r="AH453" s="93" t="s">
        <v>154</v>
      </c>
      <c r="AI453" s="94" t="s">
        <v>154</v>
      </c>
      <c r="AJ453" s="93" t="s">
        <v>154</v>
      </c>
      <c r="AK453" s="94" t="s">
        <v>154</v>
      </c>
    </row>
    <row r="454" spans="1:37" x14ac:dyDescent="0.25">
      <c r="A454" s="21" t="s">
        <v>74</v>
      </c>
      <c r="B454" s="5" t="s">
        <v>27</v>
      </c>
      <c r="C454" s="5" t="s">
        <v>568</v>
      </c>
      <c r="D454" s="26" t="s">
        <v>29</v>
      </c>
      <c r="E454" s="26" t="s">
        <v>191</v>
      </c>
      <c r="F454" s="21" t="s">
        <v>179</v>
      </c>
      <c r="G454" s="21" t="s">
        <v>147</v>
      </c>
      <c r="H454" s="27" t="s">
        <v>197</v>
      </c>
      <c r="I454" s="17" t="s">
        <v>385</v>
      </c>
      <c r="J454" s="14" t="s">
        <v>206</v>
      </c>
      <c r="K454" s="14" t="s">
        <v>206</v>
      </c>
      <c r="L454" s="15" t="s">
        <v>206</v>
      </c>
      <c r="M454" s="15" t="s">
        <v>154</v>
      </c>
      <c r="N454" s="15" t="s">
        <v>206</v>
      </c>
      <c r="O454" s="15" t="s">
        <v>154</v>
      </c>
      <c r="P454" s="15" t="s">
        <v>206</v>
      </c>
      <c r="Q454" s="15" t="s">
        <v>154</v>
      </c>
      <c r="R454" s="17" t="s">
        <v>154</v>
      </c>
      <c r="S454" s="15" t="s">
        <v>154</v>
      </c>
      <c r="T454" s="17" t="s">
        <v>154</v>
      </c>
      <c r="U454" s="15" t="s">
        <v>154</v>
      </c>
      <c r="V454" s="17" t="s">
        <v>154</v>
      </c>
      <c r="W454" s="15" t="s">
        <v>154</v>
      </c>
      <c r="X454" s="17" t="s">
        <v>154</v>
      </c>
      <c r="Y454" s="15" t="s">
        <v>154</v>
      </c>
      <c r="Z454" s="17" t="s">
        <v>154</v>
      </c>
      <c r="AA454" s="15" t="s">
        <v>154</v>
      </c>
      <c r="AB454" s="93" t="s">
        <v>154</v>
      </c>
      <c r="AC454" s="15" t="s">
        <v>154</v>
      </c>
      <c r="AD454" s="97" t="s">
        <v>154</v>
      </c>
      <c r="AE454" s="97" t="s">
        <v>154</v>
      </c>
      <c r="AF454" s="93" t="s">
        <v>154</v>
      </c>
      <c r="AG454" s="97" t="s">
        <v>154</v>
      </c>
      <c r="AH454" s="93" t="s">
        <v>154</v>
      </c>
      <c r="AI454" s="97" t="s">
        <v>154</v>
      </c>
      <c r="AJ454" s="93" t="s">
        <v>154</v>
      </c>
      <c r="AK454" s="97" t="s">
        <v>154</v>
      </c>
    </row>
    <row r="455" spans="1:37" x14ac:dyDescent="0.25">
      <c r="A455" s="21" t="s">
        <v>74</v>
      </c>
      <c r="B455" s="5" t="s">
        <v>27</v>
      </c>
      <c r="C455" s="5" t="s">
        <v>568</v>
      </c>
      <c r="D455" s="26" t="s">
        <v>29</v>
      </c>
      <c r="E455" s="26" t="s">
        <v>191</v>
      </c>
      <c r="F455" s="21" t="s">
        <v>179</v>
      </c>
      <c r="G455" s="21" t="s">
        <v>147</v>
      </c>
      <c r="H455" s="21" t="s">
        <v>207</v>
      </c>
      <c r="I455" s="17" t="s">
        <v>386</v>
      </c>
      <c r="J455" s="15" t="s">
        <v>154</v>
      </c>
      <c r="K455" s="15" t="s">
        <v>154</v>
      </c>
      <c r="L455" s="15" t="s">
        <v>206</v>
      </c>
      <c r="M455" s="15" t="s">
        <v>154</v>
      </c>
      <c r="N455" s="15" t="s">
        <v>206</v>
      </c>
      <c r="O455" s="15" t="s">
        <v>154</v>
      </c>
      <c r="P455" s="15" t="s">
        <v>206</v>
      </c>
      <c r="Q455" s="15" t="s">
        <v>154</v>
      </c>
      <c r="R455" s="17" t="s">
        <v>154</v>
      </c>
      <c r="S455" s="15" t="s">
        <v>154</v>
      </c>
      <c r="T455" s="17" t="s">
        <v>154</v>
      </c>
      <c r="U455" s="15" t="s">
        <v>154</v>
      </c>
      <c r="V455" s="17" t="s">
        <v>154</v>
      </c>
      <c r="W455" s="15" t="s">
        <v>154</v>
      </c>
      <c r="X455" s="17" t="s">
        <v>154</v>
      </c>
      <c r="Y455" s="15" t="s">
        <v>154</v>
      </c>
      <c r="Z455" s="17" t="s">
        <v>154</v>
      </c>
      <c r="AA455" s="15" t="s">
        <v>154</v>
      </c>
      <c r="AB455" s="93" t="s">
        <v>154</v>
      </c>
      <c r="AC455" s="15" t="s">
        <v>154</v>
      </c>
      <c r="AD455" s="97" t="s">
        <v>154</v>
      </c>
      <c r="AE455" s="97" t="s">
        <v>154</v>
      </c>
      <c r="AF455" s="93" t="s">
        <v>154</v>
      </c>
      <c r="AG455" s="97" t="s">
        <v>154</v>
      </c>
      <c r="AH455" s="93" t="s">
        <v>154</v>
      </c>
      <c r="AI455" s="97" t="s">
        <v>154</v>
      </c>
      <c r="AJ455" s="93" t="s">
        <v>154</v>
      </c>
      <c r="AK455" s="97" t="s">
        <v>154</v>
      </c>
    </row>
    <row r="456" spans="1:37" x14ac:dyDescent="0.25">
      <c r="A456" s="21" t="s">
        <v>74</v>
      </c>
      <c r="B456" s="5" t="s">
        <v>27</v>
      </c>
      <c r="C456" s="5" t="s">
        <v>568</v>
      </c>
      <c r="D456" s="26" t="s">
        <v>29</v>
      </c>
      <c r="E456" s="26" t="s">
        <v>191</v>
      </c>
      <c r="F456" s="21" t="s">
        <v>179</v>
      </c>
      <c r="G456" s="21" t="s">
        <v>147</v>
      </c>
      <c r="H456" s="27" t="s">
        <v>186</v>
      </c>
      <c r="I456" s="17" t="s">
        <v>386</v>
      </c>
      <c r="J456" s="15" t="s">
        <v>154</v>
      </c>
      <c r="K456" s="15" t="s">
        <v>154</v>
      </c>
      <c r="L456" s="15" t="s">
        <v>206</v>
      </c>
      <c r="M456" s="15" t="s">
        <v>154</v>
      </c>
      <c r="N456" s="15" t="s">
        <v>206</v>
      </c>
      <c r="O456" s="15" t="s">
        <v>154</v>
      </c>
      <c r="P456" s="15" t="s">
        <v>206</v>
      </c>
      <c r="Q456" s="15" t="s">
        <v>154</v>
      </c>
      <c r="R456" s="17" t="s">
        <v>154</v>
      </c>
      <c r="S456" s="15" t="s">
        <v>154</v>
      </c>
      <c r="T456" s="17" t="s">
        <v>154</v>
      </c>
      <c r="U456" s="15" t="s">
        <v>154</v>
      </c>
      <c r="V456" s="17" t="s">
        <v>154</v>
      </c>
      <c r="W456" s="15" t="s">
        <v>154</v>
      </c>
      <c r="X456" s="17" t="s">
        <v>154</v>
      </c>
      <c r="Y456" s="15" t="s">
        <v>154</v>
      </c>
      <c r="Z456" s="17" t="s">
        <v>154</v>
      </c>
      <c r="AA456" s="15" t="s">
        <v>154</v>
      </c>
      <c r="AB456" s="93" t="s">
        <v>154</v>
      </c>
      <c r="AC456" s="15" t="s">
        <v>154</v>
      </c>
      <c r="AD456" s="97" t="s">
        <v>154</v>
      </c>
      <c r="AE456" s="97" t="s">
        <v>154</v>
      </c>
      <c r="AF456" s="93" t="s">
        <v>154</v>
      </c>
      <c r="AG456" s="97" t="s">
        <v>154</v>
      </c>
      <c r="AH456" s="93" t="s">
        <v>154</v>
      </c>
      <c r="AI456" s="97" t="s">
        <v>154</v>
      </c>
      <c r="AJ456" s="93" t="s">
        <v>154</v>
      </c>
      <c r="AK456" s="97" t="s">
        <v>154</v>
      </c>
    </row>
    <row r="457" spans="1:37" x14ac:dyDescent="0.25">
      <c r="A457" s="21" t="s">
        <v>74</v>
      </c>
      <c r="B457" s="5" t="s">
        <v>27</v>
      </c>
      <c r="C457" s="5" t="s">
        <v>568</v>
      </c>
      <c r="D457" s="26" t="s">
        <v>29</v>
      </c>
      <c r="E457" s="26" t="s">
        <v>191</v>
      </c>
      <c r="F457" s="21" t="s">
        <v>179</v>
      </c>
      <c r="G457" s="21" t="s">
        <v>147</v>
      </c>
      <c r="H457" s="27" t="s">
        <v>190</v>
      </c>
      <c r="I457" s="17" t="s">
        <v>386</v>
      </c>
      <c r="J457" s="15" t="s">
        <v>154</v>
      </c>
      <c r="K457" s="15" t="s">
        <v>154</v>
      </c>
      <c r="L457" s="15" t="s">
        <v>206</v>
      </c>
      <c r="M457" s="15" t="s">
        <v>154</v>
      </c>
      <c r="N457" s="15" t="s">
        <v>206</v>
      </c>
      <c r="O457" s="15" t="s">
        <v>154</v>
      </c>
      <c r="P457" s="15" t="s">
        <v>206</v>
      </c>
      <c r="Q457" s="15" t="s">
        <v>154</v>
      </c>
      <c r="R457" s="17" t="s">
        <v>154</v>
      </c>
      <c r="S457" s="15" t="s">
        <v>154</v>
      </c>
      <c r="T457" s="17" t="s">
        <v>154</v>
      </c>
      <c r="U457" s="15" t="s">
        <v>154</v>
      </c>
      <c r="V457" s="17" t="s">
        <v>154</v>
      </c>
      <c r="W457" s="15" t="s">
        <v>154</v>
      </c>
      <c r="X457" s="17" t="s">
        <v>154</v>
      </c>
      <c r="Y457" s="15" t="s">
        <v>154</v>
      </c>
      <c r="Z457" s="17" t="s">
        <v>154</v>
      </c>
      <c r="AA457" s="15" t="s">
        <v>154</v>
      </c>
      <c r="AB457" s="93" t="s">
        <v>154</v>
      </c>
      <c r="AC457" s="15" t="s">
        <v>154</v>
      </c>
      <c r="AD457" s="97" t="s">
        <v>154</v>
      </c>
      <c r="AE457" s="97" t="s">
        <v>154</v>
      </c>
      <c r="AF457" s="93" t="s">
        <v>154</v>
      </c>
      <c r="AG457" s="97" t="s">
        <v>154</v>
      </c>
      <c r="AH457" s="93" t="s">
        <v>154</v>
      </c>
      <c r="AI457" s="97" t="s">
        <v>154</v>
      </c>
      <c r="AJ457" s="93" t="s">
        <v>154</v>
      </c>
      <c r="AK457" s="97" t="s">
        <v>154</v>
      </c>
    </row>
    <row r="458" spans="1:37" x14ac:dyDescent="0.25">
      <c r="A458" s="21" t="s">
        <v>74</v>
      </c>
      <c r="B458" s="5" t="s">
        <v>27</v>
      </c>
      <c r="C458" s="5" t="s">
        <v>568</v>
      </c>
      <c r="D458" s="26" t="s">
        <v>29</v>
      </c>
      <c r="E458" s="26" t="s">
        <v>191</v>
      </c>
      <c r="F458" s="21" t="s">
        <v>179</v>
      </c>
      <c r="G458" s="21" t="s">
        <v>147</v>
      </c>
      <c r="H458" s="27" t="s">
        <v>180</v>
      </c>
      <c r="I458" s="17" t="s">
        <v>387</v>
      </c>
      <c r="J458" s="15" t="s">
        <v>154</v>
      </c>
      <c r="K458" s="15" t="s">
        <v>154</v>
      </c>
      <c r="L458" s="15" t="s">
        <v>206</v>
      </c>
      <c r="M458" s="15" t="s">
        <v>154</v>
      </c>
      <c r="N458" s="15" t="s">
        <v>206</v>
      </c>
      <c r="O458" s="15" t="s">
        <v>154</v>
      </c>
      <c r="P458" s="15" t="s">
        <v>206</v>
      </c>
      <c r="Q458" s="15" t="s">
        <v>154</v>
      </c>
      <c r="R458" s="17" t="s">
        <v>154</v>
      </c>
      <c r="S458" s="15" t="s">
        <v>154</v>
      </c>
      <c r="T458" s="17" t="s">
        <v>154</v>
      </c>
      <c r="U458" s="15" t="s">
        <v>154</v>
      </c>
      <c r="V458" s="17" t="s">
        <v>154</v>
      </c>
      <c r="W458" s="15" t="s">
        <v>154</v>
      </c>
      <c r="X458" s="17" t="s">
        <v>154</v>
      </c>
      <c r="Y458" s="15" t="s">
        <v>154</v>
      </c>
      <c r="Z458" s="17" t="s">
        <v>154</v>
      </c>
      <c r="AA458" s="15" t="s">
        <v>154</v>
      </c>
      <c r="AB458" s="93" t="s">
        <v>154</v>
      </c>
      <c r="AC458" s="15" t="s">
        <v>154</v>
      </c>
      <c r="AD458" s="97" t="s">
        <v>154</v>
      </c>
      <c r="AE458" s="97" t="s">
        <v>154</v>
      </c>
      <c r="AF458" s="93" t="s">
        <v>154</v>
      </c>
      <c r="AG458" s="97" t="s">
        <v>154</v>
      </c>
      <c r="AH458" s="93" t="s">
        <v>154</v>
      </c>
      <c r="AI458" s="97" t="s">
        <v>154</v>
      </c>
      <c r="AJ458" s="93" t="s">
        <v>154</v>
      </c>
      <c r="AK458" s="97" t="s">
        <v>154</v>
      </c>
    </row>
    <row r="459" spans="1:37" x14ac:dyDescent="0.25">
      <c r="A459" s="21" t="s">
        <v>74</v>
      </c>
      <c r="B459" s="5" t="s">
        <v>27</v>
      </c>
      <c r="C459" s="5" t="s">
        <v>568</v>
      </c>
      <c r="D459" s="26" t="s">
        <v>29</v>
      </c>
      <c r="E459" s="26" t="s">
        <v>191</v>
      </c>
      <c r="F459" s="21" t="s">
        <v>179</v>
      </c>
      <c r="G459" s="21" t="s">
        <v>147</v>
      </c>
      <c r="H459" s="27" t="s">
        <v>188</v>
      </c>
      <c r="I459" s="17" t="s">
        <v>386</v>
      </c>
      <c r="J459" s="15" t="s">
        <v>154</v>
      </c>
      <c r="K459" s="15" t="s">
        <v>154</v>
      </c>
      <c r="L459" s="15" t="s">
        <v>206</v>
      </c>
      <c r="M459" s="15" t="s">
        <v>154</v>
      </c>
      <c r="N459" s="15" t="s">
        <v>206</v>
      </c>
      <c r="O459" s="15" t="s">
        <v>154</v>
      </c>
      <c r="P459" s="15" t="s">
        <v>206</v>
      </c>
      <c r="Q459" s="15" t="s">
        <v>154</v>
      </c>
      <c r="R459" s="17" t="s">
        <v>154</v>
      </c>
      <c r="S459" s="15" t="s">
        <v>154</v>
      </c>
      <c r="T459" s="17" t="s">
        <v>154</v>
      </c>
      <c r="U459" s="15" t="s">
        <v>154</v>
      </c>
      <c r="V459" s="17" t="s">
        <v>154</v>
      </c>
      <c r="W459" s="15" t="s">
        <v>154</v>
      </c>
      <c r="X459" s="17" t="s">
        <v>154</v>
      </c>
      <c r="Y459" s="15" t="s">
        <v>154</v>
      </c>
      <c r="Z459" s="17" t="s">
        <v>154</v>
      </c>
      <c r="AA459" s="15" t="s">
        <v>154</v>
      </c>
      <c r="AB459" s="93" t="s">
        <v>154</v>
      </c>
      <c r="AC459" s="15" t="s">
        <v>154</v>
      </c>
      <c r="AD459" s="97" t="s">
        <v>154</v>
      </c>
      <c r="AE459" s="97" t="s">
        <v>154</v>
      </c>
      <c r="AF459" s="93" t="s">
        <v>154</v>
      </c>
      <c r="AG459" s="97" t="s">
        <v>154</v>
      </c>
      <c r="AH459" s="93" t="s">
        <v>154</v>
      </c>
      <c r="AI459" s="97" t="s">
        <v>154</v>
      </c>
      <c r="AJ459" s="93" t="s">
        <v>154</v>
      </c>
      <c r="AK459" s="97" t="s">
        <v>154</v>
      </c>
    </row>
    <row r="460" spans="1:37" x14ac:dyDescent="0.25">
      <c r="A460" s="21" t="s">
        <v>74</v>
      </c>
      <c r="B460" s="5" t="s">
        <v>27</v>
      </c>
      <c r="C460" s="5" t="s">
        <v>568</v>
      </c>
      <c r="D460" s="26" t="s">
        <v>29</v>
      </c>
      <c r="E460" s="26" t="s">
        <v>191</v>
      </c>
      <c r="F460" s="21" t="s">
        <v>179</v>
      </c>
      <c r="G460" s="21" t="s">
        <v>147</v>
      </c>
      <c r="H460" s="21" t="s">
        <v>189</v>
      </c>
      <c r="I460" s="18">
        <v>0.3</v>
      </c>
      <c r="J460" s="15" t="s">
        <v>154</v>
      </c>
      <c r="K460" s="15" t="s">
        <v>154</v>
      </c>
      <c r="L460" s="15" t="s">
        <v>206</v>
      </c>
      <c r="M460" s="15" t="s">
        <v>154</v>
      </c>
      <c r="N460" s="15" t="s">
        <v>206</v>
      </c>
      <c r="O460" s="15" t="s">
        <v>154</v>
      </c>
      <c r="P460" s="15" t="s">
        <v>206</v>
      </c>
      <c r="Q460" s="15" t="s">
        <v>154</v>
      </c>
      <c r="R460" s="17" t="s">
        <v>154</v>
      </c>
      <c r="S460" s="15" t="s">
        <v>154</v>
      </c>
      <c r="T460" s="17" t="s">
        <v>154</v>
      </c>
      <c r="U460" s="15" t="s">
        <v>154</v>
      </c>
      <c r="V460" s="17" t="s">
        <v>154</v>
      </c>
      <c r="W460" s="15" t="s">
        <v>154</v>
      </c>
      <c r="X460" s="17" t="s">
        <v>154</v>
      </c>
      <c r="Y460" s="15" t="s">
        <v>154</v>
      </c>
      <c r="Z460" s="17" t="s">
        <v>154</v>
      </c>
      <c r="AA460" s="15" t="s">
        <v>154</v>
      </c>
      <c r="AB460" s="93" t="s">
        <v>154</v>
      </c>
      <c r="AC460" s="15" t="s">
        <v>154</v>
      </c>
      <c r="AD460" s="97" t="s">
        <v>154</v>
      </c>
      <c r="AE460" s="97" t="s">
        <v>154</v>
      </c>
      <c r="AF460" s="93" t="s">
        <v>154</v>
      </c>
      <c r="AG460" s="97" t="s">
        <v>154</v>
      </c>
      <c r="AH460" s="93" t="s">
        <v>154</v>
      </c>
      <c r="AI460" s="97" t="s">
        <v>154</v>
      </c>
      <c r="AJ460" s="93" t="s">
        <v>154</v>
      </c>
      <c r="AK460" s="97" t="s">
        <v>154</v>
      </c>
    </row>
    <row r="461" spans="1:37" x14ac:dyDescent="0.25">
      <c r="A461" s="21" t="s">
        <v>70</v>
      </c>
      <c r="B461" s="5" t="s">
        <v>50</v>
      </c>
      <c r="C461" s="76" t="s">
        <v>45</v>
      </c>
      <c r="D461" s="26" t="s">
        <v>46</v>
      </c>
      <c r="E461" s="26" t="s">
        <v>145</v>
      </c>
      <c r="F461" s="21" t="s">
        <v>146</v>
      </c>
      <c r="G461" s="21" t="s">
        <v>156</v>
      </c>
      <c r="H461" s="27" t="s">
        <v>180</v>
      </c>
      <c r="I461" s="14" t="s">
        <v>375</v>
      </c>
      <c r="J461" s="28" t="s">
        <v>154</v>
      </c>
      <c r="K461" s="15" t="s">
        <v>154</v>
      </c>
      <c r="L461" s="28" t="s">
        <v>154</v>
      </c>
      <c r="M461" s="15" t="s">
        <v>154</v>
      </c>
      <c r="N461" s="28" t="s">
        <v>154</v>
      </c>
      <c r="O461" s="15" t="s">
        <v>154</v>
      </c>
      <c r="P461" s="28" t="s">
        <v>154</v>
      </c>
      <c r="Q461" s="15" t="s">
        <v>154</v>
      </c>
      <c r="R461" s="17" t="s">
        <v>154</v>
      </c>
      <c r="S461" s="15" t="s">
        <v>154</v>
      </c>
      <c r="T461" s="17" t="s">
        <v>154</v>
      </c>
      <c r="U461" s="15" t="s">
        <v>154</v>
      </c>
      <c r="V461" s="17" t="s">
        <v>154</v>
      </c>
      <c r="W461" s="15" t="s">
        <v>154</v>
      </c>
      <c r="X461" s="17" t="s">
        <v>154</v>
      </c>
      <c r="Y461" s="15" t="s">
        <v>154</v>
      </c>
      <c r="Z461" s="17" t="s">
        <v>154</v>
      </c>
      <c r="AA461" s="15" t="s">
        <v>154</v>
      </c>
      <c r="AB461" s="93" t="s">
        <v>154</v>
      </c>
      <c r="AC461" s="15" t="s">
        <v>154</v>
      </c>
      <c r="AD461" s="97" t="s">
        <v>154</v>
      </c>
      <c r="AE461" s="97" t="s">
        <v>154</v>
      </c>
      <c r="AF461" s="93" t="s">
        <v>154</v>
      </c>
      <c r="AG461" s="97" t="s">
        <v>154</v>
      </c>
      <c r="AH461" s="93" t="s">
        <v>154</v>
      </c>
      <c r="AI461" s="97" t="s">
        <v>154</v>
      </c>
      <c r="AJ461" s="93" t="s">
        <v>154</v>
      </c>
      <c r="AK461" s="97" t="s">
        <v>154</v>
      </c>
    </row>
    <row r="462" spans="1:37" x14ac:dyDescent="0.25">
      <c r="A462" s="21" t="s">
        <v>70</v>
      </c>
      <c r="B462" s="5" t="s">
        <v>50</v>
      </c>
      <c r="C462" s="76" t="s">
        <v>45</v>
      </c>
      <c r="D462" s="26" t="s">
        <v>46</v>
      </c>
      <c r="E462" s="26" t="s">
        <v>145</v>
      </c>
      <c r="F462" s="21" t="s">
        <v>146</v>
      </c>
      <c r="G462" s="21" t="s">
        <v>156</v>
      </c>
      <c r="H462" s="27" t="s">
        <v>180</v>
      </c>
      <c r="I462" s="14" t="s">
        <v>376</v>
      </c>
      <c r="J462" s="28" t="s">
        <v>154</v>
      </c>
      <c r="K462" s="15" t="s">
        <v>154</v>
      </c>
      <c r="L462" s="28" t="s">
        <v>154</v>
      </c>
      <c r="M462" s="15" t="s">
        <v>154</v>
      </c>
      <c r="N462" s="28" t="s">
        <v>154</v>
      </c>
      <c r="O462" s="15" t="s">
        <v>154</v>
      </c>
      <c r="P462" s="28" t="s">
        <v>154</v>
      </c>
      <c r="Q462" s="15" t="s">
        <v>154</v>
      </c>
      <c r="R462" s="17" t="s">
        <v>154</v>
      </c>
      <c r="S462" s="15" t="s">
        <v>154</v>
      </c>
      <c r="T462" s="17" t="s">
        <v>154</v>
      </c>
      <c r="U462" s="15" t="s">
        <v>154</v>
      </c>
      <c r="V462" s="17" t="s">
        <v>154</v>
      </c>
      <c r="W462" s="15" t="s">
        <v>154</v>
      </c>
      <c r="X462" s="17" t="s">
        <v>154</v>
      </c>
      <c r="Y462" s="15" t="s">
        <v>154</v>
      </c>
      <c r="Z462" s="17" t="s">
        <v>154</v>
      </c>
      <c r="AA462" s="15" t="s">
        <v>154</v>
      </c>
      <c r="AB462" s="93" t="s">
        <v>154</v>
      </c>
      <c r="AC462" s="15" t="s">
        <v>154</v>
      </c>
      <c r="AD462" s="97" t="s">
        <v>154</v>
      </c>
      <c r="AE462" s="97" t="s">
        <v>154</v>
      </c>
      <c r="AF462" s="93" t="s">
        <v>154</v>
      </c>
      <c r="AG462" s="97" t="s">
        <v>154</v>
      </c>
      <c r="AH462" s="93" t="s">
        <v>154</v>
      </c>
      <c r="AI462" s="97" t="s">
        <v>154</v>
      </c>
      <c r="AJ462" s="93" t="s">
        <v>154</v>
      </c>
      <c r="AK462" s="97" t="s">
        <v>154</v>
      </c>
    </row>
    <row r="463" spans="1:37" x14ac:dyDescent="0.25">
      <c r="A463" s="21" t="s">
        <v>70</v>
      </c>
      <c r="B463" s="5" t="s">
        <v>50</v>
      </c>
      <c r="C463" s="76" t="s">
        <v>45</v>
      </c>
      <c r="D463" s="26" t="s">
        <v>46</v>
      </c>
      <c r="E463" s="26" t="s">
        <v>145</v>
      </c>
      <c r="F463" s="21" t="s">
        <v>146</v>
      </c>
      <c r="G463" s="21" t="s">
        <v>156</v>
      </c>
      <c r="H463" s="27" t="s">
        <v>180</v>
      </c>
      <c r="I463" s="14" t="s">
        <v>377</v>
      </c>
      <c r="J463" s="28" t="s">
        <v>154</v>
      </c>
      <c r="K463" s="15" t="s">
        <v>154</v>
      </c>
      <c r="L463" s="28" t="s">
        <v>154</v>
      </c>
      <c r="M463" s="15" t="s">
        <v>154</v>
      </c>
      <c r="N463" s="28" t="s">
        <v>154</v>
      </c>
      <c r="O463" s="15" t="s">
        <v>154</v>
      </c>
      <c r="P463" s="28" t="s">
        <v>154</v>
      </c>
      <c r="Q463" s="15" t="s">
        <v>154</v>
      </c>
      <c r="R463" s="17" t="s">
        <v>154</v>
      </c>
      <c r="S463" s="15" t="s">
        <v>154</v>
      </c>
      <c r="T463" s="17" t="s">
        <v>154</v>
      </c>
      <c r="U463" s="15" t="s">
        <v>154</v>
      </c>
      <c r="V463" s="17" t="s">
        <v>154</v>
      </c>
      <c r="W463" s="15" t="s">
        <v>154</v>
      </c>
      <c r="X463" s="17" t="s">
        <v>154</v>
      </c>
      <c r="Y463" s="15" t="s">
        <v>154</v>
      </c>
      <c r="Z463" s="17" t="s">
        <v>154</v>
      </c>
      <c r="AA463" s="15" t="s">
        <v>154</v>
      </c>
      <c r="AB463" s="93" t="s">
        <v>154</v>
      </c>
      <c r="AC463" s="15" t="s">
        <v>154</v>
      </c>
      <c r="AD463" s="97" t="s">
        <v>154</v>
      </c>
      <c r="AE463" s="97" t="s">
        <v>154</v>
      </c>
      <c r="AF463" s="93" t="s">
        <v>154</v>
      </c>
      <c r="AG463" s="97" t="s">
        <v>154</v>
      </c>
      <c r="AH463" s="93" t="s">
        <v>154</v>
      </c>
      <c r="AI463" s="97" t="s">
        <v>154</v>
      </c>
      <c r="AJ463" s="93" t="s">
        <v>154</v>
      </c>
      <c r="AK463" s="97" t="s">
        <v>154</v>
      </c>
    </row>
    <row r="464" spans="1:37" x14ac:dyDescent="0.25">
      <c r="A464" s="21" t="s">
        <v>70</v>
      </c>
      <c r="B464" s="5" t="s">
        <v>50</v>
      </c>
      <c r="C464" s="76" t="s">
        <v>45</v>
      </c>
      <c r="D464" s="26" t="s">
        <v>46</v>
      </c>
      <c r="E464" s="26" t="s">
        <v>145</v>
      </c>
      <c r="F464" s="21" t="s">
        <v>146</v>
      </c>
      <c r="G464" s="21" t="s">
        <v>156</v>
      </c>
      <c r="H464" s="21" t="s">
        <v>189</v>
      </c>
      <c r="I464" s="14" t="s">
        <v>350</v>
      </c>
      <c r="J464" s="28" t="s">
        <v>154</v>
      </c>
      <c r="K464" s="15" t="s">
        <v>154</v>
      </c>
      <c r="L464" s="28" t="s">
        <v>154</v>
      </c>
      <c r="M464" s="15" t="s">
        <v>154</v>
      </c>
      <c r="N464" s="28" t="s">
        <v>154</v>
      </c>
      <c r="O464" s="15" t="s">
        <v>154</v>
      </c>
      <c r="P464" s="28" t="s">
        <v>154</v>
      </c>
      <c r="Q464" s="15" t="s">
        <v>154</v>
      </c>
      <c r="R464" s="17" t="s">
        <v>154</v>
      </c>
      <c r="S464" s="15" t="s">
        <v>154</v>
      </c>
      <c r="T464" s="17" t="s">
        <v>154</v>
      </c>
      <c r="U464" s="15" t="s">
        <v>154</v>
      </c>
      <c r="V464" s="17" t="s">
        <v>154</v>
      </c>
      <c r="W464" s="15" t="s">
        <v>154</v>
      </c>
      <c r="X464" s="17" t="s">
        <v>154</v>
      </c>
      <c r="Y464" s="15" t="s">
        <v>154</v>
      </c>
      <c r="Z464" s="17" t="s">
        <v>154</v>
      </c>
      <c r="AA464" s="15" t="s">
        <v>154</v>
      </c>
      <c r="AB464" s="93" t="s">
        <v>154</v>
      </c>
      <c r="AC464" s="15" t="s">
        <v>154</v>
      </c>
      <c r="AD464" s="97" t="s">
        <v>154</v>
      </c>
      <c r="AE464" s="126" t="s">
        <v>154</v>
      </c>
      <c r="AF464" s="93" t="s">
        <v>154</v>
      </c>
      <c r="AG464" s="97" t="s">
        <v>154</v>
      </c>
      <c r="AH464" s="93" t="s">
        <v>154</v>
      </c>
      <c r="AI464" s="94" t="s">
        <v>154</v>
      </c>
      <c r="AJ464" s="93" t="s">
        <v>154</v>
      </c>
      <c r="AK464" s="94" t="s">
        <v>154</v>
      </c>
    </row>
    <row r="465" spans="1:37" x14ac:dyDescent="0.25">
      <c r="A465" s="21" t="s">
        <v>70</v>
      </c>
      <c r="B465" s="5" t="s">
        <v>50</v>
      </c>
      <c r="C465" s="76" t="s">
        <v>45</v>
      </c>
      <c r="D465" s="26" t="s">
        <v>46</v>
      </c>
      <c r="E465" s="26" t="s">
        <v>145</v>
      </c>
      <c r="F465" s="21" t="s">
        <v>179</v>
      </c>
      <c r="G465" s="21" t="s">
        <v>147</v>
      </c>
      <c r="H465" s="21" t="s">
        <v>288</v>
      </c>
      <c r="I465" s="14" t="s">
        <v>352</v>
      </c>
      <c r="J465" s="28" t="s">
        <v>154</v>
      </c>
      <c r="K465" s="15" t="s">
        <v>154</v>
      </c>
      <c r="L465" s="28" t="s">
        <v>154</v>
      </c>
      <c r="M465" s="15" t="s">
        <v>154</v>
      </c>
      <c r="N465" s="28" t="s">
        <v>154</v>
      </c>
      <c r="O465" s="15" t="s">
        <v>154</v>
      </c>
      <c r="P465" s="28" t="s">
        <v>154</v>
      </c>
      <c r="Q465" s="15" t="s">
        <v>154</v>
      </c>
      <c r="R465" s="17" t="s">
        <v>154</v>
      </c>
      <c r="S465" s="15" t="s">
        <v>154</v>
      </c>
      <c r="T465" s="17" t="s">
        <v>154</v>
      </c>
      <c r="U465" s="15" t="s">
        <v>154</v>
      </c>
      <c r="V465" s="17" t="s">
        <v>154</v>
      </c>
      <c r="W465" s="15" t="s">
        <v>154</v>
      </c>
      <c r="X465" s="17" t="s">
        <v>154</v>
      </c>
      <c r="Y465" s="15" t="s">
        <v>154</v>
      </c>
      <c r="Z465" s="17" t="s">
        <v>154</v>
      </c>
      <c r="AA465" s="15" t="s">
        <v>154</v>
      </c>
      <c r="AB465" s="93" t="s">
        <v>154</v>
      </c>
      <c r="AC465" s="15" t="s">
        <v>154</v>
      </c>
      <c r="AD465" s="97" t="s">
        <v>154</v>
      </c>
      <c r="AE465" s="97" t="s">
        <v>154</v>
      </c>
      <c r="AF465" s="93" t="s">
        <v>154</v>
      </c>
      <c r="AG465" s="97" t="s">
        <v>154</v>
      </c>
      <c r="AH465" s="93" t="s">
        <v>154</v>
      </c>
      <c r="AI465" s="97" t="s">
        <v>154</v>
      </c>
      <c r="AJ465" s="93" t="s">
        <v>154</v>
      </c>
      <c r="AK465" s="97" t="s">
        <v>154</v>
      </c>
    </row>
    <row r="466" spans="1:37" x14ac:dyDescent="0.25">
      <c r="A466" s="21" t="s">
        <v>70</v>
      </c>
      <c r="B466" s="5" t="s">
        <v>50</v>
      </c>
      <c r="C466" s="76" t="s">
        <v>45</v>
      </c>
      <c r="D466" s="26" t="s">
        <v>46</v>
      </c>
      <c r="E466" s="26" t="s">
        <v>145</v>
      </c>
      <c r="F466" s="21" t="s">
        <v>179</v>
      </c>
      <c r="G466" s="21" t="s">
        <v>147</v>
      </c>
      <c r="H466" s="21" t="s">
        <v>378</v>
      </c>
      <c r="I466" s="11">
        <v>0.99</v>
      </c>
      <c r="J466" s="28" t="s">
        <v>154</v>
      </c>
      <c r="K466" s="15" t="s">
        <v>154</v>
      </c>
      <c r="L466" s="28" t="s">
        <v>154</v>
      </c>
      <c r="M466" s="15" t="s">
        <v>154</v>
      </c>
      <c r="N466" s="28" t="s">
        <v>154</v>
      </c>
      <c r="O466" s="15" t="s">
        <v>154</v>
      </c>
      <c r="P466" s="28" t="s">
        <v>154</v>
      </c>
      <c r="Q466" s="15" t="s">
        <v>154</v>
      </c>
      <c r="R466" s="17" t="s">
        <v>154</v>
      </c>
      <c r="S466" s="15" t="s">
        <v>154</v>
      </c>
      <c r="T466" s="17" t="s">
        <v>154</v>
      </c>
      <c r="U466" s="15" t="s">
        <v>154</v>
      </c>
      <c r="V466" s="17" t="s">
        <v>154</v>
      </c>
      <c r="W466" s="15" t="s">
        <v>154</v>
      </c>
      <c r="X466" s="17" t="s">
        <v>154</v>
      </c>
      <c r="Y466" s="15" t="s">
        <v>154</v>
      </c>
      <c r="Z466" s="17" t="s">
        <v>154</v>
      </c>
      <c r="AA466" s="15" t="s">
        <v>154</v>
      </c>
      <c r="AB466" s="93" t="s">
        <v>154</v>
      </c>
      <c r="AC466" s="15" t="s">
        <v>154</v>
      </c>
      <c r="AD466" s="97" t="s">
        <v>154</v>
      </c>
      <c r="AE466" s="97" t="s">
        <v>154</v>
      </c>
      <c r="AF466" s="93" t="s">
        <v>154</v>
      </c>
      <c r="AG466" s="97" t="s">
        <v>154</v>
      </c>
      <c r="AH466" s="93" t="s">
        <v>154</v>
      </c>
      <c r="AI466" s="97" t="s">
        <v>154</v>
      </c>
      <c r="AJ466" s="93" t="s">
        <v>154</v>
      </c>
      <c r="AK466" s="97" t="s">
        <v>154</v>
      </c>
    </row>
    <row r="467" spans="1:37" x14ac:dyDescent="0.25">
      <c r="A467" s="21" t="s">
        <v>70</v>
      </c>
      <c r="B467" s="5" t="s">
        <v>50</v>
      </c>
      <c r="C467" s="76" t="s">
        <v>45</v>
      </c>
      <c r="D467" s="26" t="s">
        <v>46</v>
      </c>
      <c r="E467" s="26" t="s">
        <v>145</v>
      </c>
      <c r="F467" s="21" t="s">
        <v>146</v>
      </c>
      <c r="G467" s="21" t="s">
        <v>156</v>
      </c>
      <c r="H467" s="26" t="s">
        <v>174</v>
      </c>
      <c r="I467" s="11">
        <v>0.2</v>
      </c>
      <c r="J467" s="28" t="s">
        <v>154</v>
      </c>
      <c r="K467" s="15" t="s">
        <v>154</v>
      </c>
      <c r="L467" s="28" t="s">
        <v>154</v>
      </c>
      <c r="M467" s="15" t="s">
        <v>154</v>
      </c>
      <c r="N467" s="28" t="s">
        <v>154</v>
      </c>
      <c r="O467" s="15" t="s">
        <v>154</v>
      </c>
      <c r="P467" s="28" t="s">
        <v>154</v>
      </c>
      <c r="Q467" s="15" t="s">
        <v>154</v>
      </c>
      <c r="R467" s="17" t="s">
        <v>154</v>
      </c>
      <c r="S467" s="15" t="s">
        <v>154</v>
      </c>
      <c r="T467" s="17" t="s">
        <v>154</v>
      </c>
      <c r="U467" s="15" t="s">
        <v>154</v>
      </c>
      <c r="V467" s="17" t="s">
        <v>154</v>
      </c>
      <c r="W467" s="15" t="s">
        <v>154</v>
      </c>
      <c r="X467" s="17" t="s">
        <v>154</v>
      </c>
      <c r="Y467" s="15" t="s">
        <v>154</v>
      </c>
      <c r="Z467" s="17" t="s">
        <v>154</v>
      </c>
      <c r="AA467" s="15" t="s">
        <v>154</v>
      </c>
      <c r="AB467" s="93" t="s">
        <v>154</v>
      </c>
      <c r="AC467" s="15" t="s">
        <v>154</v>
      </c>
      <c r="AD467" s="97" t="s">
        <v>154</v>
      </c>
      <c r="AE467" s="97" t="s">
        <v>154</v>
      </c>
      <c r="AF467" s="93" t="s">
        <v>154</v>
      </c>
      <c r="AG467" s="97" t="s">
        <v>154</v>
      </c>
      <c r="AH467" s="93" t="s">
        <v>154</v>
      </c>
      <c r="AI467" s="97" t="s">
        <v>154</v>
      </c>
      <c r="AJ467" s="93" t="s">
        <v>154</v>
      </c>
      <c r="AK467" s="97" t="s">
        <v>154</v>
      </c>
    </row>
    <row r="468" spans="1:37" x14ac:dyDescent="0.25">
      <c r="A468" s="21" t="s">
        <v>70</v>
      </c>
      <c r="B468" s="5" t="s">
        <v>50</v>
      </c>
      <c r="C468" s="76" t="s">
        <v>45</v>
      </c>
      <c r="D468" s="26" t="s">
        <v>46</v>
      </c>
      <c r="E468" s="26" t="s">
        <v>145</v>
      </c>
      <c r="F468" s="21" t="s">
        <v>179</v>
      </c>
      <c r="G468" s="21" t="s">
        <v>147</v>
      </c>
      <c r="H468" s="44" t="s">
        <v>379</v>
      </c>
      <c r="I468" s="14" t="s">
        <v>380</v>
      </c>
      <c r="J468" s="28" t="s">
        <v>154</v>
      </c>
      <c r="K468" s="15" t="s">
        <v>154</v>
      </c>
      <c r="L468" s="28" t="s">
        <v>154</v>
      </c>
      <c r="M468" s="15" t="s">
        <v>154</v>
      </c>
      <c r="N468" s="28" t="s">
        <v>154</v>
      </c>
      <c r="O468" s="15" t="s">
        <v>154</v>
      </c>
      <c r="P468" s="28" t="s">
        <v>154</v>
      </c>
      <c r="Q468" s="15" t="s">
        <v>154</v>
      </c>
      <c r="R468" s="17" t="s">
        <v>154</v>
      </c>
      <c r="S468" s="15" t="s">
        <v>154</v>
      </c>
      <c r="T468" s="17" t="s">
        <v>154</v>
      </c>
      <c r="U468" s="15" t="s">
        <v>154</v>
      </c>
      <c r="V468" s="17" t="s">
        <v>154</v>
      </c>
      <c r="W468" s="15" t="s">
        <v>154</v>
      </c>
      <c r="X468" s="17" t="s">
        <v>154</v>
      </c>
      <c r="Y468" s="15" t="s">
        <v>154</v>
      </c>
      <c r="Z468" s="17" t="s">
        <v>154</v>
      </c>
      <c r="AA468" s="15" t="s">
        <v>154</v>
      </c>
      <c r="AB468" s="93" t="s">
        <v>154</v>
      </c>
      <c r="AC468" s="15" t="s">
        <v>154</v>
      </c>
      <c r="AD468" s="97" t="s">
        <v>154</v>
      </c>
      <c r="AE468" s="97" t="s">
        <v>154</v>
      </c>
      <c r="AF468" s="93" t="s">
        <v>154</v>
      </c>
      <c r="AG468" s="97" t="s">
        <v>154</v>
      </c>
      <c r="AH468" s="93" t="s">
        <v>154</v>
      </c>
      <c r="AI468" s="97" t="s">
        <v>154</v>
      </c>
      <c r="AJ468" s="93" t="s">
        <v>154</v>
      </c>
      <c r="AK468" s="97" t="s">
        <v>154</v>
      </c>
    </row>
    <row r="469" spans="1:37" x14ac:dyDescent="0.25">
      <c r="A469" s="21" t="s">
        <v>70</v>
      </c>
      <c r="B469" s="5" t="s">
        <v>50</v>
      </c>
      <c r="C469" s="76" t="s">
        <v>45</v>
      </c>
      <c r="D469" s="26" t="s">
        <v>46</v>
      </c>
      <c r="E469" s="26" t="s">
        <v>145</v>
      </c>
      <c r="F469" s="21" t="s">
        <v>179</v>
      </c>
      <c r="G469" s="21" t="s">
        <v>147</v>
      </c>
      <c r="H469" s="26" t="s">
        <v>176</v>
      </c>
      <c r="I469" s="14" t="s">
        <v>380</v>
      </c>
      <c r="J469" s="28" t="s">
        <v>154</v>
      </c>
      <c r="K469" s="15" t="s">
        <v>154</v>
      </c>
      <c r="L469" s="28" t="s">
        <v>154</v>
      </c>
      <c r="M469" s="15" t="s">
        <v>154</v>
      </c>
      <c r="N469" s="28" t="s">
        <v>154</v>
      </c>
      <c r="O469" s="15" t="s">
        <v>154</v>
      </c>
      <c r="P469" s="28" t="s">
        <v>154</v>
      </c>
      <c r="Q469" s="15" t="s">
        <v>154</v>
      </c>
      <c r="R469" s="17" t="s">
        <v>154</v>
      </c>
      <c r="S469" s="15" t="s">
        <v>154</v>
      </c>
      <c r="T469" s="17" t="s">
        <v>154</v>
      </c>
      <c r="U469" s="15" t="s">
        <v>154</v>
      </c>
      <c r="V469" s="17" t="s">
        <v>154</v>
      </c>
      <c r="W469" s="15" t="s">
        <v>154</v>
      </c>
      <c r="X469" s="17" t="s">
        <v>154</v>
      </c>
      <c r="Y469" s="15" t="s">
        <v>154</v>
      </c>
      <c r="Z469" s="17" t="s">
        <v>154</v>
      </c>
      <c r="AA469" s="15" t="s">
        <v>154</v>
      </c>
      <c r="AB469" s="93" t="s">
        <v>154</v>
      </c>
      <c r="AC469" s="15" t="s">
        <v>154</v>
      </c>
      <c r="AD469" s="97" t="s">
        <v>154</v>
      </c>
      <c r="AE469" s="97" t="s">
        <v>154</v>
      </c>
      <c r="AF469" s="93" t="s">
        <v>154</v>
      </c>
      <c r="AG469" s="97" t="s">
        <v>154</v>
      </c>
      <c r="AH469" s="93" t="s">
        <v>154</v>
      </c>
      <c r="AI469" s="97" t="s">
        <v>154</v>
      </c>
      <c r="AJ469" s="93" t="s">
        <v>154</v>
      </c>
      <c r="AK469" s="97" t="s">
        <v>154</v>
      </c>
    </row>
    <row r="470" spans="1:37" x14ac:dyDescent="0.25">
      <c r="A470" s="21" t="s">
        <v>70</v>
      </c>
      <c r="B470" s="5" t="s">
        <v>50</v>
      </c>
      <c r="C470" s="76" t="s">
        <v>45</v>
      </c>
      <c r="D470" s="26" t="s">
        <v>46</v>
      </c>
      <c r="E470" s="26" t="s">
        <v>145</v>
      </c>
      <c r="F470" s="21" t="s">
        <v>179</v>
      </c>
      <c r="G470" s="21" t="s">
        <v>147</v>
      </c>
      <c r="H470" s="27" t="s">
        <v>197</v>
      </c>
      <c r="I470" s="15" t="s">
        <v>187</v>
      </c>
      <c r="J470" s="28" t="s">
        <v>154</v>
      </c>
      <c r="K470" s="15" t="s">
        <v>154</v>
      </c>
      <c r="L470" s="28" t="s">
        <v>154</v>
      </c>
      <c r="M470" s="15" t="s">
        <v>154</v>
      </c>
      <c r="N470" s="28" t="s">
        <v>154</v>
      </c>
      <c r="O470" s="15" t="s">
        <v>154</v>
      </c>
      <c r="P470" s="28" t="s">
        <v>154</v>
      </c>
      <c r="Q470" s="15" t="s">
        <v>154</v>
      </c>
      <c r="R470" s="17" t="s">
        <v>154</v>
      </c>
      <c r="S470" s="15" t="s">
        <v>154</v>
      </c>
      <c r="T470" s="17" t="s">
        <v>154</v>
      </c>
      <c r="U470" s="15" t="s">
        <v>154</v>
      </c>
      <c r="V470" s="17" t="s">
        <v>154</v>
      </c>
      <c r="W470" s="15" t="s">
        <v>154</v>
      </c>
      <c r="X470" s="17" t="s">
        <v>154</v>
      </c>
      <c r="Y470" s="15" t="s">
        <v>154</v>
      </c>
      <c r="Z470" s="17" t="s">
        <v>154</v>
      </c>
      <c r="AA470" s="15" t="s">
        <v>154</v>
      </c>
      <c r="AB470" s="93" t="s">
        <v>154</v>
      </c>
      <c r="AC470" s="15" t="s">
        <v>154</v>
      </c>
      <c r="AD470" s="97" t="s">
        <v>154</v>
      </c>
      <c r="AE470" s="97" t="s">
        <v>154</v>
      </c>
      <c r="AF470" s="93" t="s">
        <v>154</v>
      </c>
      <c r="AG470" s="97" t="s">
        <v>154</v>
      </c>
      <c r="AH470" s="93" t="s">
        <v>154</v>
      </c>
      <c r="AI470" s="97" t="s">
        <v>154</v>
      </c>
      <c r="AJ470" s="93" t="s">
        <v>154</v>
      </c>
      <c r="AK470" s="97" t="s">
        <v>154</v>
      </c>
    </row>
    <row r="471" spans="1:37" x14ac:dyDescent="0.25">
      <c r="A471" s="21" t="s">
        <v>70</v>
      </c>
      <c r="B471" s="5" t="s">
        <v>50</v>
      </c>
      <c r="C471" s="76" t="s">
        <v>45</v>
      </c>
      <c r="D471" s="26" t="s">
        <v>46</v>
      </c>
      <c r="E471" s="26" t="s">
        <v>145</v>
      </c>
      <c r="F471" s="21" t="s">
        <v>179</v>
      </c>
      <c r="G471" s="21" t="s">
        <v>147</v>
      </c>
      <c r="H471" s="21" t="s">
        <v>207</v>
      </c>
      <c r="I471" s="15" t="s">
        <v>187</v>
      </c>
      <c r="J471" s="28" t="s">
        <v>154</v>
      </c>
      <c r="K471" s="15" t="s">
        <v>154</v>
      </c>
      <c r="L471" s="28" t="s">
        <v>154</v>
      </c>
      <c r="M471" s="15" t="s">
        <v>154</v>
      </c>
      <c r="N471" s="28" t="s">
        <v>154</v>
      </c>
      <c r="O471" s="15" t="s">
        <v>154</v>
      </c>
      <c r="P471" s="28" t="s">
        <v>154</v>
      </c>
      <c r="Q471" s="15" t="s">
        <v>154</v>
      </c>
      <c r="R471" s="17" t="s">
        <v>154</v>
      </c>
      <c r="S471" s="15" t="s">
        <v>154</v>
      </c>
      <c r="T471" s="17" t="s">
        <v>154</v>
      </c>
      <c r="U471" s="15" t="s">
        <v>154</v>
      </c>
      <c r="V471" s="17" t="s">
        <v>154</v>
      </c>
      <c r="W471" s="15" t="s">
        <v>154</v>
      </c>
      <c r="X471" s="17" t="s">
        <v>154</v>
      </c>
      <c r="Y471" s="15" t="s">
        <v>154</v>
      </c>
      <c r="Z471" s="17" t="s">
        <v>154</v>
      </c>
      <c r="AA471" s="15" t="s">
        <v>154</v>
      </c>
      <c r="AB471" s="93" t="s">
        <v>154</v>
      </c>
      <c r="AC471" s="15" t="s">
        <v>154</v>
      </c>
      <c r="AD471" s="156" t="s">
        <v>154</v>
      </c>
      <c r="AE471" s="127" t="s">
        <v>154</v>
      </c>
      <c r="AF471" s="159" t="s">
        <v>154</v>
      </c>
      <c r="AG471" s="97" t="s">
        <v>154</v>
      </c>
      <c r="AH471" s="93" t="s">
        <v>154</v>
      </c>
      <c r="AI471" s="271" t="s">
        <v>154</v>
      </c>
      <c r="AJ471" s="93" t="s">
        <v>154</v>
      </c>
      <c r="AK471" s="271" t="s">
        <v>154</v>
      </c>
    </row>
    <row r="472" spans="1:37" x14ac:dyDescent="0.25">
      <c r="A472" s="21" t="s">
        <v>70</v>
      </c>
      <c r="B472" s="5" t="s">
        <v>50</v>
      </c>
      <c r="C472" s="76" t="s">
        <v>45</v>
      </c>
      <c r="D472" s="26" t="s">
        <v>46</v>
      </c>
      <c r="E472" s="26" t="s">
        <v>145</v>
      </c>
      <c r="F472" s="21" t="s">
        <v>179</v>
      </c>
      <c r="G472" s="21" t="s">
        <v>147</v>
      </c>
      <c r="H472" s="27" t="s">
        <v>186</v>
      </c>
      <c r="I472" s="15" t="s">
        <v>187</v>
      </c>
      <c r="J472" s="28" t="s">
        <v>154</v>
      </c>
      <c r="K472" s="15" t="s">
        <v>154</v>
      </c>
      <c r="L472" s="28" t="s">
        <v>154</v>
      </c>
      <c r="M472" s="15" t="s">
        <v>154</v>
      </c>
      <c r="N472" s="28" t="s">
        <v>154</v>
      </c>
      <c r="O472" s="15" t="s">
        <v>154</v>
      </c>
      <c r="P472" s="28" t="s">
        <v>154</v>
      </c>
      <c r="Q472" s="15" t="s">
        <v>154</v>
      </c>
      <c r="R472" s="17" t="s">
        <v>154</v>
      </c>
      <c r="S472" s="15" t="s">
        <v>154</v>
      </c>
      <c r="T472" s="17" t="s">
        <v>154</v>
      </c>
      <c r="U472" s="15" t="s">
        <v>154</v>
      </c>
      <c r="V472" s="17" t="s">
        <v>154</v>
      </c>
      <c r="W472" s="15" t="s">
        <v>154</v>
      </c>
      <c r="X472" s="17" t="s">
        <v>154</v>
      </c>
      <c r="Y472" s="15" t="s">
        <v>154</v>
      </c>
      <c r="Z472" s="17" t="s">
        <v>154</v>
      </c>
      <c r="AA472" s="15" t="s">
        <v>154</v>
      </c>
      <c r="AB472" s="93" t="s">
        <v>154</v>
      </c>
      <c r="AC472" s="15" t="s">
        <v>154</v>
      </c>
      <c r="AD472" s="97" t="s">
        <v>154</v>
      </c>
      <c r="AE472" s="126" t="s">
        <v>154</v>
      </c>
      <c r="AF472" s="93" t="s">
        <v>154</v>
      </c>
      <c r="AG472" s="97" t="s">
        <v>154</v>
      </c>
      <c r="AH472" s="93" t="s">
        <v>154</v>
      </c>
      <c r="AI472" s="94" t="s">
        <v>154</v>
      </c>
      <c r="AJ472" s="93" t="s">
        <v>154</v>
      </c>
      <c r="AK472" s="94" t="s">
        <v>154</v>
      </c>
    </row>
    <row r="473" spans="1:37" x14ac:dyDescent="0.25">
      <c r="A473" s="21" t="s">
        <v>70</v>
      </c>
      <c r="B473" s="5" t="s">
        <v>50</v>
      </c>
      <c r="C473" s="76" t="s">
        <v>45</v>
      </c>
      <c r="D473" s="26" t="s">
        <v>46</v>
      </c>
      <c r="E473" s="26" t="s">
        <v>145</v>
      </c>
      <c r="F473" s="21" t="s">
        <v>179</v>
      </c>
      <c r="G473" s="21" t="s">
        <v>147</v>
      </c>
      <c r="H473" s="27" t="s">
        <v>188</v>
      </c>
      <c r="I473" s="15" t="s">
        <v>187</v>
      </c>
      <c r="J473" s="28" t="s">
        <v>154</v>
      </c>
      <c r="K473" s="15" t="s">
        <v>154</v>
      </c>
      <c r="L473" s="28" t="s">
        <v>154</v>
      </c>
      <c r="M473" s="15" t="s">
        <v>154</v>
      </c>
      <c r="N473" s="28" t="s">
        <v>154</v>
      </c>
      <c r="O473" s="15" t="s">
        <v>154</v>
      </c>
      <c r="P473" s="28" t="s">
        <v>154</v>
      </c>
      <c r="Q473" s="15" t="s">
        <v>154</v>
      </c>
      <c r="R473" s="17" t="s">
        <v>154</v>
      </c>
      <c r="S473" s="15" t="s">
        <v>154</v>
      </c>
      <c r="T473" s="17" t="s">
        <v>154</v>
      </c>
      <c r="U473" s="15" t="s">
        <v>154</v>
      </c>
      <c r="V473" s="17" t="s">
        <v>154</v>
      </c>
      <c r="W473" s="15" t="s">
        <v>154</v>
      </c>
      <c r="X473" s="17" t="s">
        <v>154</v>
      </c>
      <c r="Y473" s="15" t="s">
        <v>154</v>
      </c>
      <c r="Z473" s="17" t="s">
        <v>154</v>
      </c>
      <c r="AA473" s="15" t="s">
        <v>154</v>
      </c>
      <c r="AB473" s="93" t="s">
        <v>154</v>
      </c>
      <c r="AC473" s="15" t="s">
        <v>154</v>
      </c>
      <c r="AD473" s="97" t="s">
        <v>154</v>
      </c>
      <c r="AE473" s="126" t="s">
        <v>154</v>
      </c>
      <c r="AF473" s="93" t="s">
        <v>154</v>
      </c>
      <c r="AG473" s="97" t="s">
        <v>154</v>
      </c>
      <c r="AH473" s="93" t="s">
        <v>154</v>
      </c>
      <c r="AI473" s="94" t="s">
        <v>154</v>
      </c>
      <c r="AJ473" s="93" t="s">
        <v>154</v>
      </c>
      <c r="AK473" s="94" t="s">
        <v>154</v>
      </c>
    </row>
    <row r="474" spans="1:37" x14ac:dyDescent="0.25">
      <c r="A474" s="161" t="s">
        <v>70</v>
      </c>
      <c r="B474" s="162" t="s">
        <v>50</v>
      </c>
      <c r="C474" s="264" t="s">
        <v>45</v>
      </c>
      <c r="D474" s="163" t="s">
        <v>46</v>
      </c>
      <c r="E474" s="163" t="s">
        <v>145</v>
      </c>
      <c r="F474" s="161" t="s">
        <v>179</v>
      </c>
      <c r="G474" s="161" t="s">
        <v>147</v>
      </c>
      <c r="H474" s="164" t="s">
        <v>190</v>
      </c>
      <c r="I474" s="165" t="s">
        <v>187</v>
      </c>
      <c r="J474" s="167" t="s">
        <v>154</v>
      </c>
      <c r="K474" s="165" t="s">
        <v>154</v>
      </c>
      <c r="L474" s="167" t="s">
        <v>154</v>
      </c>
      <c r="M474" s="165" t="s">
        <v>154</v>
      </c>
      <c r="N474" s="167" t="s">
        <v>154</v>
      </c>
      <c r="O474" s="165" t="s">
        <v>154</v>
      </c>
      <c r="P474" s="167" t="s">
        <v>154</v>
      </c>
      <c r="Q474" s="165" t="s">
        <v>154</v>
      </c>
      <c r="R474" s="168" t="s">
        <v>154</v>
      </c>
      <c r="S474" s="165" t="s">
        <v>154</v>
      </c>
      <c r="T474" s="168" t="s">
        <v>154</v>
      </c>
      <c r="U474" s="165" t="s">
        <v>154</v>
      </c>
      <c r="V474" s="168" t="s">
        <v>154</v>
      </c>
      <c r="W474" s="165" t="s">
        <v>154</v>
      </c>
      <c r="X474" s="168" t="s">
        <v>154</v>
      </c>
      <c r="Y474" s="165" t="s">
        <v>154</v>
      </c>
      <c r="Z474" s="168" t="s">
        <v>154</v>
      </c>
      <c r="AA474" s="165" t="s">
        <v>154</v>
      </c>
      <c r="AB474" s="159" t="s">
        <v>154</v>
      </c>
      <c r="AC474" s="165" t="s">
        <v>154</v>
      </c>
      <c r="AD474" s="156" t="s">
        <v>154</v>
      </c>
      <c r="AE474" s="174" t="s">
        <v>154</v>
      </c>
      <c r="AF474" s="93" t="s">
        <v>154</v>
      </c>
      <c r="AG474" s="97" t="s">
        <v>154</v>
      </c>
      <c r="AH474" s="93" t="s">
        <v>154</v>
      </c>
      <c r="AI474" s="94" t="s">
        <v>154</v>
      </c>
      <c r="AJ474" s="93" t="s">
        <v>154</v>
      </c>
      <c r="AK474" s="94" t="s">
        <v>154</v>
      </c>
    </row>
    <row r="475" spans="1:37" x14ac:dyDescent="0.25">
      <c r="A475" s="21" t="s">
        <v>49</v>
      </c>
      <c r="B475" s="5" t="s">
        <v>50</v>
      </c>
      <c r="C475" s="76" t="s">
        <v>45</v>
      </c>
      <c r="D475" s="26" t="s">
        <v>29</v>
      </c>
      <c r="E475" s="26" t="s">
        <v>145</v>
      </c>
      <c r="F475" s="26" t="s">
        <v>146</v>
      </c>
      <c r="G475" s="21" t="s">
        <v>156</v>
      </c>
      <c r="H475" s="27" t="s">
        <v>180</v>
      </c>
      <c r="I475" s="15" t="s">
        <v>293</v>
      </c>
      <c r="J475" s="28">
        <v>85</v>
      </c>
      <c r="K475" s="28" t="s">
        <v>150</v>
      </c>
      <c r="L475" s="17">
        <v>89</v>
      </c>
      <c r="M475" s="28" t="s">
        <v>150</v>
      </c>
      <c r="N475" s="28">
        <v>53</v>
      </c>
      <c r="O475" s="28" t="s">
        <v>150</v>
      </c>
      <c r="P475" s="28">
        <v>73</v>
      </c>
      <c r="Q475" s="28" t="s">
        <v>150</v>
      </c>
      <c r="R475" s="28">
        <v>55</v>
      </c>
      <c r="S475" s="28" t="s">
        <v>150</v>
      </c>
      <c r="T475" s="7">
        <v>48</v>
      </c>
      <c r="U475" s="28" t="s">
        <v>150</v>
      </c>
      <c r="V475" s="28">
        <v>137</v>
      </c>
      <c r="W475" s="28" t="s">
        <v>194</v>
      </c>
      <c r="X475" s="28" t="s">
        <v>196</v>
      </c>
      <c r="Y475" s="28" t="s">
        <v>195</v>
      </c>
      <c r="Z475" s="28" t="s">
        <v>294</v>
      </c>
      <c r="AA475" s="28" t="s">
        <v>194</v>
      </c>
      <c r="AB475" s="103">
        <v>103</v>
      </c>
      <c r="AC475" s="28" t="s">
        <v>194</v>
      </c>
      <c r="AD475" s="97" t="s">
        <v>195</v>
      </c>
      <c r="AE475" s="97" t="s">
        <v>195</v>
      </c>
      <c r="AF475" s="97" t="s">
        <v>195</v>
      </c>
      <c r="AG475" s="140" t="s">
        <v>195</v>
      </c>
      <c r="AH475" s="97" t="s">
        <v>195</v>
      </c>
      <c r="AI475" s="97" t="s">
        <v>195</v>
      </c>
      <c r="AJ475" s="97" t="s">
        <v>195</v>
      </c>
      <c r="AK475" s="97" t="s">
        <v>195</v>
      </c>
    </row>
    <row r="476" spans="1:37" x14ac:dyDescent="0.25">
      <c r="A476" s="21" t="s">
        <v>49</v>
      </c>
      <c r="B476" s="5" t="s">
        <v>50</v>
      </c>
      <c r="C476" s="76" t="s">
        <v>45</v>
      </c>
      <c r="D476" s="26" t="s">
        <v>29</v>
      </c>
      <c r="E476" s="26" t="s">
        <v>145</v>
      </c>
      <c r="F476" s="26" t="s">
        <v>146</v>
      </c>
      <c r="G476" s="21" t="s">
        <v>156</v>
      </c>
      <c r="H476" s="21" t="s">
        <v>296</v>
      </c>
      <c r="I476" s="14" t="s">
        <v>297</v>
      </c>
      <c r="J476" s="28">
        <v>39</v>
      </c>
      <c r="K476" s="28" t="s">
        <v>194</v>
      </c>
      <c r="L476" s="17">
        <v>13</v>
      </c>
      <c r="M476" s="28" t="s">
        <v>150</v>
      </c>
      <c r="N476" s="28">
        <v>98</v>
      </c>
      <c r="O476" s="28" t="s">
        <v>194</v>
      </c>
      <c r="P476" s="28">
        <v>71</v>
      </c>
      <c r="Q476" s="28" t="s">
        <v>194</v>
      </c>
      <c r="R476" s="28">
        <v>40</v>
      </c>
      <c r="S476" s="28" t="s">
        <v>194</v>
      </c>
      <c r="T476" s="7">
        <v>25</v>
      </c>
      <c r="U476" s="28" t="s">
        <v>150</v>
      </c>
      <c r="V476" s="28">
        <v>58</v>
      </c>
      <c r="W476" s="28" t="s">
        <v>194</v>
      </c>
      <c r="X476" s="28" t="s">
        <v>196</v>
      </c>
      <c r="Y476" s="28" t="s">
        <v>195</v>
      </c>
      <c r="Z476" s="28" t="s">
        <v>298</v>
      </c>
      <c r="AA476" s="28" t="s">
        <v>194</v>
      </c>
      <c r="AB476" s="103">
        <v>64</v>
      </c>
      <c r="AC476" s="28" t="s">
        <v>194</v>
      </c>
      <c r="AD476" s="97" t="s">
        <v>195</v>
      </c>
      <c r="AE476" s="97" t="s">
        <v>195</v>
      </c>
      <c r="AF476" s="97" t="s">
        <v>195</v>
      </c>
      <c r="AG476" s="140" t="s">
        <v>195</v>
      </c>
      <c r="AH476" s="97" t="s">
        <v>195</v>
      </c>
      <c r="AI476" s="97" t="s">
        <v>195</v>
      </c>
      <c r="AJ476" s="97" t="s">
        <v>195</v>
      </c>
      <c r="AK476" s="97" t="s">
        <v>195</v>
      </c>
    </row>
    <row r="477" spans="1:37" x14ac:dyDescent="0.25">
      <c r="A477" s="21" t="s">
        <v>49</v>
      </c>
      <c r="B477" s="5" t="s">
        <v>50</v>
      </c>
      <c r="C477" s="76" t="s">
        <v>45</v>
      </c>
      <c r="D477" s="26" t="s">
        <v>29</v>
      </c>
      <c r="E477" s="26" t="s">
        <v>145</v>
      </c>
      <c r="F477" s="21" t="s">
        <v>179</v>
      </c>
      <c r="G477" s="21" t="s">
        <v>147</v>
      </c>
      <c r="H477" s="27" t="s">
        <v>188</v>
      </c>
      <c r="I477" s="11">
        <v>0.3</v>
      </c>
      <c r="J477" s="29">
        <v>0.14000000000000001</v>
      </c>
      <c r="K477" s="28" t="s">
        <v>194</v>
      </c>
      <c r="L477" s="15">
        <v>0.1</v>
      </c>
      <c r="M477" s="28" t="s">
        <v>194</v>
      </c>
      <c r="N477" s="36">
        <v>4.3715846994535519E-2</v>
      </c>
      <c r="O477" s="28" t="s">
        <v>194</v>
      </c>
      <c r="P477" s="36">
        <v>6.0085836909871244E-2</v>
      </c>
      <c r="Q477" s="28" t="s">
        <v>194</v>
      </c>
      <c r="R477" s="29">
        <v>0.05</v>
      </c>
      <c r="S477" s="28" t="s">
        <v>194</v>
      </c>
      <c r="T477" s="29">
        <v>0.03</v>
      </c>
      <c r="U477" s="28" t="s">
        <v>194</v>
      </c>
      <c r="V477" s="29">
        <v>0.02</v>
      </c>
      <c r="W477" s="28" t="s">
        <v>194</v>
      </c>
      <c r="X477" s="28" t="s">
        <v>196</v>
      </c>
      <c r="Y477" s="28" t="s">
        <v>195</v>
      </c>
      <c r="Z477" s="29">
        <v>0.04</v>
      </c>
      <c r="AA477" s="28" t="s">
        <v>194</v>
      </c>
      <c r="AB477" s="73">
        <v>4.4117647058823532E-2</v>
      </c>
      <c r="AC477" s="28" t="s">
        <v>194</v>
      </c>
      <c r="AD477" s="97" t="s">
        <v>195</v>
      </c>
      <c r="AE477" s="126" t="s">
        <v>195</v>
      </c>
      <c r="AF477" s="97" t="s">
        <v>195</v>
      </c>
      <c r="AG477" s="140" t="s">
        <v>195</v>
      </c>
      <c r="AH477" s="97" t="s">
        <v>195</v>
      </c>
      <c r="AI477" s="94" t="s">
        <v>195</v>
      </c>
      <c r="AJ477" s="97" t="s">
        <v>195</v>
      </c>
      <c r="AK477" s="94" t="s">
        <v>195</v>
      </c>
    </row>
    <row r="478" spans="1:37" x14ac:dyDescent="0.25">
      <c r="A478" s="21" t="s">
        <v>49</v>
      </c>
      <c r="B478" s="5" t="s">
        <v>50</v>
      </c>
      <c r="C478" s="76" t="s">
        <v>45</v>
      </c>
      <c r="D478" s="26" t="s">
        <v>29</v>
      </c>
      <c r="E478" s="26" t="s">
        <v>145</v>
      </c>
      <c r="F478" s="21" t="s">
        <v>179</v>
      </c>
      <c r="G478" s="21" t="s">
        <v>147</v>
      </c>
      <c r="H478" s="21" t="s">
        <v>189</v>
      </c>
      <c r="I478" s="15">
        <v>0.3</v>
      </c>
      <c r="J478" s="29">
        <v>0.3</v>
      </c>
      <c r="K478" s="28" t="s">
        <v>150</v>
      </c>
      <c r="L478" s="45">
        <v>0</v>
      </c>
      <c r="M478" s="28" t="s">
        <v>150</v>
      </c>
      <c r="N478" s="36">
        <v>0.14000000000000001</v>
      </c>
      <c r="O478" s="28" t="s">
        <v>150</v>
      </c>
      <c r="P478" s="36">
        <v>0.31</v>
      </c>
      <c r="Q478" s="28" t="s">
        <v>194</v>
      </c>
      <c r="R478" s="11">
        <v>0.14000000000000001</v>
      </c>
      <c r="S478" s="28" t="s">
        <v>150</v>
      </c>
      <c r="T478" s="29">
        <v>0</v>
      </c>
      <c r="U478" s="28" t="s">
        <v>150</v>
      </c>
      <c r="V478" s="29">
        <v>0.2</v>
      </c>
      <c r="W478" s="28" t="s">
        <v>150</v>
      </c>
      <c r="X478" s="28" t="s">
        <v>196</v>
      </c>
      <c r="Y478" s="28" t="s">
        <v>195</v>
      </c>
      <c r="Z478" s="29">
        <v>0.2</v>
      </c>
      <c r="AA478" s="28" t="s">
        <v>150</v>
      </c>
      <c r="AB478" s="65">
        <v>0</v>
      </c>
      <c r="AC478" s="28" t="s">
        <v>150</v>
      </c>
      <c r="AD478" s="97" t="s">
        <v>195</v>
      </c>
      <c r="AE478" s="126" t="s">
        <v>195</v>
      </c>
      <c r="AF478" s="97" t="s">
        <v>195</v>
      </c>
      <c r="AG478" s="140" t="s">
        <v>195</v>
      </c>
      <c r="AH478" s="97" t="s">
        <v>195</v>
      </c>
      <c r="AI478" s="94" t="s">
        <v>195</v>
      </c>
      <c r="AJ478" s="97" t="s">
        <v>195</v>
      </c>
      <c r="AK478" s="94" t="s">
        <v>195</v>
      </c>
    </row>
    <row r="479" spans="1:37" x14ac:dyDescent="0.25">
      <c r="A479" s="21" t="s">
        <v>49</v>
      </c>
      <c r="B479" s="5" t="s">
        <v>50</v>
      </c>
      <c r="C479" s="76" t="s">
        <v>45</v>
      </c>
      <c r="D479" s="26" t="s">
        <v>29</v>
      </c>
      <c r="E479" s="26" t="s">
        <v>145</v>
      </c>
      <c r="F479" s="21" t="s">
        <v>179</v>
      </c>
      <c r="G479" s="21" t="s">
        <v>147</v>
      </c>
      <c r="H479" s="27" t="s">
        <v>186</v>
      </c>
      <c r="I479" s="15">
        <v>0.6</v>
      </c>
      <c r="J479" s="29">
        <v>0.7</v>
      </c>
      <c r="K479" s="28" t="s">
        <v>150</v>
      </c>
      <c r="L479" s="15">
        <v>0.85</v>
      </c>
      <c r="M479" s="28" t="s">
        <v>150</v>
      </c>
      <c r="N479" s="36">
        <v>0.82</v>
      </c>
      <c r="O479" s="28" t="s">
        <v>150</v>
      </c>
      <c r="P479" s="36">
        <v>0.81</v>
      </c>
      <c r="Q479" s="28" t="s">
        <v>150</v>
      </c>
      <c r="R479" s="29">
        <v>0.84</v>
      </c>
      <c r="S479" s="28" t="s">
        <v>150</v>
      </c>
      <c r="T479" s="29">
        <v>0.73333333333333328</v>
      </c>
      <c r="U479" s="28" t="s">
        <v>150</v>
      </c>
      <c r="V479" s="29">
        <v>0.8</v>
      </c>
      <c r="W479" s="28" t="s">
        <v>150</v>
      </c>
      <c r="X479" s="28" t="s">
        <v>196</v>
      </c>
      <c r="Y479" s="28" t="s">
        <v>195</v>
      </c>
      <c r="Z479" s="29">
        <v>0.96</v>
      </c>
      <c r="AA479" s="28" t="s">
        <v>150</v>
      </c>
      <c r="AB479" s="65">
        <v>0.85</v>
      </c>
      <c r="AC479" s="28" t="s">
        <v>150</v>
      </c>
      <c r="AD479" s="97" t="s">
        <v>195</v>
      </c>
      <c r="AE479" s="126" t="s">
        <v>195</v>
      </c>
      <c r="AF479" s="97" t="s">
        <v>195</v>
      </c>
      <c r="AG479" s="140" t="s">
        <v>195</v>
      </c>
      <c r="AH479" s="97" t="s">
        <v>195</v>
      </c>
      <c r="AI479" s="94" t="s">
        <v>195</v>
      </c>
      <c r="AJ479" s="97" t="s">
        <v>195</v>
      </c>
      <c r="AK479" s="94" t="s">
        <v>195</v>
      </c>
    </row>
    <row r="480" spans="1:37" x14ac:dyDescent="0.25">
      <c r="A480" s="21" t="s">
        <v>49</v>
      </c>
      <c r="B480" s="5" t="s">
        <v>50</v>
      </c>
      <c r="C480" s="76" t="s">
        <v>45</v>
      </c>
      <c r="D480" s="26" t="s">
        <v>29</v>
      </c>
      <c r="E480" s="26" t="s">
        <v>145</v>
      </c>
      <c r="F480" s="21" t="s">
        <v>179</v>
      </c>
      <c r="G480" s="21" t="s">
        <v>147</v>
      </c>
      <c r="H480" s="27" t="s">
        <v>190</v>
      </c>
      <c r="I480" s="15">
        <v>0.7</v>
      </c>
      <c r="J480" s="29">
        <v>0.56000000000000005</v>
      </c>
      <c r="K480" s="28" t="s">
        <v>194</v>
      </c>
      <c r="L480" s="45">
        <v>0.28999999999999998</v>
      </c>
      <c r="M480" s="28" t="s">
        <v>194</v>
      </c>
      <c r="N480" s="29">
        <v>0</v>
      </c>
      <c r="O480" s="28" t="s">
        <v>194</v>
      </c>
      <c r="P480" s="36">
        <v>0.77</v>
      </c>
      <c r="Q480" s="28" t="s">
        <v>150</v>
      </c>
      <c r="R480" s="29">
        <v>0.88</v>
      </c>
      <c r="S480" s="28" t="s">
        <v>150</v>
      </c>
      <c r="T480" s="28" t="s">
        <v>196</v>
      </c>
      <c r="U480" s="28" t="s">
        <v>195</v>
      </c>
      <c r="V480" s="29">
        <v>1.33</v>
      </c>
      <c r="W480" s="28" t="s">
        <v>150</v>
      </c>
      <c r="X480" s="28" t="s">
        <v>196</v>
      </c>
      <c r="Y480" s="28" t="s">
        <v>195</v>
      </c>
      <c r="Z480" s="29">
        <v>1</v>
      </c>
      <c r="AA480" s="28" t="s">
        <v>150</v>
      </c>
      <c r="AB480" s="65">
        <v>1</v>
      </c>
      <c r="AC480" s="28" t="s">
        <v>150</v>
      </c>
      <c r="AD480" s="97" t="s">
        <v>195</v>
      </c>
      <c r="AE480" s="126" t="s">
        <v>195</v>
      </c>
      <c r="AF480" s="97" t="s">
        <v>195</v>
      </c>
      <c r="AG480" s="140" t="s">
        <v>195</v>
      </c>
      <c r="AH480" s="97" t="s">
        <v>195</v>
      </c>
      <c r="AI480" s="94" t="s">
        <v>195</v>
      </c>
      <c r="AJ480" s="97" t="s">
        <v>195</v>
      </c>
      <c r="AK480" s="94" t="s">
        <v>195</v>
      </c>
    </row>
    <row r="481" spans="1:37" x14ac:dyDescent="0.25">
      <c r="A481" s="21" t="s">
        <v>49</v>
      </c>
      <c r="B481" s="5" t="s">
        <v>50</v>
      </c>
      <c r="C481" s="76" t="s">
        <v>45</v>
      </c>
      <c r="D481" s="26" t="s">
        <v>29</v>
      </c>
      <c r="E481" s="26" t="s">
        <v>145</v>
      </c>
      <c r="F481" s="21" t="s">
        <v>179</v>
      </c>
      <c r="G481" s="21" t="s">
        <v>147</v>
      </c>
      <c r="H481" s="21" t="s">
        <v>207</v>
      </c>
      <c r="I481" s="15" t="s">
        <v>299</v>
      </c>
      <c r="J481" s="29">
        <v>0.19</v>
      </c>
      <c r="K481" s="28" t="s">
        <v>150</v>
      </c>
      <c r="L481" s="45">
        <v>0.21428571428571427</v>
      </c>
      <c r="M481" s="28" t="s">
        <v>150</v>
      </c>
      <c r="N481" s="36">
        <v>0.5</v>
      </c>
      <c r="O481" s="28" t="s">
        <v>194</v>
      </c>
      <c r="P481" s="36">
        <v>0.28999999999999998</v>
      </c>
      <c r="Q481" s="28" t="s">
        <v>194</v>
      </c>
      <c r="R481" s="29">
        <v>0.33</v>
      </c>
      <c r="S481" s="28" t="s">
        <v>194</v>
      </c>
      <c r="T481" s="29">
        <v>0.12</v>
      </c>
      <c r="U481" s="28" t="s">
        <v>150</v>
      </c>
      <c r="V481" s="29">
        <v>0.31</v>
      </c>
      <c r="W481" s="28" t="s">
        <v>194</v>
      </c>
      <c r="X481" s="28" t="s">
        <v>196</v>
      </c>
      <c r="Y481" s="28" t="s">
        <v>195</v>
      </c>
      <c r="Z481" s="29">
        <v>0.15</v>
      </c>
      <c r="AA481" s="28" t="s">
        <v>150</v>
      </c>
      <c r="AB481" s="65">
        <v>0</v>
      </c>
      <c r="AC481" s="28" t="s">
        <v>150</v>
      </c>
      <c r="AD481" s="97" t="s">
        <v>195</v>
      </c>
      <c r="AE481" s="127" t="s">
        <v>195</v>
      </c>
      <c r="AF481" s="97" t="s">
        <v>195</v>
      </c>
      <c r="AG481" s="140" t="s">
        <v>195</v>
      </c>
      <c r="AH481" s="97" t="s">
        <v>195</v>
      </c>
      <c r="AI481" s="271" t="s">
        <v>195</v>
      </c>
      <c r="AJ481" s="97" t="s">
        <v>195</v>
      </c>
      <c r="AK481" s="271" t="s">
        <v>195</v>
      </c>
    </row>
    <row r="482" spans="1:37" x14ac:dyDescent="0.25">
      <c r="A482" s="21" t="s">
        <v>49</v>
      </c>
      <c r="B482" s="5" t="s">
        <v>50</v>
      </c>
      <c r="C482" s="76" t="s">
        <v>45</v>
      </c>
      <c r="D482" s="26" t="s">
        <v>29</v>
      </c>
      <c r="E482" s="26" t="s">
        <v>145</v>
      </c>
      <c r="F482" s="21" t="s">
        <v>179</v>
      </c>
      <c r="G482" s="21" t="s">
        <v>147</v>
      </c>
      <c r="H482" s="21" t="s">
        <v>174</v>
      </c>
      <c r="I482" s="15">
        <v>0.5</v>
      </c>
      <c r="J482" s="29">
        <v>0.11</v>
      </c>
      <c r="K482" s="28" t="s">
        <v>194</v>
      </c>
      <c r="L482" s="45">
        <v>0</v>
      </c>
      <c r="M482" s="28" t="s">
        <v>194</v>
      </c>
      <c r="N482" s="36">
        <v>0.17</v>
      </c>
      <c r="O482" s="28" t="s">
        <v>194</v>
      </c>
      <c r="P482" s="36">
        <v>0.27</v>
      </c>
      <c r="Q482" s="28" t="s">
        <v>194</v>
      </c>
      <c r="R482" s="29">
        <v>0</v>
      </c>
      <c r="S482" s="28" t="s">
        <v>194</v>
      </c>
      <c r="T482" s="29">
        <v>0</v>
      </c>
      <c r="U482" s="28" t="s">
        <v>194</v>
      </c>
      <c r="V482" s="29">
        <v>0.25</v>
      </c>
      <c r="W482" s="28" t="s">
        <v>194</v>
      </c>
      <c r="X482" s="28" t="s">
        <v>196</v>
      </c>
      <c r="Y482" s="28" t="s">
        <v>195</v>
      </c>
      <c r="Z482" s="29">
        <v>0</v>
      </c>
      <c r="AA482" s="28" t="s">
        <v>194</v>
      </c>
      <c r="AB482" s="65">
        <v>0</v>
      </c>
      <c r="AC482" s="28" t="s">
        <v>194</v>
      </c>
      <c r="AD482" s="97" t="s">
        <v>195</v>
      </c>
      <c r="AE482" s="97" t="s">
        <v>195</v>
      </c>
      <c r="AF482" s="97" t="s">
        <v>195</v>
      </c>
      <c r="AG482" s="140" t="s">
        <v>195</v>
      </c>
      <c r="AH482" s="97" t="s">
        <v>195</v>
      </c>
      <c r="AI482" s="97" t="s">
        <v>195</v>
      </c>
      <c r="AJ482" s="97" t="s">
        <v>195</v>
      </c>
      <c r="AK482" s="97" t="s">
        <v>195</v>
      </c>
    </row>
    <row r="483" spans="1:37" x14ac:dyDescent="0.25">
      <c r="A483" s="201" t="s">
        <v>58</v>
      </c>
      <c r="B483" s="202" t="s">
        <v>27</v>
      </c>
      <c r="C483" s="5" t="s">
        <v>568</v>
      </c>
      <c r="D483" s="203" t="s">
        <v>46</v>
      </c>
      <c r="E483" s="203" t="s">
        <v>145</v>
      </c>
      <c r="F483" s="201" t="s">
        <v>179</v>
      </c>
      <c r="G483" s="203" t="s">
        <v>147</v>
      </c>
      <c r="H483" s="207" t="s">
        <v>180</v>
      </c>
      <c r="I483" s="199" t="s">
        <v>320</v>
      </c>
      <c r="J483" s="199" t="s">
        <v>321</v>
      </c>
      <c r="K483" s="199" t="s">
        <v>150</v>
      </c>
      <c r="L483" s="199" t="s">
        <v>322</v>
      </c>
      <c r="M483" s="199" t="s">
        <v>150</v>
      </c>
      <c r="N483" s="210" t="s">
        <v>323</v>
      </c>
      <c r="O483" s="199" t="s">
        <v>150</v>
      </c>
      <c r="P483" s="210" t="s">
        <v>324</v>
      </c>
      <c r="Q483" s="199" t="s">
        <v>150</v>
      </c>
      <c r="R483" s="210" t="s">
        <v>325</v>
      </c>
      <c r="S483" s="199" t="s">
        <v>150</v>
      </c>
      <c r="T483" s="210" t="s">
        <v>326</v>
      </c>
      <c r="U483" s="199" t="s">
        <v>150</v>
      </c>
      <c r="V483" s="210" t="s">
        <v>327</v>
      </c>
      <c r="W483" s="199" t="s">
        <v>150</v>
      </c>
      <c r="X483" s="210" t="s">
        <v>324</v>
      </c>
      <c r="Y483" s="199" t="s">
        <v>150</v>
      </c>
      <c r="Z483" s="210" t="s">
        <v>328</v>
      </c>
      <c r="AA483" s="199" t="s">
        <v>150</v>
      </c>
      <c r="AB483" s="246">
        <v>20</v>
      </c>
      <c r="AC483" s="199" t="s">
        <v>150</v>
      </c>
      <c r="AD483" s="160">
        <v>14</v>
      </c>
      <c r="AE483" s="199" t="s">
        <v>150</v>
      </c>
      <c r="AF483" s="97">
        <v>25</v>
      </c>
      <c r="AG483" s="199" t="s">
        <v>150</v>
      </c>
      <c r="AH483" s="93">
        <v>23</v>
      </c>
      <c r="AI483" s="199" t="s">
        <v>150</v>
      </c>
      <c r="AJ483" s="97">
        <v>27</v>
      </c>
      <c r="AK483" s="199" t="s">
        <v>150</v>
      </c>
    </row>
    <row r="484" spans="1:37" x14ac:dyDescent="0.25">
      <c r="A484" s="21" t="s">
        <v>58</v>
      </c>
      <c r="B484" s="5" t="s">
        <v>27</v>
      </c>
      <c r="C484" s="5" t="s">
        <v>568</v>
      </c>
      <c r="D484" s="26" t="s">
        <v>46</v>
      </c>
      <c r="E484" s="26" t="s">
        <v>145</v>
      </c>
      <c r="F484" s="21" t="s">
        <v>179</v>
      </c>
      <c r="G484" s="26" t="s">
        <v>147</v>
      </c>
      <c r="H484" s="27" t="s">
        <v>197</v>
      </c>
      <c r="I484" s="36" t="s">
        <v>329</v>
      </c>
      <c r="J484" s="28" t="s">
        <v>330</v>
      </c>
      <c r="K484" s="28" t="s">
        <v>150</v>
      </c>
      <c r="L484" s="28" t="s">
        <v>331</v>
      </c>
      <c r="M484" s="28" t="s">
        <v>150</v>
      </c>
      <c r="N484" s="17" t="s">
        <v>307</v>
      </c>
      <c r="O484" s="28" t="s">
        <v>150</v>
      </c>
      <c r="P484" s="17" t="s">
        <v>332</v>
      </c>
      <c r="Q484" s="28" t="s">
        <v>150</v>
      </c>
      <c r="R484" s="17" t="s">
        <v>333</v>
      </c>
      <c r="S484" s="28" t="s">
        <v>150</v>
      </c>
      <c r="T484" s="17" t="s">
        <v>332</v>
      </c>
      <c r="U484" s="28" t="s">
        <v>150</v>
      </c>
      <c r="V484" s="17" t="s">
        <v>334</v>
      </c>
      <c r="W484" s="28" t="s">
        <v>150</v>
      </c>
      <c r="X484" s="17" t="s">
        <v>335</v>
      </c>
      <c r="Y484" s="28" t="s">
        <v>150</v>
      </c>
      <c r="Z484" s="17" t="s">
        <v>160</v>
      </c>
      <c r="AA484" s="28" t="s">
        <v>150</v>
      </c>
      <c r="AB484" s="80">
        <v>17</v>
      </c>
      <c r="AC484" s="28" t="s">
        <v>150</v>
      </c>
      <c r="AD484" s="97">
        <v>12</v>
      </c>
      <c r="AE484" s="28" t="s">
        <v>150</v>
      </c>
      <c r="AF484" s="97">
        <v>17</v>
      </c>
      <c r="AG484" s="199" t="s">
        <v>150</v>
      </c>
      <c r="AH484" s="277">
        <v>17</v>
      </c>
      <c r="AI484" s="199" t="s">
        <v>150</v>
      </c>
      <c r="AJ484" s="97">
        <v>21</v>
      </c>
      <c r="AK484" s="199" t="s">
        <v>150</v>
      </c>
    </row>
    <row r="485" spans="1:37" x14ac:dyDescent="0.25">
      <c r="A485" s="21" t="s">
        <v>58</v>
      </c>
      <c r="B485" s="5" t="s">
        <v>27</v>
      </c>
      <c r="C485" s="5" t="s">
        <v>568</v>
      </c>
      <c r="D485" s="26" t="s">
        <v>46</v>
      </c>
      <c r="E485" s="26" t="s">
        <v>145</v>
      </c>
      <c r="F485" s="21" t="s">
        <v>179</v>
      </c>
      <c r="G485" s="26" t="s">
        <v>147</v>
      </c>
      <c r="H485" s="21" t="s">
        <v>207</v>
      </c>
      <c r="I485" s="29">
        <v>1</v>
      </c>
      <c r="J485" s="29">
        <v>1</v>
      </c>
      <c r="K485" s="28" t="s">
        <v>150</v>
      </c>
      <c r="L485" s="29">
        <v>0.92</v>
      </c>
      <c r="M485" s="28" t="s">
        <v>150</v>
      </c>
      <c r="N485" s="18">
        <v>1</v>
      </c>
      <c r="O485" s="28" t="s">
        <v>150</v>
      </c>
      <c r="P485" s="18">
        <v>1</v>
      </c>
      <c r="Q485" s="28" t="s">
        <v>150</v>
      </c>
      <c r="R485" s="18">
        <v>1</v>
      </c>
      <c r="S485" s="28" t="s">
        <v>150</v>
      </c>
      <c r="T485" s="18">
        <v>0.94</v>
      </c>
      <c r="U485" s="28" t="s">
        <v>150</v>
      </c>
      <c r="V485" s="18">
        <v>0.98</v>
      </c>
      <c r="W485" s="28" t="s">
        <v>150</v>
      </c>
      <c r="X485" s="18">
        <v>0.94</v>
      </c>
      <c r="Y485" s="28" t="s">
        <v>150</v>
      </c>
      <c r="Z485" s="18">
        <v>0.98</v>
      </c>
      <c r="AA485" s="28" t="s">
        <v>150</v>
      </c>
      <c r="AB485" s="81">
        <v>0.98</v>
      </c>
      <c r="AC485" s="28" t="s">
        <v>150</v>
      </c>
      <c r="AD485" s="98">
        <v>1</v>
      </c>
      <c r="AE485" s="28" t="s">
        <v>150</v>
      </c>
      <c r="AF485" s="98">
        <v>1</v>
      </c>
      <c r="AG485" s="199" t="s">
        <v>150</v>
      </c>
      <c r="AH485" s="96">
        <v>1</v>
      </c>
      <c r="AI485" s="199" t="s">
        <v>150</v>
      </c>
      <c r="AJ485" s="96">
        <v>0.04</v>
      </c>
      <c r="AK485" s="199" t="s">
        <v>150</v>
      </c>
    </row>
    <row r="486" spans="1:37" x14ac:dyDescent="0.25">
      <c r="A486" s="84" t="s">
        <v>58</v>
      </c>
      <c r="B486" s="5" t="s">
        <v>27</v>
      </c>
      <c r="C486" s="5" t="s">
        <v>568</v>
      </c>
      <c r="D486" s="26" t="s">
        <v>46</v>
      </c>
      <c r="E486" s="26" t="s">
        <v>145</v>
      </c>
      <c r="F486" s="21" t="s">
        <v>179</v>
      </c>
      <c r="G486" s="21" t="s">
        <v>147</v>
      </c>
      <c r="H486" s="27" t="s">
        <v>186</v>
      </c>
      <c r="I486" s="11">
        <v>0.7</v>
      </c>
      <c r="J486" s="14" t="s">
        <v>195</v>
      </c>
      <c r="K486" s="28" t="s">
        <v>195</v>
      </c>
      <c r="L486" s="28" t="s">
        <v>195</v>
      </c>
      <c r="M486" s="28" t="s">
        <v>195</v>
      </c>
      <c r="N486" s="18">
        <v>0.7</v>
      </c>
      <c r="O486" s="28" t="s">
        <v>150</v>
      </c>
      <c r="P486" s="18">
        <v>0.7</v>
      </c>
      <c r="Q486" s="28" t="s">
        <v>150</v>
      </c>
      <c r="R486" s="18">
        <v>0.7</v>
      </c>
      <c r="S486" s="28" t="s">
        <v>150</v>
      </c>
      <c r="T486" s="18">
        <v>0.7</v>
      </c>
      <c r="U486" s="28" t="s">
        <v>150</v>
      </c>
      <c r="V486" s="18">
        <v>0.7</v>
      </c>
      <c r="W486" s="28" t="s">
        <v>150</v>
      </c>
      <c r="X486" s="18">
        <v>0.7</v>
      </c>
      <c r="Y486" s="28" t="s">
        <v>150</v>
      </c>
      <c r="Z486" s="18">
        <v>0.7</v>
      </c>
      <c r="AA486" s="28" t="s">
        <v>150</v>
      </c>
      <c r="AB486" s="81">
        <v>0.7</v>
      </c>
      <c r="AC486" s="28" t="s">
        <v>150</v>
      </c>
      <c r="AD486" s="98">
        <v>0.7</v>
      </c>
      <c r="AE486" s="28" t="s">
        <v>150</v>
      </c>
      <c r="AF486" s="250">
        <v>0.7</v>
      </c>
      <c r="AG486" s="199" t="s">
        <v>150</v>
      </c>
      <c r="AH486" s="96">
        <v>0.7</v>
      </c>
      <c r="AI486" s="199" t="s">
        <v>150</v>
      </c>
      <c r="AJ486" s="96">
        <v>0.7</v>
      </c>
      <c r="AK486" s="199" t="s">
        <v>150</v>
      </c>
    </row>
    <row r="487" spans="1:37" x14ac:dyDescent="0.25">
      <c r="A487" s="84" t="s">
        <v>58</v>
      </c>
      <c r="B487" s="5" t="s">
        <v>27</v>
      </c>
      <c r="C487" s="5" t="s">
        <v>568</v>
      </c>
      <c r="D487" s="26" t="s">
        <v>46</v>
      </c>
      <c r="E487" s="26" t="s">
        <v>145</v>
      </c>
      <c r="F487" s="21" t="s">
        <v>179</v>
      </c>
      <c r="G487" s="21" t="s">
        <v>147</v>
      </c>
      <c r="H487" s="27" t="s">
        <v>188</v>
      </c>
      <c r="I487" s="11">
        <v>0.5</v>
      </c>
      <c r="J487" s="29">
        <v>0.6</v>
      </c>
      <c r="K487" s="28" t="s">
        <v>150</v>
      </c>
      <c r="L487" s="29">
        <v>0.6</v>
      </c>
      <c r="M487" s="28" t="s">
        <v>150</v>
      </c>
      <c r="N487" s="18">
        <v>0.5</v>
      </c>
      <c r="O487" s="28" t="s">
        <v>150</v>
      </c>
      <c r="P487" s="18">
        <v>0.5</v>
      </c>
      <c r="Q487" s="28" t="s">
        <v>150</v>
      </c>
      <c r="R487" s="18">
        <v>0.5</v>
      </c>
      <c r="S487" s="28" t="s">
        <v>150</v>
      </c>
      <c r="T487" s="18">
        <v>0.5</v>
      </c>
      <c r="U487" s="28" t="s">
        <v>150</v>
      </c>
      <c r="V487" s="18">
        <v>0.5</v>
      </c>
      <c r="W487" s="28" t="s">
        <v>150</v>
      </c>
      <c r="X487" s="18">
        <v>0.5</v>
      </c>
      <c r="Y487" s="28" t="s">
        <v>150</v>
      </c>
      <c r="Z487" s="18">
        <v>0.5</v>
      </c>
      <c r="AA487" s="28" t="s">
        <v>150</v>
      </c>
      <c r="AB487" s="81">
        <v>0.5</v>
      </c>
      <c r="AC487" s="28" t="s">
        <v>150</v>
      </c>
      <c r="AD487" s="98">
        <v>0.5</v>
      </c>
      <c r="AE487" s="28" t="s">
        <v>150</v>
      </c>
      <c r="AF487" s="81">
        <v>0.5</v>
      </c>
      <c r="AG487" s="199" t="s">
        <v>150</v>
      </c>
      <c r="AH487" s="96">
        <v>0.5</v>
      </c>
      <c r="AI487" s="199" t="s">
        <v>150</v>
      </c>
      <c r="AJ487" s="96">
        <v>0.5</v>
      </c>
      <c r="AK487" s="199" t="s">
        <v>150</v>
      </c>
    </row>
    <row r="488" spans="1:37" x14ac:dyDescent="0.25">
      <c r="A488" s="84" t="s">
        <v>58</v>
      </c>
      <c r="B488" s="5" t="s">
        <v>27</v>
      </c>
      <c r="C488" s="5" t="s">
        <v>568</v>
      </c>
      <c r="D488" s="26" t="s">
        <v>46</v>
      </c>
      <c r="E488" s="26" t="s">
        <v>145</v>
      </c>
      <c r="F488" s="21" t="s">
        <v>179</v>
      </c>
      <c r="G488" s="21" t="s">
        <v>147</v>
      </c>
      <c r="H488" s="21" t="s">
        <v>189</v>
      </c>
      <c r="I488" s="11">
        <v>0.5</v>
      </c>
      <c r="J488" s="29">
        <v>0.13</v>
      </c>
      <c r="K488" s="28" t="s">
        <v>150</v>
      </c>
      <c r="L488" s="29">
        <v>0.13</v>
      </c>
      <c r="M488" s="28" t="s">
        <v>150</v>
      </c>
      <c r="N488" s="18">
        <v>0.2</v>
      </c>
      <c r="O488" s="28" t="s">
        <v>150</v>
      </c>
      <c r="P488" s="18">
        <v>0.2</v>
      </c>
      <c r="Q488" s="28" t="s">
        <v>150</v>
      </c>
      <c r="R488" s="18">
        <v>0.11</v>
      </c>
      <c r="S488" s="28" t="s">
        <v>150</v>
      </c>
      <c r="T488" s="18">
        <v>0.17</v>
      </c>
      <c r="U488" s="28" t="s">
        <v>150</v>
      </c>
      <c r="V488" s="18">
        <v>0.05</v>
      </c>
      <c r="W488" s="28" t="s">
        <v>150</v>
      </c>
      <c r="X488" s="18">
        <v>7.0000000000000007E-2</v>
      </c>
      <c r="Y488" s="28" t="s">
        <v>150</v>
      </c>
      <c r="Z488" s="19">
        <v>6.6666666666666666E-2</v>
      </c>
      <c r="AA488" s="28" t="s">
        <v>150</v>
      </c>
      <c r="AB488" s="106">
        <v>7.1428571428571425E-2</v>
      </c>
      <c r="AC488" s="28" t="s">
        <v>150</v>
      </c>
      <c r="AD488" s="98">
        <v>0</v>
      </c>
      <c r="AE488" s="28" t="s">
        <v>150</v>
      </c>
      <c r="AF488" s="81">
        <v>0.13</v>
      </c>
      <c r="AG488" s="199" t="s">
        <v>150</v>
      </c>
      <c r="AH488" s="118">
        <v>0</v>
      </c>
      <c r="AI488" s="199" t="s">
        <v>150</v>
      </c>
      <c r="AJ488" s="118">
        <v>0.125</v>
      </c>
      <c r="AK488" s="199" t="s">
        <v>150</v>
      </c>
    </row>
    <row r="489" spans="1:37" x14ac:dyDescent="0.25">
      <c r="A489" s="84" t="s">
        <v>58</v>
      </c>
      <c r="B489" s="5" t="s">
        <v>27</v>
      </c>
      <c r="C489" s="5" t="s">
        <v>568</v>
      </c>
      <c r="D489" s="26" t="s">
        <v>46</v>
      </c>
      <c r="E489" s="26" t="s">
        <v>145</v>
      </c>
      <c r="F489" s="21" t="s">
        <v>179</v>
      </c>
      <c r="G489" s="21" t="s">
        <v>147</v>
      </c>
      <c r="H489" s="27" t="s">
        <v>190</v>
      </c>
      <c r="I489" s="15">
        <v>0.6</v>
      </c>
      <c r="J489" s="29">
        <v>0.72</v>
      </c>
      <c r="K489" s="28" t="s">
        <v>150</v>
      </c>
      <c r="L489" s="29">
        <v>0.62</v>
      </c>
      <c r="M489" s="28" t="s">
        <v>150</v>
      </c>
      <c r="N489" s="18">
        <v>0.67</v>
      </c>
      <c r="O489" s="28" t="s">
        <v>150</v>
      </c>
      <c r="P489" s="18">
        <v>0.66</v>
      </c>
      <c r="Q489" s="28" t="s">
        <v>150</v>
      </c>
      <c r="R489" s="18">
        <v>0.67</v>
      </c>
      <c r="S489" s="28" t="s">
        <v>150</v>
      </c>
      <c r="T489" s="18">
        <v>0.67</v>
      </c>
      <c r="U489" s="28" t="s">
        <v>150</v>
      </c>
      <c r="V489" s="18">
        <v>0.49</v>
      </c>
      <c r="W489" s="28" t="s">
        <v>194</v>
      </c>
      <c r="X489" s="18">
        <v>0.57999999999999996</v>
      </c>
      <c r="Y489" s="28" t="s">
        <v>194</v>
      </c>
      <c r="Z489" s="18">
        <v>0.63</v>
      </c>
      <c r="AA489" s="28" t="s">
        <v>150</v>
      </c>
      <c r="AB489" s="81">
        <v>0.6</v>
      </c>
      <c r="AC489" s="28" t="s">
        <v>150</v>
      </c>
      <c r="AD489" s="98">
        <v>0.19</v>
      </c>
      <c r="AE489" s="28" t="s">
        <v>194</v>
      </c>
      <c r="AF489" s="81">
        <v>0.47</v>
      </c>
      <c r="AG489" s="28" t="s">
        <v>194</v>
      </c>
      <c r="AH489" s="96">
        <v>0.35</v>
      </c>
      <c r="AI489" s="28" t="s">
        <v>194</v>
      </c>
      <c r="AJ489" s="96">
        <v>0.61</v>
      </c>
      <c r="AK489" s="199" t="s">
        <v>150</v>
      </c>
    </row>
    <row r="490" spans="1:37" x14ac:dyDescent="0.25">
      <c r="A490" s="84" t="s">
        <v>58</v>
      </c>
      <c r="B490" s="5" t="s">
        <v>27</v>
      </c>
      <c r="C490" s="5" t="s">
        <v>568</v>
      </c>
      <c r="D490" s="26" t="s">
        <v>46</v>
      </c>
      <c r="E490" s="26" t="s">
        <v>145</v>
      </c>
      <c r="F490" s="21" t="s">
        <v>146</v>
      </c>
      <c r="G490" s="21" t="s">
        <v>147</v>
      </c>
      <c r="H490" s="27" t="s">
        <v>336</v>
      </c>
      <c r="I490" s="15">
        <v>1</v>
      </c>
      <c r="J490" s="29">
        <v>0.72</v>
      </c>
      <c r="K490" s="28" t="s">
        <v>194</v>
      </c>
      <c r="L490" s="29">
        <v>1.7</v>
      </c>
      <c r="M490" s="28" t="s">
        <v>150</v>
      </c>
      <c r="N490" s="18">
        <v>1.21</v>
      </c>
      <c r="O490" s="28" t="s">
        <v>150</v>
      </c>
      <c r="P490" s="18">
        <v>1.58</v>
      </c>
      <c r="Q490" s="28" t="s">
        <v>150</v>
      </c>
      <c r="R490" s="17" t="s">
        <v>154</v>
      </c>
      <c r="S490" s="15" t="s">
        <v>154</v>
      </c>
      <c r="T490" s="17" t="s">
        <v>154</v>
      </c>
      <c r="U490" s="17" t="s">
        <v>154</v>
      </c>
      <c r="V490" s="17" t="s">
        <v>154</v>
      </c>
      <c r="W490" s="15" t="s">
        <v>154</v>
      </c>
      <c r="X490" s="17" t="s">
        <v>154</v>
      </c>
      <c r="Y490" s="15" t="s">
        <v>154</v>
      </c>
      <c r="Z490" s="17" t="s">
        <v>154</v>
      </c>
      <c r="AA490" s="15" t="s">
        <v>154</v>
      </c>
      <c r="AB490" s="107" t="s">
        <v>154</v>
      </c>
      <c r="AC490" s="15" t="s">
        <v>154</v>
      </c>
      <c r="AD490" s="109" t="s">
        <v>154</v>
      </c>
      <c r="AE490" s="97" t="s">
        <v>154</v>
      </c>
      <c r="AF490" s="97" t="s">
        <v>154</v>
      </c>
      <c r="AG490" s="97" t="s">
        <v>154</v>
      </c>
      <c r="AH490" s="97" t="s">
        <v>154</v>
      </c>
      <c r="AI490" s="97" t="s">
        <v>154</v>
      </c>
      <c r="AJ490" s="109" t="s">
        <v>154</v>
      </c>
      <c r="AK490" s="97" t="s">
        <v>154</v>
      </c>
    </row>
    <row r="491" spans="1:37" x14ac:dyDescent="0.25">
      <c r="A491" s="84" t="s">
        <v>66</v>
      </c>
      <c r="B491" s="5" t="s">
        <v>31</v>
      </c>
      <c r="C491" s="76" t="s">
        <v>35</v>
      </c>
      <c r="D491" s="26" t="s">
        <v>36</v>
      </c>
      <c r="E491" s="26" t="s">
        <v>145</v>
      </c>
      <c r="F491" s="21" t="s">
        <v>179</v>
      </c>
      <c r="G491" s="21" t="s">
        <v>147</v>
      </c>
      <c r="H491" s="27" t="s">
        <v>180</v>
      </c>
      <c r="I491" s="17" t="s">
        <v>208</v>
      </c>
      <c r="J491" s="15" t="s">
        <v>206</v>
      </c>
      <c r="K491" s="15" t="s">
        <v>154</v>
      </c>
      <c r="L491" s="15" t="s">
        <v>206</v>
      </c>
      <c r="M491" s="15" t="s">
        <v>154</v>
      </c>
      <c r="N491" s="15" t="s">
        <v>206</v>
      </c>
      <c r="O491" s="15" t="s">
        <v>154</v>
      </c>
      <c r="P491" s="15" t="s">
        <v>206</v>
      </c>
      <c r="Q491" s="15" t="s">
        <v>154</v>
      </c>
      <c r="R491" s="17" t="s">
        <v>154</v>
      </c>
      <c r="S491" s="15" t="s">
        <v>154</v>
      </c>
      <c r="T491" s="17" t="s">
        <v>154</v>
      </c>
      <c r="U491" s="15" t="s">
        <v>154</v>
      </c>
      <c r="V491" s="17" t="s">
        <v>154</v>
      </c>
      <c r="W491" s="15" t="s">
        <v>154</v>
      </c>
      <c r="X491" s="17" t="s">
        <v>154</v>
      </c>
      <c r="Y491" s="15" t="s">
        <v>154</v>
      </c>
      <c r="Z491" s="17" t="s">
        <v>154</v>
      </c>
      <c r="AA491" s="15" t="s">
        <v>154</v>
      </c>
      <c r="AB491" s="93" t="s">
        <v>154</v>
      </c>
      <c r="AC491" s="15" t="s">
        <v>154</v>
      </c>
      <c r="AD491" s="126" t="s">
        <v>154</v>
      </c>
      <c r="AE491" s="97" t="s">
        <v>154</v>
      </c>
      <c r="AF491" s="93" t="s">
        <v>154</v>
      </c>
      <c r="AG491" s="97" t="s">
        <v>154</v>
      </c>
      <c r="AH491" s="93" t="s">
        <v>154</v>
      </c>
      <c r="AI491" s="97" t="s">
        <v>154</v>
      </c>
      <c r="AJ491" s="93" t="s">
        <v>154</v>
      </c>
      <c r="AK491" s="97" t="s">
        <v>154</v>
      </c>
    </row>
    <row r="492" spans="1:37" x14ac:dyDescent="0.25">
      <c r="A492" s="84" t="s">
        <v>66</v>
      </c>
      <c r="B492" s="5" t="s">
        <v>31</v>
      </c>
      <c r="C492" s="76" t="s">
        <v>35</v>
      </c>
      <c r="D492" s="26" t="s">
        <v>36</v>
      </c>
      <c r="E492" s="26" t="s">
        <v>145</v>
      </c>
      <c r="F492" s="21" t="s">
        <v>179</v>
      </c>
      <c r="G492" s="21" t="s">
        <v>147</v>
      </c>
      <c r="H492" s="27" t="s">
        <v>188</v>
      </c>
      <c r="I492" s="18">
        <v>0.2</v>
      </c>
      <c r="J492" s="15" t="s">
        <v>206</v>
      </c>
      <c r="K492" s="15" t="s">
        <v>154</v>
      </c>
      <c r="L492" s="15" t="s">
        <v>206</v>
      </c>
      <c r="M492" s="15" t="s">
        <v>154</v>
      </c>
      <c r="N492" s="15" t="s">
        <v>206</v>
      </c>
      <c r="O492" s="15" t="s">
        <v>154</v>
      </c>
      <c r="P492" s="15" t="s">
        <v>206</v>
      </c>
      <c r="Q492" s="15" t="s">
        <v>154</v>
      </c>
      <c r="R492" s="17" t="s">
        <v>154</v>
      </c>
      <c r="S492" s="15" t="s">
        <v>154</v>
      </c>
      <c r="T492" s="17" t="s">
        <v>154</v>
      </c>
      <c r="U492" s="15" t="s">
        <v>154</v>
      </c>
      <c r="V492" s="17" t="s">
        <v>154</v>
      </c>
      <c r="W492" s="15" t="s">
        <v>154</v>
      </c>
      <c r="X492" s="17" t="s">
        <v>154</v>
      </c>
      <c r="Y492" s="15" t="s">
        <v>154</v>
      </c>
      <c r="Z492" s="17" t="s">
        <v>154</v>
      </c>
      <c r="AA492" s="15" t="s">
        <v>154</v>
      </c>
      <c r="AB492" s="93" t="s">
        <v>154</v>
      </c>
      <c r="AC492" s="15" t="s">
        <v>154</v>
      </c>
      <c r="AD492" s="126" t="s">
        <v>154</v>
      </c>
      <c r="AE492" s="126" t="s">
        <v>154</v>
      </c>
      <c r="AF492" s="93" t="s">
        <v>154</v>
      </c>
      <c r="AG492" s="97" t="s">
        <v>154</v>
      </c>
      <c r="AH492" s="93" t="s">
        <v>154</v>
      </c>
      <c r="AI492" s="94" t="s">
        <v>154</v>
      </c>
      <c r="AJ492" s="93" t="s">
        <v>154</v>
      </c>
      <c r="AK492" s="94" t="s">
        <v>154</v>
      </c>
    </row>
    <row r="493" spans="1:37" x14ac:dyDescent="0.25">
      <c r="A493" s="84" t="s">
        <v>66</v>
      </c>
      <c r="B493" s="5" t="s">
        <v>31</v>
      </c>
      <c r="C493" s="76" t="s">
        <v>35</v>
      </c>
      <c r="D493" s="26" t="s">
        <v>36</v>
      </c>
      <c r="E493" s="26" t="s">
        <v>145</v>
      </c>
      <c r="F493" s="21" t="s">
        <v>179</v>
      </c>
      <c r="G493" s="21" t="s">
        <v>147</v>
      </c>
      <c r="H493" s="21" t="s">
        <v>189</v>
      </c>
      <c r="I493" s="18">
        <v>0.05</v>
      </c>
      <c r="J493" s="15" t="s">
        <v>206</v>
      </c>
      <c r="K493" s="15" t="s">
        <v>154</v>
      </c>
      <c r="L493" s="15" t="s">
        <v>206</v>
      </c>
      <c r="M493" s="15" t="s">
        <v>154</v>
      </c>
      <c r="N493" s="15" t="s">
        <v>206</v>
      </c>
      <c r="O493" s="15" t="s">
        <v>154</v>
      </c>
      <c r="P493" s="15" t="s">
        <v>206</v>
      </c>
      <c r="Q493" s="15" t="s">
        <v>154</v>
      </c>
      <c r="R493" s="17" t="s">
        <v>154</v>
      </c>
      <c r="S493" s="15" t="s">
        <v>154</v>
      </c>
      <c r="T493" s="17" t="s">
        <v>154</v>
      </c>
      <c r="U493" s="15" t="s">
        <v>154</v>
      </c>
      <c r="V493" s="17" t="s">
        <v>154</v>
      </c>
      <c r="W493" s="15" t="s">
        <v>154</v>
      </c>
      <c r="X493" s="17" t="s">
        <v>154</v>
      </c>
      <c r="Y493" s="15" t="s">
        <v>154</v>
      </c>
      <c r="Z493" s="17" t="s">
        <v>154</v>
      </c>
      <c r="AA493" s="15" t="s">
        <v>154</v>
      </c>
      <c r="AB493" s="93" t="s">
        <v>154</v>
      </c>
      <c r="AC493" s="15" t="s">
        <v>154</v>
      </c>
      <c r="AD493" s="126" t="s">
        <v>154</v>
      </c>
      <c r="AE493" s="126" t="s">
        <v>154</v>
      </c>
      <c r="AF493" s="93" t="s">
        <v>154</v>
      </c>
      <c r="AG493" s="97" t="s">
        <v>154</v>
      </c>
      <c r="AH493" s="93" t="s">
        <v>154</v>
      </c>
      <c r="AI493" s="94" t="s">
        <v>154</v>
      </c>
      <c r="AJ493" s="93" t="s">
        <v>154</v>
      </c>
      <c r="AK493" s="94" t="s">
        <v>154</v>
      </c>
    </row>
    <row r="494" spans="1:37" x14ac:dyDescent="0.25">
      <c r="A494" s="21" t="s">
        <v>66</v>
      </c>
      <c r="B494" s="5" t="s">
        <v>31</v>
      </c>
      <c r="C494" s="76" t="s">
        <v>35</v>
      </c>
      <c r="D494" s="26" t="s">
        <v>36</v>
      </c>
      <c r="E494" s="26" t="s">
        <v>145</v>
      </c>
      <c r="F494" s="21" t="s">
        <v>179</v>
      </c>
      <c r="G494" s="21" t="s">
        <v>147</v>
      </c>
      <c r="H494" s="27" t="s">
        <v>186</v>
      </c>
      <c r="I494" s="18">
        <v>0.75</v>
      </c>
      <c r="J494" s="15" t="s">
        <v>206</v>
      </c>
      <c r="K494" s="15" t="s">
        <v>154</v>
      </c>
      <c r="L494" s="15" t="s">
        <v>206</v>
      </c>
      <c r="M494" s="15" t="s">
        <v>154</v>
      </c>
      <c r="N494" s="15" t="s">
        <v>206</v>
      </c>
      <c r="O494" s="15" t="s">
        <v>154</v>
      </c>
      <c r="P494" s="15" t="s">
        <v>206</v>
      </c>
      <c r="Q494" s="15" t="s">
        <v>154</v>
      </c>
      <c r="R494" s="17" t="s">
        <v>154</v>
      </c>
      <c r="S494" s="15" t="s">
        <v>154</v>
      </c>
      <c r="T494" s="17" t="s">
        <v>154</v>
      </c>
      <c r="U494" s="15" t="s">
        <v>154</v>
      </c>
      <c r="V494" s="17" t="s">
        <v>154</v>
      </c>
      <c r="W494" s="15" t="s">
        <v>154</v>
      </c>
      <c r="X494" s="17" t="s">
        <v>154</v>
      </c>
      <c r="Y494" s="15" t="s">
        <v>154</v>
      </c>
      <c r="Z494" s="17" t="s">
        <v>154</v>
      </c>
      <c r="AA494" s="15" t="s">
        <v>154</v>
      </c>
      <c r="AB494" s="93" t="s">
        <v>154</v>
      </c>
      <c r="AC494" s="15" t="s">
        <v>154</v>
      </c>
      <c r="AD494" s="126" t="s">
        <v>154</v>
      </c>
      <c r="AE494" s="126" t="s">
        <v>154</v>
      </c>
      <c r="AF494" s="93" t="s">
        <v>154</v>
      </c>
      <c r="AG494" s="97" t="s">
        <v>154</v>
      </c>
      <c r="AH494" s="93" t="s">
        <v>154</v>
      </c>
      <c r="AI494" s="94" t="s">
        <v>154</v>
      </c>
      <c r="AJ494" s="93" t="s">
        <v>154</v>
      </c>
      <c r="AK494" s="94" t="s">
        <v>154</v>
      </c>
    </row>
    <row r="495" spans="1:37" x14ac:dyDescent="0.25">
      <c r="A495" s="21" t="s">
        <v>66</v>
      </c>
      <c r="B495" s="5" t="s">
        <v>31</v>
      </c>
      <c r="C495" s="76" t="s">
        <v>35</v>
      </c>
      <c r="D495" s="26" t="s">
        <v>36</v>
      </c>
      <c r="E495" s="26" t="s">
        <v>145</v>
      </c>
      <c r="F495" s="21" t="s">
        <v>179</v>
      </c>
      <c r="G495" s="21" t="s">
        <v>147</v>
      </c>
      <c r="H495" s="27" t="s">
        <v>197</v>
      </c>
      <c r="I495" s="17" t="s">
        <v>256</v>
      </c>
      <c r="J495" s="15" t="s">
        <v>206</v>
      </c>
      <c r="K495" s="15" t="s">
        <v>154</v>
      </c>
      <c r="L495" s="15" t="s">
        <v>206</v>
      </c>
      <c r="M495" s="15" t="s">
        <v>154</v>
      </c>
      <c r="N495" s="15" t="s">
        <v>206</v>
      </c>
      <c r="O495" s="15" t="s">
        <v>154</v>
      </c>
      <c r="P495" s="15" t="s">
        <v>206</v>
      </c>
      <c r="Q495" s="15" t="s">
        <v>154</v>
      </c>
      <c r="R495" s="17" t="s">
        <v>154</v>
      </c>
      <c r="S495" s="15" t="s">
        <v>154</v>
      </c>
      <c r="T495" s="17" t="s">
        <v>154</v>
      </c>
      <c r="U495" s="15" t="s">
        <v>154</v>
      </c>
      <c r="V495" s="17" t="s">
        <v>154</v>
      </c>
      <c r="W495" s="15" t="s">
        <v>154</v>
      </c>
      <c r="X495" s="17" t="s">
        <v>154</v>
      </c>
      <c r="Y495" s="15" t="s">
        <v>154</v>
      </c>
      <c r="Z495" s="17" t="s">
        <v>154</v>
      </c>
      <c r="AA495" s="15" t="s">
        <v>154</v>
      </c>
      <c r="AB495" s="93" t="s">
        <v>154</v>
      </c>
      <c r="AC495" s="15" t="s">
        <v>154</v>
      </c>
      <c r="AD495" s="126" t="s">
        <v>154</v>
      </c>
      <c r="AE495" s="97" t="s">
        <v>154</v>
      </c>
      <c r="AF495" s="93" t="s">
        <v>154</v>
      </c>
      <c r="AG495" s="97" t="s">
        <v>154</v>
      </c>
      <c r="AH495" s="93" t="s">
        <v>154</v>
      </c>
      <c r="AI495" s="97" t="s">
        <v>154</v>
      </c>
      <c r="AJ495" s="93" t="s">
        <v>154</v>
      </c>
      <c r="AK495" s="97" t="s">
        <v>154</v>
      </c>
    </row>
    <row r="496" spans="1:37" x14ac:dyDescent="0.25">
      <c r="A496" s="21" t="s">
        <v>66</v>
      </c>
      <c r="B496" s="5" t="s">
        <v>31</v>
      </c>
      <c r="C496" s="76" t="s">
        <v>35</v>
      </c>
      <c r="D496" s="26" t="s">
        <v>36</v>
      </c>
      <c r="E496" s="26" t="s">
        <v>145</v>
      </c>
      <c r="F496" s="21" t="s">
        <v>179</v>
      </c>
      <c r="G496" s="21" t="s">
        <v>147</v>
      </c>
      <c r="H496" s="21" t="s">
        <v>207</v>
      </c>
      <c r="I496" s="18">
        <v>0.2</v>
      </c>
      <c r="J496" s="15" t="s">
        <v>206</v>
      </c>
      <c r="K496" s="15" t="s">
        <v>154</v>
      </c>
      <c r="L496" s="15" t="s">
        <v>206</v>
      </c>
      <c r="M496" s="15" t="s">
        <v>154</v>
      </c>
      <c r="N496" s="15" t="s">
        <v>206</v>
      </c>
      <c r="O496" s="15" t="s">
        <v>154</v>
      </c>
      <c r="P496" s="15" t="s">
        <v>206</v>
      </c>
      <c r="Q496" s="15" t="s">
        <v>154</v>
      </c>
      <c r="R496" s="17" t="s">
        <v>154</v>
      </c>
      <c r="S496" s="15" t="s">
        <v>154</v>
      </c>
      <c r="T496" s="17" t="s">
        <v>154</v>
      </c>
      <c r="U496" s="15" t="s">
        <v>154</v>
      </c>
      <c r="V496" s="17" t="s">
        <v>154</v>
      </c>
      <c r="W496" s="15" t="s">
        <v>154</v>
      </c>
      <c r="X496" s="17" t="s">
        <v>154</v>
      </c>
      <c r="Y496" s="15" t="s">
        <v>154</v>
      </c>
      <c r="Z496" s="17" t="s">
        <v>154</v>
      </c>
      <c r="AA496" s="15" t="s">
        <v>154</v>
      </c>
      <c r="AB496" s="93" t="s">
        <v>154</v>
      </c>
      <c r="AC496" s="15" t="s">
        <v>154</v>
      </c>
      <c r="AD496" s="126" t="s">
        <v>154</v>
      </c>
      <c r="AE496" s="127" t="s">
        <v>154</v>
      </c>
      <c r="AF496" s="93" t="s">
        <v>154</v>
      </c>
      <c r="AG496" s="97" t="s">
        <v>154</v>
      </c>
      <c r="AH496" s="93" t="s">
        <v>154</v>
      </c>
      <c r="AI496" s="271" t="s">
        <v>154</v>
      </c>
      <c r="AJ496" s="93" t="s">
        <v>154</v>
      </c>
      <c r="AK496" s="271" t="s">
        <v>154</v>
      </c>
    </row>
    <row r="497" spans="1:37" x14ac:dyDescent="0.25">
      <c r="A497" s="21" t="s">
        <v>66</v>
      </c>
      <c r="B497" s="5" t="s">
        <v>31</v>
      </c>
      <c r="C497" s="76" t="s">
        <v>35</v>
      </c>
      <c r="D497" s="26" t="s">
        <v>36</v>
      </c>
      <c r="E497" s="26" t="s">
        <v>145</v>
      </c>
      <c r="F497" s="21" t="s">
        <v>179</v>
      </c>
      <c r="G497" s="21" t="s">
        <v>147</v>
      </c>
      <c r="H497" s="27" t="s">
        <v>190</v>
      </c>
      <c r="I497" s="18">
        <v>0.95</v>
      </c>
      <c r="J497" s="15" t="s">
        <v>206</v>
      </c>
      <c r="K497" s="15" t="s">
        <v>154</v>
      </c>
      <c r="L497" s="15" t="s">
        <v>206</v>
      </c>
      <c r="M497" s="15" t="s">
        <v>154</v>
      </c>
      <c r="N497" s="15" t="s">
        <v>206</v>
      </c>
      <c r="O497" s="15" t="s">
        <v>154</v>
      </c>
      <c r="P497" s="15" t="s">
        <v>206</v>
      </c>
      <c r="Q497" s="15" t="s">
        <v>154</v>
      </c>
      <c r="R497" s="17" t="s">
        <v>154</v>
      </c>
      <c r="S497" s="15" t="s">
        <v>154</v>
      </c>
      <c r="T497" s="17" t="s">
        <v>154</v>
      </c>
      <c r="U497" s="15" t="s">
        <v>154</v>
      </c>
      <c r="V497" s="17" t="s">
        <v>154</v>
      </c>
      <c r="W497" s="15" t="s">
        <v>154</v>
      </c>
      <c r="X497" s="17" t="s">
        <v>154</v>
      </c>
      <c r="Y497" s="15" t="s">
        <v>154</v>
      </c>
      <c r="Z497" s="17" t="s">
        <v>154</v>
      </c>
      <c r="AA497" s="15" t="s">
        <v>154</v>
      </c>
      <c r="AB497" s="93" t="s">
        <v>154</v>
      </c>
      <c r="AC497" s="15" t="s">
        <v>154</v>
      </c>
      <c r="AD497" s="126" t="s">
        <v>154</v>
      </c>
      <c r="AE497" s="126" t="s">
        <v>154</v>
      </c>
      <c r="AF497" s="93" t="s">
        <v>154</v>
      </c>
      <c r="AG497" s="97" t="s">
        <v>154</v>
      </c>
      <c r="AH497" s="93" t="s">
        <v>154</v>
      </c>
      <c r="AI497" s="94" t="s">
        <v>154</v>
      </c>
      <c r="AJ497" s="93" t="s">
        <v>154</v>
      </c>
      <c r="AK497" s="94" t="s">
        <v>154</v>
      </c>
    </row>
    <row r="498" spans="1:37" x14ac:dyDescent="0.25">
      <c r="A498" s="21" t="s">
        <v>64</v>
      </c>
      <c r="B498" s="5" t="s">
        <v>31</v>
      </c>
      <c r="C498" s="76" t="s">
        <v>35</v>
      </c>
      <c r="D498" s="26" t="s">
        <v>36</v>
      </c>
      <c r="E498" s="26" t="s">
        <v>145</v>
      </c>
      <c r="F498" s="21" t="s">
        <v>146</v>
      </c>
      <c r="G498" s="21" t="s">
        <v>156</v>
      </c>
      <c r="H498" s="21" t="s">
        <v>361</v>
      </c>
      <c r="I498" s="18">
        <v>0.85</v>
      </c>
      <c r="J498" s="15" t="s">
        <v>206</v>
      </c>
      <c r="K498" s="15" t="s">
        <v>154</v>
      </c>
      <c r="L498" s="15" t="s">
        <v>206</v>
      </c>
      <c r="M498" s="15" t="s">
        <v>154</v>
      </c>
      <c r="N498" s="15" t="s">
        <v>206</v>
      </c>
      <c r="O498" s="15" t="s">
        <v>154</v>
      </c>
      <c r="P498" s="15" t="s">
        <v>206</v>
      </c>
      <c r="Q498" s="15" t="s">
        <v>154</v>
      </c>
      <c r="R498" s="17" t="s">
        <v>154</v>
      </c>
      <c r="S498" s="15" t="s">
        <v>154</v>
      </c>
      <c r="T498" s="17" t="s">
        <v>154</v>
      </c>
      <c r="U498" s="15" t="s">
        <v>154</v>
      </c>
      <c r="V498" s="17" t="s">
        <v>154</v>
      </c>
      <c r="W498" s="15" t="s">
        <v>154</v>
      </c>
      <c r="X498" s="17" t="s">
        <v>154</v>
      </c>
      <c r="Y498" s="15" t="s">
        <v>154</v>
      </c>
      <c r="Z498" s="17" t="s">
        <v>154</v>
      </c>
      <c r="AA498" s="15" t="s">
        <v>154</v>
      </c>
      <c r="AB498" s="93" t="s">
        <v>154</v>
      </c>
      <c r="AC498" s="15" t="s">
        <v>154</v>
      </c>
      <c r="AD498" s="126" t="s">
        <v>154</v>
      </c>
      <c r="AE498" s="126" t="s">
        <v>154</v>
      </c>
      <c r="AF498" s="93" t="s">
        <v>154</v>
      </c>
      <c r="AG498" s="97" t="s">
        <v>154</v>
      </c>
      <c r="AH498" s="93" t="s">
        <v>154</v>
      </c>
      <c r="AI498" s="94" t="s">
        <v>154</v>
      </c>
      <c r="AJ498" s="93" t="s">
        <v>154</v>
      </c>
      <c r="AK498" s="94" t="s">
        <v>154</v>
      </c>
    </row>
    <row r="499" spans="1:37" x14ac:dyDescent="0.25">
      <c r="A499" s="21" t="s">
        <v>64</v>
      </c>
      <c r="B499" s="5" t="s">
        <v>31</v>
      </c>
      <c r="C499" s="76" t="s">
        <v>35</v>
      </c>
      <c r="D499" s="26" t="s">
        <v>36</v>
      </c>
      <c r="E499" s="26" t="s">
        <v>145</v>
      </c>
      <c r="F499" s="21" t="s">
        <v>146</v>
      </c>
      <c r="G499" s="21" t="s">
        <v>156</v>
      </c>
      <c r="H499" s="21" t="s">
        <v>202</v>
      </c>
      <c r="I499" s="18">
        <v>0.95</v>
      </c>
      <c r="J499" s="15" t="s">
        <v>206</v>
      </c>
      <c r="K499" s="15" t="s">
        <v>154</v>
      </c>
      <c r="L499" s="15" t="s">
        <v>206</v>
      </c>
      <c r="M499" s="15" t="s">
        <v>154</v>
      </c>
      <c r="N499" s="15" t="s">
        <v>206</v>
      </c>
      <c r="O499" s="15" t="s">
        <v>154</v>
      </c>
      <c r="P499" s="15" t="s">
        <v>206</v>
      </c>
      <c r="Q499" s="15" t="s">
        <v>154</v>
      </c>
      <c r="R499" s="17" t="s">
        <v>154</v>
      </c>
      <c r="S499" s="15" t="s">
        <v>154</v>
      </c>
      <c r="T499" s="17" t="s">
        <v>154</v>
      </c>
      <c r="U499" s="15" t="s">
        <v>154</v>
      </c>
      <c r="V499" s="17" t="s">
        <v>154</v>
      </c>
      <c r="W499" s="15" t="s">
        <v>154</v>
      </c>
      <c r="X499" s="17" t="s">
        <v>154</v>
      </c>
      <c r="Y499" s="15" t="s">
        <v>154</v>
      </c>
      <c r="Z499" s="17" t="s">
        <v>154</v>
      </c>
      <c r="AA499" s="15" t="s">
        <v>154</v>
      </c>
      <c r="AB499" s="93" t="s">
        <v>154</v>
      </c>
      <c r="AC499" s="15" t="s">
        <v>154</v>
      </c>
      <c r="AD499" s="126" t="s">
        <v>154</v>
      </c>
      <c r="AE499" s="97" t="s">
        <v>154</v>
      </c>
      <c r="AF499" s="93" t="s">
        <v>154</v>
      </c>
      <c r="AG499" s="97" t="s">
        <v>154</v>
      </c>
      <c r="AH499" s="93" t="s">
        <v>154</v>
      </c>
      <c r="AI499" s="97" t="s">
        <v>154</v>
      </c>
      <c r="AJ499" s="93" t="s">
        <v>154</v>
      </c>
      <c r="AK499" s="97" t="s">
        <v>154</v>
      </c>
    </row>
    <row r="500" spans="1:37" x14ac:dyDescent="0.25">
      <c r="A500" s="21" t="s">
        <v>64</v>
      </c>
      <c r="B500" s="5" t="s">
        <v>31</v>
      </c>
      <c r="C500" s="76" t="s">
        <v>35</v>
      </c>
      <c r="D500" s="26" t="s">
        <v>36</v>
      </c>
      <c r="E500" s="26" t="s">
        <v>145</v>
      </c>
      <c r="F500" s="21" t="s">
        <v>146</v>
      </c>
      <c r="G500" s="21" t="s">
        <v>156</v>
      </c>
      <c r="H500" s="27" t="s">
        <v>197</v>
      </c>
      <c r="I500" s="17" t="s">
        <v>362</v>
      </c>
      <c r="J500" s="15" t="s">
        <v>206</v>
      </c>
      <c r="K500" s="15" t="s">
        <v>154</v>
      </c>
      <c r="L500" s="15" t="s">
        <v>206</v>
      </c>
      <c r="M500" s="15" t="s">
        <v>154</v>
      </c>
      <c r="N500" s="15" t="s">
        <v>206</v>
      </c>
      <c r="O500" s="15" t="s">
        <v>154</v>
      </c>
      <c r="P500" s="15" t="s">
        <v>206</v>
      </c>
      <c r="Q500" s="15" t="s">
        <v>154</v>
      </c>
      <c r="R500" s="17" t="s">
        <v>154</v>
      </c>
      <c r="S500" s="15" t="s">
        <v>154</v>
      </c>
      <c r="T500" s="17" t="s">
        <v>154</v>
      </c>
      <c r="U500" s="15" t="s">
        <v>154</v>
      </c>
      <c r="V500" s="17" t="s">
        <v>154</v>
      </c>
      <c r="W500" s="15" t="s">
        <v>154</v>
      </c>
      <c r="X500" s="17" t="s">
        <v>154</v>
      </c>
      <c r="Y500" s="15" t="s">
        <v>154</v>
      </c>
      <c r="Z500" s="17" t="s">
        <v>154</v>
      </c>
      <c r="AA500" s="15" t="s">
        <v>154</v>
      </c>
      <c r="AB500" s="93" t="s">
        <v>154</v>
      </c>
      <c r="AC500" s="15" t="s">
        <v>154</v>
      </c>
      <c r="AD500" s="126" t="s">
        <v>154</v>
      </c>
      <c r="AE500" s="97" t="s">
        <v>154</v>
      </c>
      <c r="AF500" s="93" t="s">
        <v>154</v>
      </c>
      <c r="AG500" s="97" t="s">
        <v>154</v>
      </c>
      <c r="AH500" s="93" t="s">
        <v>154</v>
      </c>
      <c r="AI500" s="97" t="s">
        <v>154</v>
      </c>
      <c r="AJ500" s="93" t="s">
        <v>154</v>
      </c>
      <c r="AK500" s="97" t="s">
        <v>154</v>
      </c>
    </row>
    <row r="501" spans="1:37" x14ac:dyDescent="0.25">
      <c r="A501" s="21" t="s">
        <v>64</v>
      </c>
      <c r="B501" s="5" t="s">
        <v>31</v>
      </c>
      <c r="C501" s="76" t="s">
        <v>35</v>
      </c>
      <c r="D501" s="26" t="s">
        <v>36</v>
      </c>
      <c r="E501" s="26" t="s">
        <v>145</v>
      </c>
      <c r="F501" s="21" t="s">
        <v>146</v>
      </c>
      <c r="G501" s="21" t="s">
        <v>147</v>
      </c>
      <c r="H501" s="21" t="s">
        <v>363</v>
      </c>
      <c r="I501" s="11">
        <v>0.8</v>
      </c>
      <c r="J501" s="15" t="s">
        <v>206</v>
      </c>
      <c r="K501" s="15" t="s">
        <v>154</v>
      </c>
      <c r="L501" s="15" t="s">
        <v>206</v>
      </c>
      <c r="M501" s="15" t="s">
        <v>154</v>
      </c>
      <c r="N501" s="15" t="s">
        <v>206</v>
      </c>
      <c r="O501" s="15" t="s">
        <v>154</v>
      </c>
      <c r="P501" s="15" t="s">
        <v>206</v>
      </c>
      <c r="Q501" s="15" t="s">
        <v>154</v>
      </c>
      <c r="R501" s="17" t="s">
        <v>154</v>
      </c>
      <c r="S501" s="15" t="s">
        <v>154</v>
      </c>
      <c r="T501" s="17" t="s">
        <v>154</v>
      </c>
      <c r="U501" s="15" t="s">
        <v>154</v>
      </c>
      <c r="V501" s="17" t="s">
        <v>154</v>
      </c>
      <c r="W501" s="15" t="s">
        <v>154</v>
      </c>
      <c r="X501" s="17" t="s">
        <v>154</v>
      </c>
      <c r="Y501" s="15" t="s">
        <v>154</v>
      </c>
      <c r="Z501" s="17" t="s">
        <v>154</v>
      </c>
      <c r="AA501" s="15" t="s">
        <v>154</v>
      </c>
      <c r="AB501" s="93" t="s">
        <v>154</v>
      </c>
      <c r="AC501" s="15" t="s">
        <v>154</v>
      </c>
      <c r="AD501" s="126" t="s">
        <v>154</v>
      </c>
      <c r="AE501" s="126" t="s">
        <v>154</v>
      </c>
      <c r="AF501" s="93" t="s">
        <v>154</v>
      </c>
      <c r="AG501" s="97" t="s">
        <v>154</v>
      </c>
      <c r="AH501" s="93" t="s">
        <v>154</v>
      </c>
      <c r="AI501" s="94" t="s">
        <v>154</v>
      </c>
      <c r="AJ501" s="93" t="s">
        <v>154</v>
      </c>
      <c r="AK501" s="94" t="s">
        <v>154</v>
      </c>
    </row>
    <row r="502" spans="1:37" x14ac:dyDescent="0.25">
      <c r="A502" s="21" t="s">
        <v>64</v>
      </c>
      <c r="B502" s="5" t="s">
        <v>31</v>
      </c>
      <c r="C502" s="76" t="s">
        <v>35</v>
      </c>
      <c r="D502" s="26" t="s">
        <v>36</v>
      </c>
      <c r="E502" s="26" t="s">
        <v>145</v>
      </c>
      <c r="F502" s="21" t="s">
        <v>146</v>
      </c>
      <c r="G502" s="21" t="s">
        <v>147</v>
      </c>
      <c r="H502" s="21" t="s">
        <v>364</v>
      </c>
      <c r="I502" s="14">
        <v>7</v>
      </c>
      <c r="J502" s="15" t="s">
        <v>206</v>
      </c>
      <c r="K502" s="15" t="s">
        <v>154</v>
      </c>
      <c r="L502" s="15" t="s">
        <v>206</v>
      </c>
      <c r="M502" s="15" t="s">
        <v>154</v>
      </c>
      <c r="N502" s="15" t="s">
        <v>206</v>
      </c>
      <c r="O502" s="15" t="s">
        <v>154</v>
      </c>
      <c r="P502" s="15" t="s">
        <v>206</v>
      </c>
      <c r="Q502" s="15" t="s">
        <v>154</v>
      </c>
      <c r="R502" s="17" t="s">
        <v>154</v>
      </c>
      <c r="S502" s="15" t="s">
        <v>154</v>
      </c>
      <c r="T502" s="17" t="s">
        <v>154</v>
      </c>
      <c r="U502" s="15" t="s">
        <v>154</v>
      </c>
      <c r="V502" s="17" t="s">
        <v>154</v>
      </c>
      <c r="W502" s="15" t="s">
        <v>154</v>
      </c>
      <c r="X502" s="17" t="s">
        <v>154</v>
      </c>
      <c r="Y502" s="15" t="s">
        <v>154</v>
      </c>
      <c r="Z502" s="17" t="s">
        <v>154</v>
      </c>
      <c r="AA502" s="15" t="s">
        <v>154</v>
      </c>
      <c r="AB502" s="93" t="s">
        <v>154</v>
      </c>
      <c r="AC502" s="15" t="s">
        <v>154</v>
      </c>
      <c r="AD502" s="126" t="s">
        <v>154</v>
      </c>
      <c r="AE502" s="126" t="s">
        <v>154</v>
      </c>
      <c r="AF502" s="93" t="s">
        <v>154</v>
      </c>
      <c r="AG502" s="97" t="s">
        <v>154</v>
      </c>
      <c r="AH502" s="93" t="s">
        <v>154</v>
      </c>
      <c r="AI502" s="94" t="s">
        <v>154</v>
      </c>
      <c r="AJ502" s="93" t="s">
        <v>154</v>
      </c>
      <c r="AK502" s="94" t="s">
        <v>154</v>
      </c>
    </row>
    <row r="503" spans="1:37" x14ac:dyDescent="0.25">
      <c r="A503" s="21" t="s">
        <v>65</v>
      </c>
      <c r="B503" s="5" t="s">
        <v>31</v>
      </c>
      <c r="C503" s="76" t="s">
        <v>35</v>
      </c>
      <c r="D503" s="26" t="s">
        <v>36</v>
      </c>
      <c r="E503" s="26" t="s">
        <v>145</v>
      </c>
      <c r="F503" s="21" t="s">
        <v>146</v>
      </c>
      <c r="G503" s="21" t="s">
        <v>156</v>
      </c>
      <c r="H503" s="21" t="s">
        <v>361</v>
      </c>
      <c r="I503" s="18">
        <v>0.85</v>
      </c>
      <c r="J503" s="15" t="s">
        <v>206</v>
      </c>
      <c r="K503" s="15" t="s">
        <v>154</v>
      </c>
      <c r="L503" s="15" t="s">
        <v>206</v>
      </c>
      <c r="M503" s="15" t="s">
        <v>154</v>
      </c>
      <c r="N503" s="15" t="s">
        <v>206</v>
      </c>
      <c r="O503" s="15" t="s">
        <v>154</v>
      </c>
      <c r="P503" s="15" t="s">
        <v>206</v>
      </c>
      <c r="Q503" s="15" t="s">
        <v>154</v>
      </c>
      <c r="R503" s="17" t="s">
        <v>154</v>
      </c>
      <c r="S503" s="15" t="s">
        <v>154</v>
      </c>
      <c r="T503" s="17" t="s">
        <v>154</v>
      </c>
      <c r="U503" s="15" t="s">
        <v>154</v>
      </c>
      <c r="V503" s="17" t="s">
        <v>154</v>
      </c>
      <c r="W503" s="15" t="s">
        <v>154</v>
      </c>
      <c r="X503" s="17" t="s">
        <v>154</v>
      </c>
      <c r="Y503" s="15" t="s">
        <v>154</v>
      </c>
      <c r="Z503" s="17" t="s">
        <v>154</v>
      </c>
      <c r="AA503" s="15" t="s">
        <v>154</v>
      </c>
      <c r="AB503" s="93" t="s">
        <v>154</v>
      </c>
      <c r="AC503" s="15" t="s">
        <v>154</v>
      </c>
      <c r="AD503" s="126" t="s">
        <v>154</v>
      </c>
      <c r="AE503" s="126" t="s">
        <v>154</v>
      </c>
      <c r="AF503" s="93" t="s">
        <v>154</v>
      </c>
      <c r="AG503" s="97" t="s">
        <v>154</v>
      </c>
      <c r="AH503" s="93" t="s">
        <v>154</v>
      </c>
      <c r="AI503" s="94" t="s">
        <v>154</v>
      </c>
      <c r="AJ503" s="93" t="s">
        <v>154</v>
      </c>
      <c r="AK503" s="94" t="s">
        <v>154</v>
      </c>
    </row>
    <row r="504" spans="1:37" x14ac:dyDescent="0.25">
      <c r="A504" s="21" t="s">
        <v>65</v>
      </c>
      <c r="B504" s="5" t="s">
        <v>31</v>
      </c>
      <c r="C504" s="76" t="s">
        <v>35</v>
      </c>
      <c r="D504" s="26" t="s">
        <v>36</v>
      </c>
      <c r="E504" s="26" t="s">
        <v>145</v>
      </c>
      <c r="F504" s="21" t="s">
        <v>146</v>
      </c>
      <c r="G504" s="21" t="s">
        <v>156</v>
      </c>
      <c r="H504" s="21" t="s">
        <v>202</v>
      </c>
      <c r="I504" s="18">
        <v>0.95</v>
      </c>
      <c r="J504" s="15" t="s">
        <v>206</v>
      </c>
      <c r="K504" s="15" t="s">
        <v>154</v>
      </c>
      <c r="L504" s="15" t="s">
        <v>206</v>
      </c>
      <c r="M504" s="15" t="s">
        <v>154</v>
      </c>
      <c r="N504" s="15" t="s">
        <v>206</v>
      </c>
      <c r="O504" s="15" t="s">
        <v>154</v>
      </c>
      <c r="P504" s="15" t="s">
        <v>206</v>
      </c>
      <c r="Q504" s="15" t="s">
        <v>154</v>
      </c>
      <c r="R504" s="17" t="s">
        <v>154</v>
      </c>
      <c r="S504" s="15" t="s">
        <v>154</v>
      </c>
      <c r="T504" s="17" t="s">
        <v>154</v>
      </c>
      <c r="U504" s="15" t="s">
        <v>154</v>
      </c>
      <c r="V504" s="17" t="s">
        <v>154</v>
      </c>
      <c r="W504" s="15" t="s">
        <v>154</v>
      </c>
      <c r="X504" s="17" t="s">
        <v>154</v>
      </c>
      <c r="Y504" s="15" t="s">
        <v>154</v>
      </c>
      <c r="Z504" s="17" t="s">
        <v>154</v>
      </c>
      <c r="AA504" s="15" t="s">
        <v>154</v>
      </c>
      <c r="AB504" s="93" t="s">
        <v>154</v>
      </c>
      <c r="AC504" s="15" t="s">
        <v>154</v>
      </c>
      <c r="AD504" s="126" t="s">
        <v>154</v>
      </c>
      <c r="AE504" s="97" t="s">
        <v>154</v>
      </c>
      <c r="AF504" s="93" t="s">
        <v>154</v>
      </c>
      <c r="AG504" s="97" t="s">
        <v>154</v>
      </c>
      <c r="AH504" s="93" t="s">
        <v>154</v>
      </c>
      <c r="AI504" s="97" t="s">
        <v>154</v>
      </c>
      <c r="AJ504" s="93" t="s">
        <v>154</v>
      </c>
      <c r="AK504" s="97" t="s">
        <v>154</v>
      </c>
    </row>
    <row r="505" spans="1:37" x14ac:dyDescent="0.25">
      <c r="A505" s="21" t="s">
        <v>65</v>
      </c>
      <c r="B505" s="5" t="s">
        <v>31</v>
      </c>
      <c r="C505" s="76" t="s">
        <v>35</v>
      </c>
      <c r="D505" s="26" t="s">
        <v>36</v>
      </c>
      <c r="E505" s="26" t="s">
        <v>145</v>
      </c>
      <c r="F505" s="21" t="s">
        <v>146</v>
      </c>
      <c r="G505" s="21" t="s">
        <v>156</v>
      </c>
      <c r="H505" s="27" t="s">
        <v>197</v>
      </c>
      <c r="I505" s="17" t="s">
        <v>362</v>
      </c>
      <c r="J505" s="15" t="s">
        <v>206</v>
      </c>
      <c r="K505" s="15" t="s">
        <v>154</v>
      </c>
      <c r="L505" s="15" t="s">
        <v>206</v>
      </c>
      <c r="M505" s="15" t="s">
        <v>154</v>
      </c>
      <c r="N505" s="15" t="s">
        <v>206</v>
      </c>
      <c r="O505" s="15" t="s">
        <v>154</v>
      </c>
      <c r="P505" s="15" t="s">
        <v>206</v>
      </c>
      <c r="Q505" s="15" t="s">
        <v>154</v>
      </c>
      <c r="R505" s="17" t="s">
        <v>154</v>
      </c>
      <c r="S505" s="15" t="s">
        <v>154</v>
      </c>
      <c r="T505" s="17" t="s">
        <v>154</v>
      </c>
      <c r="U505" s="15" t="s">
        <v>154</v>
      </c>
      <c r="V505" s="17" t="s">
        <v>154</v>
      </c>
      <c r="W505" s="15" t="s">
        <v>154</v>
      </c>
      <c r="X505" s="17" t="s">
        <v>154</v>
      </c>
      <c r="Y505" s="15" t="s">
        <v>154</v>
      </c>
      <c r="Z505" s="17" t="s">
        <v>154</v>
      </c>
      <c r="AA505" s="15" t="s">
        <v>154</v>
      </c>
      <c r="AB505" s="93" t="s">
        <v>154</v>
      </c>
      <c r="AC505" s="15" t="s">
        <v>154</v>
      </c>
      <c r="AD505" s="126" t="s">
        <v>154</v>
      </c>
      <c r="AE505" s="97" t="s">
        <v>154</v>
      </c>
      <c r="AF505" s="93" t="s">
        <v>154</v>
      </c>
      <c r="AG505" s="97" t="s">
        <v>154</v>
      </c>
      <c r="AH505" s="93" t="s">
        <v>154</v>
      </c>
      <c r="AI505" s="97" t="s">
        <v>154</v>
      </c>
      <c r="AJ505" s="93" t="s">
        <v>154</v>
      </c>
      <c r="AK505" s="97" t="s">
        <v>154</v>
      </c>
    </row>
    <row r="506" spans="1:37" x14ac:dyDescent="0.25">
      <c r="A506" s="21" t="s">
        <v>65</v>
      </c>
      <c r="B506" s="5" t="s">
        <v>31</v>
      </c>
      <c r="C506" s="76" t="s">
        <v>35</v>
      </c>
      <c r="D506" s="26" t="s">
        <v>36</v>
      </c>
      <c r="E506" s="26" t="s">
        <v>145</v>
      </c>
      <c r="F506" s="21" t="s">
        <v>146</v>
      </c>
      <c r="G506" s="21" t="s">
        <v>147</v>
      </c>
      <c r="H506" s="21" t="s">
        <v>363</v>
      </c>
      <c r="I506" s="11">
        <v>0.8</v>
      </c>
      <c r="J506" s="15" t="s">
        <v>206</v>
      </c>
      <c r="K506" s="15" t="s">
        <v>154</v>
      </c>
      <c r="L506" s="15" t="s">
        <v>206</v>
      </c>
      <c r="M506" s="15" t="s">
        <v>154</v>
      </c>
      <c r="N506" s="15" t="s">
        <v>206</v>
      </c>
      <c r="O506" s="15" t="s">
        <v>154</v>
      </c>
      <c r="P506" s="15" t="s">
        <v>206</v>
      </c>
      <c r="Q506" s="15" t="s">
        <v>154</v>
      </c>
      <c r="R506" s="17" t="s">
        <v>154</v>
      </c>
      <c r="S506" s="15" t="s">
        <v>154</v>
      </c>
      <c r="T506" s="17" t="s">
        <v>154</v>
      </c>
      <c r="U506" s="15" t="s">
        <v>154</v>
      </c>
      <c r="V506" s="17" t="s">
        <v>154</v>
      </c>
      <c r="W506" s="15" t="s">
        <v>154</v>
      </c>
      <c r="X506" s="17" t="s">
        <v>154</v>
      </c>
      <c r="Y506" s="15" t="s">
        <v>154</v>
      </c>
      <c r="Z506" s="17" t="s">
        <v>154</v>
      </c>
      <c r="AA506" s="15" t="s">
        <v>154</v>
      </c>
      <c r="AB506" s="93" t="s">
        <v>154</v>
      </c>
      <c r="AC506" s="15" t="s">
        <v>154</v>
      </c>
      <c r="AD506" s="126" t="s">
        <v>154</v>
      </c>
      <c r="AE506" s="97" t="s">
        <v>154</v>
      </c>
      <c r="AF506" s="93" t="s">
        <v>154</v>
      </c>
      <c r="AG506" s="97" t="s">
        <v>154</v>
      </c>
      <c r="AH506" s="93" t="s">
        <v>154</v>
      </c>
      <c r="AI506" s="97" t="s">
        <v>154</v>
      </c>
      <c r="AJ506" s="93" t="s">
        <v>154</v>
      </c>
      <c r="AK506" s="97" t="s">
        <v>154</v>
      </c>
    </row>
    <row r="507" spans="1:37" x14ac:dyDescent="0.25">
      <c r="A507" s="21" t="s">
        <v>65</v>
      </c>
      <c r="B507" s="5" t="s">
        <v>31</v>
      </c>
      <c r="C507" s="76" t="s">
        <v>35</v>
      </c>
      <c r="D507" s="26" t="s">
        <v>36</v>
      </c>
      <c r="E507" s="26" t="s">
        <v>145</v>
      </c>
      <c r="F507" s="21" t="s">
        <v>146</v>
      </c>
      <c r="G507" s="21" t="s">
        <v>147</v>
      </c>
      <c r="H507" s="21" t="s">
        <v>364</v>
      </c>
      <c r="I507" s="14">
        <v>7</v>
      </c>
      <c r="J507" s="15" t="s">
        <v>206</v>
      </c>
      <c r="K507" s="15" t="s">
        <v>154</v>
      </c>
      <c r="L507" s="15" t="s">
        <v>206</v>
      </c>
      <c r="M507" s="15" t="s">
        <v>154</v>
      </c>
      <c r="N507" s="15" t="s">
        <v>206</v>
      </c>
      <c r="O507" s="15" t="s">
        <v>154</v>
      </c>
      <c r="P507" s="15" t="s">
        <v>206</v>
      </c>
      <c r="Q507" s="15" t="s">
        <v>154</v>
      </c>
      <c r="R507" s="17" t="s">
        <v>154</v>
      </c>
      <c r="S507" s="15" t="s">
        <v>154</v>
      </c>
      <c r="T507" s="17" t="s">
        <v>154</v>
      </c>
      <c r="U507" s="15" t="s">
        <v>154</v>
      </c>
      <c r="V507" s="17" t="s">
        <v>154</v>
      </c>
      <c r="W507" s="15" t="s">
        <v>154</v>
      </c>
      <c r="X507" s="17" t="s">
        <v>154</v>
      </c>
      <c r="Y507" s="15" t="s">
        <v>154</v>
      </c>
      <c r="Z507" s="17" t="s">
        <v>154</v>
      </c>
      <c r="AA507" s="15" t="s">
        <v>154</v>
      </c>
      <c r="AB507" s="93" t="s">
        <v>154</v>
      </c>
      <c r="AC507" s="15" t="s">
        <v>154</v>
      </c>
      <c r="AD507" s="126" t="s">
        <v>154</v>
      </c>
      <c r="AE507" s="97" t="s">
        <v>154</v>
      </c>
      <c r="AF507" s="93" t="s">
        <v>154</v>
      </c>
      <c r="AG507" s="97" t="s">
        <v>154</v>
      </c>
      <c r="AH507" s="93" t="s">
        <v>154</v>
      </c>
      <c r="AI507" s="97" t="s">
        <v>154</v>
      </c>
      <c r="AJ507" s="93" t="s">
        <v>154</v>
      </c>
      <c r="AK507" s="97" t="s">
        <v>154</v>
      </c>
    </row>
  </sheetData>
  <sortState xmlns:xlrd2="http://schemas.microsoft.com/office/spreadsheetml/2017/richdata2" ref="A2:AK507">
    <sortCondition ref="A1:A507"/>
  </sortState>
  <conditionalFormatting sqref="A34:A71 A90:A110 A119:A142 A2:D9 B10:B16 D10:D16 B17:D175 E34:E301 B176:B183 D176:D183 B184:D283 B284:B290 D284:D290 B291:D301">
    <cfRule type="containsText" dxfId="1987" priority="3560" operator="containsText" text="Not Met">
      <formula>NOT(ISERROR(SEARCH("Not Met",A2)))</formula>
    </cfRule>
  </conditionalFormatting>
  <conditionalFormatting sqref="A39:A48">
    <cfRule type="containsText" dxfId="1986" priority="3558" operator="containsText" text="Not Met">
      <formula>NOT(ISERROR(SEARCH("Not Met",A39)))</formula>
    </cfRule>
    <cfRule type="containsText" dxfId="1985" priority="3559" operator="containsText" text="Met">
      <formula>NOT(ISERROR(SEARCH("Met",A39)))</formula>
    </cfRule>
  </conditionalFormatting>
  <conditionalFormatting sqref="A74:A89">
    <cfRule type="containsText" dxfId="1984" priority="3540" operator="containsText" text="Not Met">
      <formula>NOT(ISERROR(SEARCH("Not Met",A74)))</formula>
    </cfRule>
    <cfRule type="containsText" dxfId="1983" priority="3541" operator="containsText" text="Met">
      <formula>NOT(ISERROR(SEARCH("Met",A74)))</formula>
    </cfRule>
  </conditionalFormatting>
  <conditionalFormatting sqref="A100:A103">
    <cfRule type="containsText" dxfId="1982" priority="3556" operator="containsText" text="Not Met">
      <formula>NOT(ISERROR(SEARCH("Not Met",A100)))</formula>
    </cfRule>
    <cfRule type="containsText" dxfId="1981" priority="3557" operator="containsText" text="Met">
      <formula>NOT(ISERROR(SEARCH("Met",A100)))</formula>
    </cfRule>
  </conditionalFormatting>
  <conditionalFormatting sqref="A185:A225">
    <cfRule type="containsText" dxfId="1980" priority="3548" operator="containsText" text="Not Met">
      <formula>NOT(ISERROR(SEARCH("Not Met",A185)))</formula>
    </cfRule>
    <cfRule type="containsText" dxfId="1979" priority="3549" operator="containsText" text="Met">
      <formula>NOT(ISERROR(SEARCH("Met",A185)))</formula>
    </cfRule>
  </conditionalFormatting>
  <conditionalFormatting sqref="A458">
    <cfRule type="containsText" dxfId="1978" priority="3471" operator="containsText" text="Not Met">
      <formula>NOT(ISERROR(SEARCH("Not Met",A458)))</formula>
    </cfRule>
    <cfRule type="containsText" dxfId="1977" priority="3472" operator="containsText" text="Met">
      <formula>NOT(ISERROR(SEARCH("Met",A458)))</formula>
    </cfRule>
  </conditionalFormatting>
  <conditionalFormatting sqref="A458:A471">
    <cfRule type="containsText" dxfId="1976" priority="3488" operator="containsText" text="Met">
      <formula>NOT(ISERROR(SEARCH("Met",A458)))</formula>
    </cfRule>
  </conditionalFormatting>
  <conditionalFormatting sqref="A458:A493">
    <cfRule type="containsText" dxfId="1975" priority="3487" operator="containsText" text="Not Met">
      <formula>NOT(ISERROR(SEARCH("Not Met",A458)))</formula>
    </cfRule>
  </conditionalFormatting>
  <conditionalFormatting sqref="A468:A471">
    <cfRule type="containsText" dxfId="1974" priority="3485" operator="containsText" text="Not Met">
      <formula>NOT(ISERROR(SEARCH("Not Met",A468)))</formula>
    </cfRule>
    <cfRule type="containsText" dxfId="1973" priority="3486" operator="containsText" text="Met">
      <formula>NOT(ISERROR(SEARCH("Met",A468)))</formula>
    </cfRule>
  </conditionalFormatting>
  <conditionalFormatting sqref="A472:A493">
    <cfRule type="containsText" dxfId="1972" priority="3484" operator="containsText" text="Met">
      <formula>NOT(ISERROR(SEARCH("Met",A472)))</formula>
    </cfRule>
  </conditionalFormatting>
  <conditionalFormatting sqref="A482:A493">
    <cfRule type="containsText" dxfId="1971" priority="3483" operator="containsText" text="Not Met">
      <formula>NOT(ISERROR(SEARCH("Not Met",A482)))</formula>
    </cfRule>
  </conditionalFormatting>
  <conditionalFormatting sqref="B494:B507 D494:D507">
    <cfRule type="containsText" dxfId="1970" priority="1784" operator="containsText" text="Not Met">
      <formula>NOT(ISERROR(SEARCH("Not Met",B494)))</formula>
    </cfRule>
    <cfRule type="containsText" dxfId="1969" priority="1785" operator="containsText" text="Met">
      <formula>NOT(ISERROR(SEARCH("Met",B494)))</formula>
    </cfRule>
  </conditionalFormatting>
  <conditionalFormatting sqref="B302:E323 B324:B356 D324:E356 B357:E453 B454:B460 D454:E460 B461:E482 D483:E485 B483:B490 D485:D490 B491:D493">
    <cfRule type="containsText" dxfId="1968" priority="2150" operator="containsText" text="Not Met">
      <formula>NOT(ISERROR(SEARCH("Not Met",B302)))</formula>
    </cfRule>
  </conditionalFormatting>
  <conditionalFormatting sqref="E486:E507">
    <cfRule type="containsText" dxfId="1967" priority="1782" operator="containsText" text="Not Met">
      <formula>NOT(ISERROR(SEARCH("Not Met",E486)))</formula>
    </cfRule>
    <cfRule type="containsText" dxfId="1966" priority="1783" operator="containsText" text="Met">
      <formula>NOT(ISERROR(SEARCH("Met",E486)))</formula>
    </cfRule>
  </conditionalFormatting>
  <conditionalFormatting sqref="E20:F33 I49:I61 H62:I68 F78:G103 I79:I81 G177:G179 H234:H235">
    <cfRule type="containsText" dxfId="1965" priority="3564" operator="containsText" text="Met">
      <formula>NOT(ISERROR(SEARCH("Met",E20)))</formula>
    </cfRule>
  </conditionalFormatting>
  <conditionalFormatting sqref="E2:G2 E3:E19 F13:F14 H84:I85 H120:I120">
    <cfRule type="containsText" dxfId="1964" priority="3622" operator="containsText" text="Not Met">
      <formula>NOT(ISERROR(SEARCH("Not Met",E2)))</formula>
    </cfRule>
  </conditionalFormatting>
  <conditionalFormatting sqref="F13:F14">
    <cfRule type="containsText" dxfId="1963" priority="3623" operator="containsText" text="Met">
      <formula>NOT(ISERROR(SEARCH("Met",F13)))</formula>
    </cfRule>
  </conditionalFormatting>
  <conditionalFormatting sqref="F39:F48">
    <cfRule type="containsText" dxfId="1962" priority="3561" operator="containsText" text="Not Met">
      <formula>NOT(ISERROR(SEARCH("Not Met",F39)))</formula>
    </cfRule>
    <cfRule type="containsText" dxfId="1961" priority="3562" operator="containsText" text="Met">
      <formula>NOT(ISERROR(SEARCH("Met",F39)))</formula>
    </cfRule>
  </conditionalFormatting>
  <conditionalFormatting sqref="F72:F73">
    <cfRule type="containsText" dxfId="1960" priority="3532" operator="containsText" text="Not Met">
      <formula>NOT(ISERROR(SEARCH("Not Met",F72)))</formula>
    </cfRule>
    <cfRule type="containsText" dxfId="1959" priority="3533" operator="containsText" text="Met">
      <formula>NOT(ISERROR(SEARCH("Met",F72)))</formula>
    </cfRule>
  </conditionalFormatting>
  <conditionalFormatting sqref="F149:F150">
    <cfRule type="containsText" dxfId="1958" priority="3521" operator="containsText" text="Not Met">
      <formula>NOT(ISERROR(SEARCH("Not Met",F149)))</formula>
    </cfRule>
    <cfRule type="containsText" dxfId="1957" priority="3522" operator="containsText" text="Met">
      <formula>NOT(ISERROR(SEARCH("Met",F149)))</formula>
    </cfRule>
  </conditionalFormatting>
  <conditionalFormatting sqref="F3:G12">
    <cfRule type="containsText" dxfId="1956" priority="3585" operator="containsText" text="Not Met">
      <formula>NOT(ISERROR(SEARCH("Not Met",F3)))</formula>
    </cfRule>
  </conditionalFormatting>
  <conditionalFormatting sqref="F15:G19">
    <cfRule type="containsText" dxfId="1955" priority="3567" operator="containsText" text="Not Met">
      <formula>NOT(ISERROR(SEARCH("Not Met",F15)))</formula>
    </cfRule>
    <cfRule type="containsText" dxfId="1954" priority="3568" operator="containsText" text="Met">
      <formula>NOT(ISERROR(SEARCH("Met",F15)))</formula>
    </cfRule>
  </conditionalFormatting>
  <conditionalFormatting sqref="F34:G71">
    <cfRule type="containsText" dxfId="1953" priority="3534" operator="containsText" text="Not Met">
      <formula>NOT(ISERROR(SEARCH("Not Met",F34)))</formula>
    </cfRule>
  </conditionalFormatting>
  <conditionalFormatting sqref="F69:G71">
    <cfRule type="containsText" dxfId="1952" priority="3535" operator="containsText" text="Met">
      <formula>NOT(ISERROR(SEARCH("Met",F69)))</formula>
    </cfRule>
  </conditionalFormatting>
  <conditionalFormatting sqref="F78:G103 E20:F33 I49:I61 H62:I68 I79:I81 G177:G179 H234:H235">
    <cfRule type="containsText" dxfId="1951" priority="3563" operator="containsText" text="Not Met">
      <formula>NOT(ISERROR(SEARCH("Not Met",E20)))</formula>
    </cfRule>
  </conditionalFormatting>
  <conditionalFormatting sqref="F100:G107 A132:A137">
    <cfRule type="containsText" dxfId="1950" priority="3554" operator="containsText" text="Not Met">
      <formula>NOT(ISERROR(SEARCH("Not Met",A100)))</formula>
    </cfRule>
    <cfRule type="containsText" dxfId="1949" priority="3555" operator="containsText" text="Met">
      <formula>NOT(ISERROR(SEARCH("Met",A100)))</formula>
    </cfRule>
  </conditionalFormatting>
  <conditionalFormatting sqref="F127:G141 H140:I141">
    <cfRule type="containsText" dxfId="1948" priority="3594" operator="containsText" text="Not Met">
      <formula>NOT(ISERROR(SEARCH("Not Met",F127)))</formula>
    </cfRule>
    <cfRule type="containsText" dxfId="1947" priority="3595" operator="containsText" text="Met">
      <formula>NOT(ISERROR(SEARCH("Met",F127)))</formula>
    </cfRule>
  </conditionalFormatting>
  <conditionalFormatting sqref="F169:G172">
    <cfRule type="containsText" dxfId="1946" priority="3598" operator="containsText" text="Not Met">
      <formula>NOT(ISERROR(SEARCH("Not Met",F169)))</formula>
    </cfRule>
    <cfRule type="containsText" dxfId="1945" priority="3599" operator="containsText" text="Met">
      <formula>NOT(ISERROR(SEARCH("Met",F169)))</formula>
    </cfRule>
  </conditionalFormatting>
  <conditionalFormatting sqref="F458:G458">
    <cfRule type="containsText" dxfId="1944" priority="3473" operator="containsText" text="Not Met">
      <formula>NOT(ISERROR(SEARCH("Not Met",F458)))</formula>
    </cfRule>
    <cfRule type="containsText" dxfId="1943" priority="3474" operator="containsText" text="Met">
      <formula>NOT(ISERROR(SEARCH("Met",F458)))</formula>
    </cfRule>
  </conditionalFormatting>
  <conditionalFormatting sqref="F459:G471">
    <cfRule type="containsText" dxfId="1942" priority="3481" operator="containsText" text="Not Met">
      <formula>NOT(ISERROR(SEARCH("Not Met",F459)))</formula>
    </cfRule>
    <cfRule type="containsText" dxfId="1941" priority="3482" operator="containsText" text="Met">
      <formula>NOT(ISERROR(SEARCH("Met",F459)))</formula>
    </cfRule>
  </conditionalFormatting>
  <conditionalFormatting sqref="F468:G485">
    <cfRule type="containsText" dxfId="1940" priority="3477" operator="containsText" text="Not Met">
      <formula>NOT(ISERROR(SEARCH("Not Met",F468)))</formula>
    </cfRule>
    <cfRule type="containsText" dxfId="1939" priority="3478" operator="containsText" text="Met">
      <formula>NOT(ISERROR(SEARCH("Met",F468)))</formula>
    </cfRule>
  </conditionalFormatting>
  <conditionalFormatting sqref="F482:G485">
    <cfRule type="containsText" dxfId="1938" priority="3475" operator="containsText" text="Not Met">
      <formula>NOT(ISERROR(SEARCH("Not Met",F482)))</formula>
    </cfRule>
    <cfRule type="containsText" dxfId="1937" priority="3476" operator="containsText" text="Met">
      <formula>NOT(ISERROR(SEARCH("Met",F482)))</formula>
    </cfRule>
  </conditionalFormatting>
  <conditionalFormatting sqref="F142:I142">
    <cfRule type="containsText" dxfId="1936" priority="3519" operator="containsText" text="Not Met">
      <formula>NOT(ISERROR(SEARCH("Not Met",F142)))</formula>
    </cfRule>
    <cfRule type="containsText" dxfId="1935" priority="3520" operator="containsText" text="Met">
      <formula>NOT(ISERROR(SEARCH("Met",F142)))</formula>
    </cfRule>
  </conditionalFormatting>
  <conditionalFormatting sqref="F161:I162">
    <cfRule type="containsText" dxfId="1934" priority="3606" operator="containsText" text="Not Met">
      <formula>NOT(ISERROR(SEARCH("Not Met",F161)))</formula>
    </cfRule>
    <cfRule type="containsText" dxfId="1933" priority="3607" operator="containsText" text="Met">
      <formula>NOT(ISERROR(SEARCH("Met",F161)))</formula>
    </cfRule>
  </conditionalFormatting>
  <conditionalFormatting sqref="F458:I458">
    <cfRule type="containsText" dxfId="1932" priority="3465" operator="containsText" text="Not Met">
      <formula>NOT(ISERROR(SEARCH("Not Met",F458)))</formula>
    </cfRule>
    <cfRule type="containsText" dxfId="1931" priority="3466" operator="containsText" text="Met">
      <formula>NOT(ISERROR(SEARCH("Met",F458)))</formula>
    </cfRule>
  </conditionalFormatting>
  <conditionalFormatting sqref="G72:G77">
    <cfRule type="containsText" dxfId="1930" priority="3542" operator="containsText" text="Not Met">
      <formula>NOT(ISERROR(SEARCH("Not Met",G72)))</formula>
    </cfRule>
    <cfRule type="containsText" dxfId="1929" priority="3543" operator="containsText" text="Met">
      <formula>NOT(ISERROR(SEARCH("Met",G72)))</formula>
    </cfRule>
  </conditionalFormatting>
  <conditionalFormatting sqref="G132:G137">
    <cfRule type="containsText" dxfId="1928" priority="3552" operator="containsText" text="Not Met">
      <formula>NOT(ISERROR(SEARCH("Not Met",G132)))</formula>
    </cfRule>
    <cfRule type="containsText" dxfId="1927" priority="3553" operator="containsText" text="Met">
      <formula>NOT(ISERROR(SEARCH("Met",G132)))</formula>
    </cfRule>
  </conditionalFormatting>
  <conditionalFormatting sqref="G143:G155">
    <cfRule type="containsText" dxfId="1926" priority="3544" operator="containsText" text="Not Met">
      <formula>NOT(ISERROR(SEARCH("Not Met",G143)))</formula>
    </cfRule>
    <cfRule type="containsText" dxfId="1925" priority="3545" operator="containsText" text="Met">
      <formula>NOT(ISERROR(SEARCH("Met",G143)))</formula>
    </cfRule>
  </conditionalFormatting>
  <conditionalFormatting sqref="G193:G195">
    <cfRule type="containsText" dxfId="1924" priority="3550" operator="containsText" text="Not Met">
      <formula>NOT(ISERROR(SEARCH("Not Met",G193)))</formula>
    </cfRule>
    <cfRule type="containsText" dxfId="1923" priority="3551" operator="containsText" text="Met">
      <formula>NOT(ISERROR(SEARCH("Met",G193)))</formula>
    </cfRule>
  </conditionalFormatting>
  <conditionalFormatting sqref="G486:G493">
    <cfRule type="containsText" dxfId="1922" priority="1794" operator="containsText" text="Not Met">
      <formula>NOT(ISERROR(SEARCH("Not Met",G486)))</formula>
    </cfRule>
    <cfRule type="containsText" dxfId="1921" priority="1795" operator="containsText" text="Met">
      <formula>NOT(ISERROR(SEARCH("Met",G486)))</formula>
    </cfRule>
    <cfRule type="containsText" dxfId="1920" priority="1796" operator="containsText" text="Not Met">
      <formula>NOT(ISERROR(SEARCH("Not Met",G486)))</formula>
    </cfRule>
    <cfRule type="containsText" dxfId="1919" priority="1797" operator="containsText" text="Met">
      <formula>NOT(ISERROR(SEARCH("Met",G486)))</formula>
    </cfRule>
  </conditionalFormatting>
  <conditionalFormatting sqref="H18 H28 H41 H61 H87 H106 H118 H122 H135 H146 H154 H160 H166 H175 H182 H193 H220:H221 H238 H248 H256 H293 H299 H308 H314 H327 H334">
    <cfRule type="containsText" dxfId="1918" priority="3565" operator="containsText" text="Not Met">
      <formula>NOT(ISERROR(SEARCH("Not Met",H18)))</formula>
    </cfRule>
    <cfRule type="containsText" dxfId="1917" priority="3566" operator="containsText" text="Met">
      <formula>NOT(ISERROR(SEARCH("Met",H18)))</formula>
    </cfRule>
  </conditionalFormatting>
  <conditionalFormatting sqref="H34 I36">
    <cfRule type="containsText" dxfId="1916" priority="3614" operator="containsText" text="Not Met">
      <formula>NOT(ISERROR(SEARCH("Not Met",H34)))</formula>
    </cfRule>
    <cfRule type="containsText" dxfId="1915" priority="3615" operator="containsText" text="Met">
      <formula>NOT(ISERROR(SEARCH("Met",H34)))</formula>
    </cfRule>
  </conditionalFormatting>
  <conditionalFormatting sqref="H49:H58">
    <cfRule type="containsText" dxfId="1914" priority="3612" operator="containsText" text="Not Met">
      <formula>NOT(ISERROR(SEARCH("Not Met",H49)))</formula>
    </cfRule>
    <cfRule type="containsText" dxfId="1913" priority="3613" operator="containsText" text="Met">
      <formula>NOT(ISERROR(SEARCH("Met",H49)))</formula>
    </cfRule>
  </conditionalFormatting>
  <conditionalFormatting sqref="H96 H107 H274 A2:G2 E3:E19 H84:I85 H120:I120 F3:G12 F34:G68 A2:A9 B3:D9 B10:B16 D10:D16 B17:D175 A34:A71 E34:E301 A90:A110 A119:A142 B176:B183 D176:D183 B184:D283 B284:B290 D284:D290 B291:D301 I105:I106 B302:E323 B324:B356 D324:E356 B357:E453 B454:B460 D454:E460 B461:E482 D483:E485 B483:B490 D485:D490 B491:D493">
    <cfRule type="containsText" dxfId="1912" priority="3625" operator="containsText" text="Met">
      <formula>NOT(ISERROR(SEARCH("Met",A2)))</formula>
    </cfRule>
  </conditionalFormatting>
  <conditionalFormatting sqref="H96 H107 H274">
    <cfRule type="containsText" dxfId="1911" priority="3624" operator="containsText" text="Not Met">
      <formula>NOT(ISERROR(SEARCH("Not Met",H96)))</formula>
    </cfRule>
  </conditionalFormatting>
  <conditionalFormatting sqref="H159">
    <cfRule type="containsText" dxfId="1910" priority="3608" operator="containsText" text="Not Met">
      <formula>NOT(ISERROR(SEARCH("Not Met",H159)))</formula>
    </cfRule>
    <cfRule type="containsText" dxfId="1909" priority="3609" operator="containsText" text="Met">
      <formula>NOT(ISERROR(SEARCH("Met",H159)))</formula>
    </cfRule>
  </conditionalFormatting>
  <conditionalFormatting sqref="H187:H189">
    <cfRule type="containsText" dxfId="1908" priority="3588" operator="containsText" text="Not Met">
      <formula>NOT(ISERROR(SEARCH("Not Met",H187)))</formula>
    </cfRule>
    <cfRule type="containsText" dxfId="1907" priority="3589" operator="containsText" text="Met">
      <formula>NOT(ISERROR(SEARCH("Met",H187)))</formula>
    </cfRule>
  </conditionalFormatting>
  <conditionalFormatting sqref="H214:H215">
    <cfRule type="containsText" dxfId="1906" priority="3600" operator="containsText" text="Not Met">
      <formula>NOT(ISERROR(SEARCH("Not Met",H214)))</formula>
    </cfRule>
    <cfRule type="containsText" dxfId="1905" priority="3601" operator="containsText" text="Met">
      <formula>NOT(ISERROR(SEARCH("Met",H214)))</formula>
    </cfRule>
  </conditionalFormatting>
  <conditionalFormatting sqref="H227">
    <cfRule type="containsText" dxfId="1904" priority="3581" operator="containsText" text="Not Met">
      <formula>NOT(ISERROR(SEARCH("Not Met",H227)))</formula>
    </cfRule>
    <cfRule type="containsText" dxfId="1903" priority="3582" operator="containsText" text="Met">
      <formula>NOT(ISERROR(SEARCH("Met",H227)))</formula>
    </cfRule>
  </conditionalFormatting>
  <conditionalFormatting sqref="H229:H230">
    <cfRule type="containsText" dxfId="1902" priority="3583" operator="containsText" text="Not Met">
      <formula>NOT(ISERROR(SEARCH("Not Met",H229)))</formula>
    </cfRule>
    <cfRule type="containsText" dxfId="1901" priority="3584" operator="containsText" text="Met">
      <formula>NOT(ISERROR(SEARCH("Met",H229)))</formula>
    </cfRule>
  </conditionalFormatting>
  <conditionalFormatting sqref="H232">
    <cfRule type="containsText" dxfId="1900" priority="3575" operator="containsText" text="Not Met">
      <formula>NOT(ISERROR(SEARCH("Not Met",H232)))</formula>
    </cfRule>
    <cfRule type="containsText" dxfId="1899" priority="3576" operator="containsText" text="Met">
      <formula>NOT(ISERROR(SEARCH("Met",H232)))</formula>
    </cfRule>
  </conditionalFormatting>
  <conditionalFormatting sqref="H260">
    <cfRule type="containsText" dxfId="1898" priority="3573" operator="containsText" text="Not Met">
      <formula>NOT(ISERROR(SEARCH("Not Met",H260)))</formula>
    </cfRule>
    <cfRule type="containsText" dxfId="1897" priority="3574" operator="containsText" text="Met">
      <formula>NOT(ISERROR(SEARCH("Met",H260)))</formula>
    </cfRule>
  </conditionalFormatting>
  <conditionalFormatting sqref="H282">
    <cfRule type="containsText" dxfId="1896" priority="3571" operator="containsText" text="Not Met">
      <formula>NOT(ISERROR(SEARCH("Not Met",H282)))</formula>
    </cfRule>
    <cfRule type="containsText" dxfId="1895" priority="3572" operator="containsText" text="Met">
      <formula>NOT(ISERROR(SEARCH("Met",H282)))</formula>
    </cfRule>
  </conditionalFormatting>
  <conditionalFormatting sqref="H317">
    <cfRule type="containsText" dxfId="1894" priority="3493" operator="containsText" text="Not Met">
      <formula>NOT(ISERROR(SEARCH("Not Met",H317)))</formula>
    </cfRule>
    <cfRule type="containsText" dxfId="1893" priority="3494" operator="containsText" text="Met">
      <formula>NOT(ISERROR(SEARCH("Met",H317)))</formula>
    </cfRule>
    <cfRule type="containsText" dxfId="1892" priority="3495" operator="containsText" text="Not Met">
      <formula>NOT(ISERROR(SEARCH("Not Met",H317)))</formula>
    </cfRule>
    <cfRule type="containsText" dxfId="1891" priority="3496" operator="containsText" text="Met">
      <formula>NOT(ISERROR(SEARCH("Met",H317)))</formula>
    </cfRule>
  </conditionalFormatting>
  <conditionalFormatting sqref="H335">
    <cfRule type="containsText" dxfId="1890" priority="3507" operator="containsText" text="Not Met">
      <formula>NOT(ISERROR(SEARCH("Not Met",H335)))</formula>
    </cfRule>
    <cfRule type="containsText" dxfId="1889" priority="3508" operator="containsText" text="Met">
      <formula>NOT(ISERROR(SEARCH("Met",H335)))</formula>
    </cfRule>
  </conditionalFormatting>
  <conditionalFormatting sqref="H464">
    <cfRule type="containsText" dxfId="1888" priority="3491" operator="containsText" text="Not Met">
      <formula>NOT(ISERROR(SEARCH("Not Met",H464)))</formula>
    </cfRule>
    <cfRule type="containsText" dxfId="1887" priority="3492" operator="containsText" text="Met">
      <formula>NOT(ISERROR(SEARCH("Met",H464)))</formula>
    </cfRule>
  </conditionalFormatting>
  <conditionalFormatting sqref="H478">
    <cfRule type="containsText" dxfId="1886" priority="3489" operator="containsText" text="Not Met">
      <formula>NOT(ISERROR(SEARCH("Not Met",H478)))</formula>
    </cfRule>
    <cfRule type="containsText" dxfId="1885" priority="3490" operator="containsText" text="Met">
      <formula>NOT(ISERROR(SEARCH("Met",H478)))</formula>
    </cfRule>
  </conditionalFormatting>
  <conditionalFormatting sqref="H2:I11 A143:A148">
    <cfRule type="containsText" dxfId="1884" priority="3546" operator="containsText" text="Not Met">
      <formula>NOT(ISERROR(SEARCH("Not Met",A2)))</formula>
    </cfRule>
    <cfRule type="containsText" dxfId="1883" priority="3547" operator="containsText" text="Met">
      <formula>NOT(ISERROR(SEARCH("Met",A2)))</formula>
    </cfRule>
  </conditionalFormatting>
  <conditionalFormatting sqref="H35:I35">
    <cfRule type="containsText" dxfId="1882" priority="3536" operator="containsText" text="Not Met">
      <formula>NOT(ISERROR(SEARCH("Not Met",H35)))</formula>
    </cfRule>
    <cfRule type="containsText" dxfId="1881" priority="3537" operator="containsText" text="Met">
      <formula>NOT(ISERROR(SEARCH("Met",H35)))</formula>
    </cfRule>
  </conditionalFormatting>
  <conditionalFormatting sqref="H111:I112">
    <cfRule type="containsText" dxfId="1880" priority="3602" operator="containsText" text="Not Met">
      <formula>NOT(ISERROR(SEARCH("Not Met",H111)))</formula>
    </cfRule>
    <cfRule type="containsText" dxfId="1879" priority="3603" operator="containsText" text="Met">
      <formula>NOT(ISERROR(SEARCH("Met",H111)))</formula>
    </cfRule>
  </conditionalFormatting>
  <conditionalFormatting sqref="H129:I131">
    <cfRule type="containsText" dxfId="1878" priority="3592" operator="containsText" text="Not Met">
      <formula>NOT(ISERROR(SEARCH("Not Met",H129)))</formula>
    </cfRule>
    <cfRule type="containsText" dxfId="1877" priority="3593" operator="containsText" text="Met">
      <formula>NOT(ISERROR(SEARCH("Met",H129)))</formula>
    </cfRule>
  </conditionalFormatting>
  <conditionalFormatting sqref="H317:I317">
    <cfRule type="containsText" dxfId="1876" priority="3497" operator="containsText" text="Not Met">
      <formula>NOT(ISERROR(SEARCH("Not Met",H317)))</formula>
    </cfRule>
    <cfRule type="containsText" dxfId="1875" priority="3498" operator="containsText" text="Met">
      <formula>NOT(ISERROR(SEARCH("Met",H317)))</formula>
    </cfRule>
  </conditionalFormatting>
  <conditionalFormatting sqref="I38">
    <cfRule type="containsText" dxfId="1874" priority="3505" operator="containsText" text="Not Met">
      <formula>NOT(ISERROR(SEARCH("Not Met",I38)))</formula>
    </cfRule>
    <cfRule type="containsText" dxfId="1873" priority="3506" operator="containsText" text="Met">
      <formula>NOT(ISERROR(SEARCH("Met",I38)))</formula>
    </cfRule>
  </conditionalFormatting>
  <conditionalFormatting sqref="I69:I74">
    <cfRule type="containsText" dxfId="1872" priority="3528" operator="containsText" text="Not Met">
      <formula>NOT(ISERROR(SEARCH("Not Met",I69)))</formula>
    </cfRule>
    <cfRule type="containsText" dxfId="1871" priority="3529" operator="containsText" text="Met">
      <formula>NOT(ISERROR(SEARCH("Met",I69)))</formula>
    </cfRule>
  </conditionalFormatting>
  <conditionalFormatting sqref="I86:I87">
    <cfRule type="containsText" dxfId="1870" priority="3526" operator="containsText" text="Not Met">
      <formula>NOT(ISERROR(SEARCH("Not Met",I86)))</formula>
    </cfRule>
    <cfRule type="containsText" dxfId="1869" priority="3527" operator="containsText" text="Met">
      <formula>NOT(ISERROR(SEARCH("Met",I86)))</formula>
    </cfRule>
  </conditionalFormatting>
  <conditionalFormatting sqref="I105:I106">
    <cfRule type="containsText" dxfId="1868" priority="3525" operator="containsText" text="Not Met">
      <formula>NOT(ISERROR(SEARCH("Not Met",I105)))</formula>
    </cfRule>
  </conditionalFormatting>
  <conditionalFormatting sqref="I108:I110">
    <cfRule type="containsText" dxfId="1867" priority="3538" operator="containsText" text="Not Met">
      <formula>NOT(ISERROR(SEARCH("Not Met",I108)))</formula>
    </cfRule>
    <cfRule type="containsText" dxfId="1866" priority="3539" operator="containsText" text="Met">
      <formula>NOT(ISERROR(SEARCH("Met",I108)))</formula>
    </cfRule>
  </conditionalFormatting>
  <conditionalFormatting sqref="I113:I119">
    <cfRule type="containsText" dxfId="1865" priority="3509" operator="containsText" text="Not Met">
      <formula>NOT(ISERROR(SEARCH("Not Met",I113)))</formula>
    </cfRule>
    <cfRule type="containsText" dxfId="1864" priority="3510" operator="containsText" text="Met">
      <formula>NOT(ISERROR(SEARCH("Met",I113)))</formula>
    </cfRule>
  </conditionalFormatting>
  <conditionalFormatting sqref="I132:I139">
    <cfRule type="containsText" dxfId="1863" priority="3513" operator="containsText" text="Not Met">
      <formula>NOT(ISERROR(SEARCH("Not Met",I132)))</formula>
    </cfRule>
    <cfRule type="containsText" dxfId="1862" priority="3514" operator="containsText" text="Met">
      <formula>NOT(ISERROR(SEARCH("Met",I132)))</formula>
    </cfRule>
  </conditionalFormatting>
  <conditionalFormatting sqref="I143:I155">
    <cfRule type="containsText" dxfId="1861" priority="3517" operator="containsText" text="Not Met">
      <formula>NOT(ISERROR(SEARCH("Not Met",I143)))</formula>
    </cfRule>
    <cfRule type="containsText" dxfId="1860" priority="3518" operator="containsText" text="Met">
      <formula>NOT(ISERROR(SEARCH("Met",I143)))</formula>
    </cfRule>
  </conditionalFormatting>
  <conditionalFormatting sqref="I164:I166">
    <cfRule type="containsText" dxfId="1859" priority="3610" operator="containsText" text="Not Met">
      <formula>NOT(ISERROR(SEARCH("Not Met",I164)))</formula>
    </cfRule>
    <cfRule type="containsText" dxfId="1858" priority="3611" operator="containsText" text="Met">
      <formula>NOT(ISERROR(SEARCH("Met",I164)))</formula>
    </cfRule>
  </conditionalFormatting>
  <conditionalFormatting sqref="I169:I171">
    <cfRule type="containsText" dxfId="1857" priority="3604" operator="containsText" text="Not Met">
      <formula>NOT(ISERROR(SEARCH("Not Met",I169)))</formula>
    </cfRule>
    <cfRule type="containsText" dxfId="1856" priority="3605" operator="containsText" text="Met">
      <formula>NOT(ISERROR(SEARCH("Met",I169)))</formula>
    </cfRule>
  </conditionalFormatting>
  <conditionalFormatting sqref="I173:I175">
    <cfRule type="containsText" dxfId="1855" priority="3620" operator="containsText" text="Not Met">
      <formula>NOT(ISERROR(SEARCH("Not Met",I173)))</formula>
    </cfRule>
    <cfRule type="containsText" dxfId="1854" priority="3621" operator="containsText" text="Met">
      <formula>NOT(ISERROR(SEARCH("Met",I173)))</formula>
    </cfRule>
  </conditionalFormatting>
  <conditionalFormatting sqref="I177:I182">
    <cfRule type="containsText" dxfId="1853" priority="3523" operator="containsText" text="Not Met">
      <formula>NOT(ISERROR(SEARCH("Not Met",I177)))</formula>
    </cfRule>
    <cfRule type="containsText" dxfId="1852" priority="3524" operator="containsText" text="Met">
      <formula>NOT(ISERROR(SEARCH("Met",I177)))</formula>
    </cfRule>
  </conditionalFormatting>
  <conditionalFormatting sqref="I185:I195">
    <cfRule type="containsText" dxfId="1851" priority="3515" operator="containsText" text="Not Met">
      <formula>NOT(ISERROR(SEARCH("Not Met",I185)))</formula>
    </cfRule>
    <cfRule type="containsText" dxfId="1850" priority="3516" operator="containsText" text="Met">
      <formula>NOT(ISERROR(SEARCH("Met",I185)))</formula>
    </cfRule>
  </conditionalFormatting>
  <conditionalFormatting sqref="I226:I227">
    <cfRule type="containsText" dxfId="1849" priority="3579" operator="containsText" text="Not Met">
      <formula>NOT(ISERROR(SEARCH("Not Met",I226)))</formula>
    </cfRule>
    <cfRule type="containsText" dxfId="1848" priority="3580" operator="containsText" text="Met">
      <formula>NOT(ISERROR(SEARCH("Met",I226)))</formula>
    </cfRule>
  </conditionalFormatting>
  <conditionalFormatting sqref="I231:I232">
    <cfRule type="containsText" dxfId="1847" priority="3577" operator="containsText" text="Not Met">
      <formula>NOT(ISERROR(SEARCH("Not Met",I231)))</formula>
    </cfRule>
    <cfRule type="containsText" dxfId="1846" priority="3578" operator="containsText" text="Met">
      <formula>NOT(ISERROR(SEARCH("Met",I231)))</formula>
    </cfRule>
  </conditionalFormatting>
  <conditionalFormatting sqref="I244">
    <cfRule type="containsText" dxfId="1845" priority="3586" operator="containsText" text="Not Met">
      <formula>NOT(ISERROR(SEARCH("Not Met",I244)))</formula>
    </cfRule>
    <cfRule type="containsText" dxfId="1844" priority="3587" operator="containsText" text="Met">
      <formula>NOT(ISERROR(SEARCH("Met",I244)))</formula>
    </cfRule>
  </conditionalFormatting>
  <conditionalFormatting sqref="I275:I276">
    <cfRule type="containsText" dxfId="1843" priority="3618" operator="containsText" text="Not Met">
      <formula>NOT(ISERROR(SEARCH("Not Met",I275)))</formula>
    </cfRule>
    <cfRule type="containsText" dxfId="1842" priority="3619" operator="containsText" text="Met">
      <formula>NOT(ISERROR(SEARCH("Met",I275)))</formula>
    </cfRule>
  </conditionalFormatting>
  <conditionalFormatting sqref="I287:I293">
    <cfRule type="containsText" dxfId="1841" priority="3511" operator="containsText" text="Not Met">
      <formula>NOT(ISERROR(SEARCH("Not Met",I287)))</formula>
    </cfRule>
    <cfRule type="containsText" dxfId="1840" priority="3512" operator="containsText" text="Met">
      <formula>NOT(ISERROR(SEARCH("Met",I287)))</formula>
    </cfRule>
  </conditionalFormatting>
  <conditionalFormatting sqref="I317">
    <cfRule type="containsText" dxfId="1839" priority="3501" operator="containsText" text="Not Met">
      <formula>NOT(ISERROR(SEARCH("Not Met",I317)))</formula>
    </cfRule>
    <cfRule type="containsText" dxfId="1838" priority="3502" operator="containsText" text="Met">
      <formula>NOT(ISERROR(SEARCH("Met",I317)))</formula>
    </cfRule>
    <cfRule type="containsText" dxfId="1837" priority="3503" operator="containsText" text="Not Met">
      <formula>NOT(ISERROR(SEARCH("Not Met",I317)))</formula>
    </cfRule>
    <cfRule type="containsText" dxfId="1836" priority="3504" operator="containsText" text="Met">
      <formula>NOT(ISERROR(SEARCH("Met",I317)))</formula>
    </cfRule>
  </conditionalFormatting>
  <conditionalFormatting sqref="I12:J12">
    <cfRule type="containsText" dxfId="1835" priority="3427" operator="containsText" text="Not Met">
      <formula>NOT(ISERROR(SEARCH("Not Met",I12)))</formula>
    </cfRule>
    <cfRule type="containsText" dxfId="1834" priority="3428" operator="containsText" text="Met">
      <formula>NOT(ISERROR(SEARCH("Met",I12)))</formula>
    </cfRule>
  </conditionalFormatting>
  <conditionalFormatting sqref="J2:J5">
    <cfRule type="containsText" dxfId="1833" priority="3396" operator="containsText" text="Not Met">
      <formula>NOT(ISERROR(SEARCH("Not Met",J2)))</formula>
    </cfRule>
    <cfRule type="containsText" dxfId="1832" priority="3397" operator="containsText" text="Met">
      <formula>NOT(ISERROR(SEARCH("Met",J2)))</formula>
    </cfRule>
  </conditionalFormatting>
  <conditionalFormatting sqref="J5:J10">
    <cfRule type="containsText" dxfId="1831" priority="3398" operator="containsText" text="Not Met">
      <formula>NOT(ISERROR(SEARCH("Not Met",J5)))</formula>
    </cfRule>
    <cfRule type="containsText" dxfId="1830" priority="3399" operator="containsText" text="Met">
      <formula>NOT(ISERROR(SEARCH("Met",J5)))</formula>
    </cfRule>
  </conditionalFormatting>
  <conditionalFormatting sqref="J12">
    <cfRule type="containsText" dxfId="1829" priority="3425" operator="containsText" text="Not Met">
      <formula>NOT(ISERROR(SEARCH("Not Met",J12)))</formula>
    </cfRule>
    <cfRule type="containsText" dxfId="1828" priority="3426" operator="containsText" text="Met">
      <formula>NOT(ISERROR(SEARCH("Met",J12)))</formula>
    </cfRule>
  </conditionalFormatting>
  <conditionalFormatting sqref="J49:J53">
    <cfRule type="containsText" dxfId="1827" priority="3386" operator="containsText" text="Not Met">
      <formula>NOT(ISERROR(SEARCH("Not Met",J49)))</formula>
    </cfRule>
    <cfRule type="containsText" dxfId="1826" priority="3387" operator="containsText" text="Met">
      <formula>NOT(ISERROR(SEARCH("Met",J49)))</formula>
    </cfRule>
  </conditionalFormatting>
  <conditionalFormatting sqref="J51">
    <cfRule type="containsText" dxfId="1825" priority="3388" operator="containsText" text="Not Met">
      <formula>NOT(ISERROR(SEARCH("Not Met",J51)))</formula>
    </cfRule>
    <cfRule type="containsText" dxfId="1824" priority="3389" operator="containsText" text="Met">
      <formula>NOT(ISERROR(SEARCH("Met",J51)))</formula>
    </cfRule>
  </conditionalFormatting>
  <conditionalFormatting sqref="J78:J80 J83 J85:J98">
    <cfRule type="containsText" dxfId="1823" priority="3367" operator="containsText" text="Not Met">
      <formula>NOT(ISERROR(SEARCH("Not Met",J78)))</formula>
    </cfRule>
    <cfRule type="containsText" dxfId="1822" priority="3368" operator="containsText" text="Met">
      <formula>NOT(ISERROR(SEARCH("Met",J78)))</formula>
    </cfRule>
  </conditionalFormatting>
  <conditionalFormatting sqref="J81:J84">
    <cfRule type="containsText" dxfId="1821" priority="3369" operator="containsText" text="Not Met">
      <formula>NOT(ISERROR(SEARCH("Not Met",J81)))</formula>
    </cfRule>
    <cfRule type="containsText" dxfId="1820" priority="3370" operator="containsText" text="Met">
      <formula>NOT(ISERROR(SEARCH("Met",J81)))</formula>
    </cfRule>
  </conditionalFormatting>
  <conditionalFormatting sqref="J100:J110">
    <cfRule type="containsText" dxfId="1819" priority="3365" operator="containsText" text="Not Met">
      <formula>NOT(ISERROR(SEARCH("Not Met",J100)))</formula>
    </cfRule>
    <cfRule type="containsText" dxfId="1818" priority="3366" operator="containsText" text="Met">
      <formula>NOT(ISERROR(SEARCH("Met",J100)))</formula>
    </cfRule>
  </conditionalFormatting>
  <conditionalFormatting sqref="J119:J126">
    <cfRule type="containsText" dxfId="1817" priority="3377" operator="containsText" text="Not Met">
      <formula>NOT(ISERROR(SEARCH("Not Met",J119)))</formula>
    </cfRule>
    <cfRule type="containsText" dxfId="1816" priority="3378" operator="containsText" text="Met">
      <formula>NOT(ISERROR(SEARCH("Met",J119)))</formula>
    </cfRule>
  </conditionalFormatting>
  <conditionalFormatting sqref="J130">
    <cfRule type="containsText" dxfId="1815" priority="3413" operator="containsText" text="Not Met">
      <formula>NOT(ISERROR(SEARCH("Not Met",J130)))</formula>
    </cfRule>
    <cfRule type="containsText" dxfId="1814" priority="3414" operator="containsText" text="Met">
      <formula>NOT(ISERROR(SEARCH("Met",J130)))</formula>
    </cfRule>
  </conditionalFormatting>
  <conditionalFormatting sqref="J138:J160">
    <cfRule type="containsText" dxfId="1813" priority="3373" operator="containsText" text="Not Met">
      <formula>NOT(ISERROR(SEARCH("Not Met",J138)))</formula>
    </cfRule>
    <cfRule type="containsText" dxfId="1812" priority="3374" operator="containsText" text="Met">
      <formula>NOT(ISERROR(SEARCH("Met",J138)))</formula>
    </cfRule>
  </conditionalFormatting>
  <conditionalFormatting sqref="J226:J249">
    <cfRule type="containsText" dxfId="1811" priority="3371" operator="containsText" text="Not Met">
      <formula>NOT(ISERROR(SEARCH("Not Met",J226)))</formula>
    </cfRule>
    <cfRule type="containsText" dxfId="1810" priority="3372" operator="containsText" text="Met">
      <formula>NOT(ISERROR(SEARCH("Met",J226)))</formula>
    </cfRule>
  </conditionalFormatting>
  <conditionalFormatting sqref="J257:J270">
    <cfRule type="containsText" dxfId="1809" priority="3384" operator="containsText" text="Not Met">
      <formula>NOT(ISERROR(SEARCH("Not Met",J257)))</formula>
    </cfRule>
    <cfRule type="containsText" dxfId="1808" priority="3385" operator="containsText" text="Met">
      <formula>NOT(ISERROR(SEARCH("Met",J257)))</formula>
    </cfRule>
  </conditionalFormatting>
  <conditionalFormatting sqref="J302:J308">
    <cfRule type="containsText" dxfId="1807" priority="3363" operator="containsText" text="Not Met">
      <formula>NOT(ISERROR(SEARCH("Not Met",J302)))</formula>
    </cfRule>
    <cfRule type="containsText" dxfId="1806" priority="3364" operator="containsText" text="Met">
      <formula>NOT(ISERROR(SEARCH("Met",J302)))</formula>
    </cfRule>
  </conditionalFormatting>
  <conditionalFormatting sqref="J378:J391">
    <cfRule type="containsText" dxfId="1805" priority="3352" operator="containsText" text="Not Met">
      <formula>NOT(ISERROR(SEARCH("Not Met",J378)))</formula>
    </cfRule>
  </conditionalFormatting>
  <conditionalFormatting sqref="J396 J403 J410 J417 J367:J391">
    <cfRule type="containsText" dxfId="1804" priority="3355" operator="containsText" text="Met">
      <formula>NOT(ISERROR(SEARCH("Met",J367)))</formula>
    </cfRule>
  </conditionalFormatting>
  <conditionalFormatting sqref="J396 J403 J410 J417">
    <cfRule type="containsText" dxfId="1803" priority="3354" operator="containsText" text="Not Met">
      <formula>NOT(ISERROR(SEARCH("Not Met",J396)))</formula>
    </cfRule>
  </conditionalFormatting>
  <conditionalFormatting sqref="J430">
    <cfRule type="containsText" dxfId="1802" priority="3404" operator="containsText" text="Not Met">
      <formula>NOT(ISERROR(SEARCH("Not Met",J430)))</formula>
    </cfRule>
    <cfRule type="containsText" dxfId="1801" priority="3405" operator="containsText" text="Met">
      <formula>NOT(ISERROR(SEARCH("Met",J430)))</formula>
    </cfRule>
  </conditionalFormatting>
  <conditionalFormatting sqref="J33:K33 K119:K148 K411:K416 K418:K423 K425">
    <cfRule type="containsText" dxfId="1800" priority="3411" operator="containsText" text="Not Met">
      <formula>NOT(ISERROR(SEARCH("Not Met",J33)))</formula>
    </cfRule>
    <cfRule type="containsText" dxfId="1799" priority="3412" operator="containsText" text="Met">
      <formula>NOT(ISERROR(SEARCH("Met",J33)))</formula>
    </cfRule>
  </conditionalFormatting>
  <conditionalFormatting sqref="J33:K33">
    <cfRule type="containsText" dxfId="1798" priority="3409" operator="containsText" text="Not Met">
      <formula>NOT(ISERROR(SEARCH("Not Met",J33)))</formula>
    </cfRule>
    <cfRule type="containsText" dxfId="1797" priority="3410" operator="containsText" text="Met">
      <formula>NOT(ISERROR(SEARCH("Met",J33)))</formula>
    </cfRule>
  </conditionalFormatting>
  <conditionalFormatting sqref="J169:K205">
    <cfRule type="containsText" dxfId="1796" priority="3359" operator="containsText" text="Met">
      <formula>NOT(ISERROR(SEARCH("Met",J169)))</formula>
    </cfRule>
  </conditionalFormatting>
  <conditionalFormatting sqref="J175:K205">
    <cfRule type="containsText" dxfId="1795" priority="3358" operator="containsText" text="Not Met">
      <formula>NOT(ISERROR(SEARCH("Not Met",J175)))</formula>
    </cfRule>
  </conditionalFormatting>
  <conditionalFormatting sqref="J196:K205">
    <cfRule type="containsText" dxfId="1794" priority="3417" operator="containsText" text="Not Met">
      <formula>NOT(ISERROR(SEARCH("Not Met",J196)))</formula>
    </cfRule>
    <cfRule type="containsText" dxfId="1793" priority="3418" operator="containsText" text="Met">
      <formula>NOT(ISERROR(SEARCH("Met",J196)))</formula>
    </cfRule>
    <cfRule type="containsText" dxfId="1792" priority="3419" operator="containsText" text="Not Met">
      <formula>NOT(ISERROR(SEARCH("Not Met",J196)))</formula>
    </cfRule>
    <cfRule type="containsText" dxfId="1791" priority="3420" operator="containsText" text="Met">
      <formula>NOT(ISERROR(SEARCH("Met",J196)))</formula>
    </cfRule>
    <cfRule type="containsText" dxfId="1790" priority="3421" operator="containsText" text="Not Met">
      <formula>NOT(ISERROR(SEARCH("Not Met",J196)))</formula>
    </cfRule>
    <cfRule type="containsText" dxfId="1789" priority="3422" operator="containsText" text="Met">
      <formula>NOT(ISERROR(SEARCH("Met",J196)))</formula>
    </cfRule>
    <cfRule type="containsText" dxfId="1788" priority="3423" operator="containsText" text="Not Met">
      <formula>NOT(ISERROR(SEARCH("Not Met",J196)))</formula>
    </cfRule>
    <cfRule type="containsText" dxfId="1787" priority="3424" operator="containsText" text="Met">
      <formula>NOT(ISERROR(SEARCH("Met",J196)))</formula>
    </cfRule>
  </conditionalFormatting>
  <conditionalFormatting sqref="J318:K318">
    <cfRule type="containsText" dxfId="1786" priority="3430" operator="containsText" text="Met">
      <formula>NOT(ISERROR(SEARCH("Met",J318)))</formula>
    </cfRule>
  </conditionalFormatting>
  <conditionalFormatting sqref="J318:K328">
    <cfRule type="containsText" dxfId="1785" priority="3436" operator="containsText" text="Met">
      <formula>NOT(ISERROR(SEARCH("Met",J318)))</formula>
    </cfRule>
  </conditionalFormatting>
  <conditionalFormatting sqref="J318:K336">
    <cfRule type="containsText" dxfId="1784" priority="3375" operator="containsText" text="Not Met">
      <formula>NOT(ISERROR(SEARCH("Not Met",J318)))</formula>
    </cfRule>
  </conditionalFormatting>
  <conditionalFormatting sqref="J325:K326">
    <cfRule type="containsText" dxfId="1783" priority="3431" operator="containsText" text="Met">
      <formula>NOT(ISERROR(SEARCH("Met",J325)))</formula>
    </cfRule>
    <cfRule type="containsText" dxfId="1782" priority="3432" operator="containsText" text="Not Met">
      <formula>NOT(ISERROR(SEARCH("Not Met",J325)))</formula>
    </cfRule>
    <cfRule type="containsText" dxfId="1781" priority="3433" operator="containsText" text="Met">
      <formula>NOT(ISERROR(SEARCH("Met",J325)))</formula>
    </cfRule>
  </conditionalFormatting>
  <conditionalFormatting sqref="J328:K328">
    <cfRule type="containsText" dxfId="1780" priority="3435" operator="containsText" text="Not Met">
      <formula>NOT(ISERROR(SEARCH("Not Met",J328)))</formula>
    </cfRule>
  </conditionalFormatting>
  <conditionalFormatting sqref="J328:K336">
    <cfRule type="containsText" dxfId="1779" priority="3376" operator="containsText" text="Met">
      <formula>NOT(ISERROR(SEARCH("Met",J328)))</formula>
    </cfRule>
  </conditionalFormatting>
  <conditionalFormatting sqref="J344:K351">
    <cfRule type="containsText" dxfId="1778" priority="3350" operator="containsText" text="Met">
      <formula>NOT(ISERROR(SEARCH("Met",J344)))</formula>
    </cfRule>
  </conditionalFormatting>
  <conditionalFormatting sqref="J344:K359">
    <cfRule type="containsText" dxfId="1777" priority="3349" operator="containsText" text="Not Met">
      <formula>NOT(ISERROR(SEARCH("Not Met",J344)))</formula>
    </cfRule>
  </conditionalFormatting>
  <conditionalFormatting sqref="J12:L15 J20:K33 J250:Q256 M271:M273 J271:L286">
    <cfRule type="containsText" dxfId="1776" priority="3395" operator="containsText" text="Met">
      <formula>NOT(ISERROR(SEARCH("Met",J12)))</formula>
    </cfRule>
  </conditionalFormatting>
  <conditionalFormatting sqref="J42:L48 J352:K359 J361:L366">
    <cfRule type="containsText" dxfId="1775" priority="3460" operator="containsText" text="Met">
      <formula>NOT(ISERROR(SEARCH("Met",J42)))</formula>
    </cfRule>
  </conditionalFormatting>
  <conditionalFormatting sqref="J42:L48">
    <cfRule type="containsText" dxfId="1774" priority="3442" operator="containsText" text="Not Met">
      <formula>NOT(ISERROR(SEARCH("Not Met",J42)))</formula>
    </cfRule>
    <cfRule type="containsText" dxfId="1773" priority="3443" operator="containsText" text="Met">
      <formula>NOT(ISERROR(SEARCH("Met",J42)))</formula>
    </cfRule>
  </conditionalFormatting>
  <conditionalFormatting sqref="J60:L61">
    <cfRule type="containsText" dxfId="1772" priority="3437" operator="containsText" text="Not Met">
      <formula>NOT(ISERROR(SEARCH("Not Met",J60)))</formula>
    </cfRule>
    <cfRule type="containsText" dxfId="1771" priority="3438" operator="containsText" text="Met">
      <formula>NOT(ISERROR(SEARCH("Met",J60)))</formula>
    </cfRule>
  </conditionalFormatting>
  <conditionalFormatting sqref="J70:L71">
    <cfRule type="containsText" dxfId="1770" priority="3296" operator="containsText" text="Not Met">
      <formula>NOT(ISERROR(SEARCH("Not Met",J70)))</formula>
    </cfRule>
    <cfRule type="containsText" dxfId="1769" priority="3297" operator="containsText" text="Met">
      <formula>NOT(ISERROR(SEARCH("Met",J70)))</formula>
    </cfRule>
  </conditionalFormatting>
  <conditionalFormatting sqref="J111:L118 J352:K359 J360:L366">
    <cfRule type="containsText" dxfId="1768" priority="3456" operator="containsText" text="Met">
      <formula>NOT(ISERROR(SEARCH("Met",J111)))</formula>
    </cfRule>
  </conditionalFormatting>
  <conditionalFormatting sqref="J169:L174">
    <cfRule type="containsText" dxfId="1767" priority="3298" operator="containsText" text="Not Met">
      <formula>NOT(ISERROR(SEARCH("Not Met",J169)))</formula>
    </cfRule>
  </conditionalFormatting>
  <conditionalFormatting sqref="J196:L205">
    <cfRule type="containsText" dxfId="1766" priority="3258" operator="containsText" text="Not Met">
      <formula>NOT(ISERROR(SEARCH("Not Met",J196)))</formula>
    </cfRule>
    <cfRule type="containsText" dxfId="1765" priority="3259" operator="containsText" text="Met">
      <formula>NOT(ISERROR(SEARCH("Met",J196)))</formula>
    </cfRule>
  </conditionalFormatting>
  <conditionalFormatting sqref="J294:L300">
    <cfRule type="containsText" dxfId="1764" priority="3347" operator="containsText" text="Not Met">
      <formula>NOT(ISERROR(SEARCH("Not Met",J294)))</formula>
    </cfRule>
    <cfRule type="containsText" dxfId="1763" priority="3348" operator="containsText" text="Met">
      <formula>NOT(ISERROR(SEARCH("Met",J294)))</formula>
    </cfRule>
  </conditionalFormatting>
  <conditionalFormatting sqref="J318:L318">
    <cfRule type="containsText" dxfId="1762" priority="3324" operator="containsText" text="Not Met">
      <formula>NOT(ISERROR(SEARCH("Not Met",J318)))</formula>
    </cfRule>
    <cfRule type="containsText" dxfId="1761" priority="3325" operator="containsText" text="Met">
      <formula>NOT(ISERROR(SEARCH("Met",J318)))</formula>
    </cfRule>
  </conditionalFormatting>
  <conditionalFormatting sqref="J325:L326">
    <cfRule type="containsText" dxfId="1760" priority="3330" operator="containsText" text="Not Met">
      <formula>NOT(ISERROR(SEARCH("Not Met",J325)))</formula>
    </cfRule>
  </conditionalFormatting>
  <conditionalFormatting sqref="J328:L328">
    <cfRule type="containsText" dxfId="1759" priority="3320" operator="containsText" text="Not Met">
      <formula>NOT(ISERROR(SEARCH("Not Met",J328)))</formula>
    </cfRule>
  </conditionalFormatting>
  <conditionalFormatting sqref="J360:L360">
    <cfRule type="containsText" dxfId="1758" priority="3451" operator="containsText" text="Met">
      <formula>NOT(ISERROR(SEARCH("Met",J360)))</formula>
    </cfRule>
  </conditionalFormatting>
  <conditionalFormatting sqref="J360:L366 J111:L118 J352:K359">
    <cfRule type="containsText" dxfId="1757" priority="3455" operator="containsText" text="Not Met">
      <formula>NOT(ISERROR(SEARCH("Not Met",J111)))</formula>
    </cfRule>
  </conditionalFormatting>
  <conditionalFormatting sqref="J361:L366 J352:K359 J42:L48">
    <cfRule type="containsText" dxfId="1756" priority="3459" operator="containsText" text="Not Met">
      <formula>NOT(ISERROR(SEARCH("Not Met",J42)))</formula>
    </cfRule>
  </conditionalFormatting>
  <conditionalFormatting sqref="J361:L366">
    <cfRule type="containsText" dxfId="1755" priority="3457" operator="containsText" text="Not Met">
      <formula>NOT(ISERROR(SEARCH("Not Met",J361)))</formula>
    </cfRule>
    <cfRule type="containsText" dxfId="1754" priority="3458" operator="containsText" text="Met">
      <formula>NOT(ISERROR(SEARCH("Met",J361)))</formula>
    </cfRule>
  </conditionalFormatting>
  <conditionalFormatting sqref="J367:L377">
    <cfRule type="containsText" dxfId="1753" priority="3294" operator="containsText" text="Not Met">
      <formula>NOT(ISERROR(SEARCH("Not Met",J367)))</formula>
    </cfRule>
  </conditionalFormatting>
  <conditionalFormatting sqref="J309:M316">
    <cfRule type="containsText" dxfId="1752" priority="3115" operator="containsText" text="Not Met">
      <formula>NOT(ISERROR(SEARCH("Not Met",J309)))</formula>
    </cfRule>
    <cfRule type="containsText" dxfId="1751" priority="3116" operator="containsText" text="Met">
      <formula>NOT(ISERROR(SEARCH("Met",J309)))</formula>
    </cfRule>
  </conditionalFormatting>
  <conditionalFormatting sqref="J318:M318">
    <cfRule type="containsText" dxfId="1750" priority="3326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749" priority="3362" operator="containsText" text="Met">
      <formula>NOT(ISERROR(SEARCH("Met",J34)))</formula>
    </cfRule>
  </conditionalFormatting>
  <conditionalFormatting sqref="J360:N366">
    <cfRule type="containsText" dxfId="1748" priority="3439" operator="containsText" text="Not Met">
      <formula>NOT(ISERROR(SEARCH("Not Met",J360)))</formula>
    </cfRule>
  </conditionalFormatting>
  <conditionalFormatting sqref="J324:O324">
    <cfRule type="containsText" dxfId="1747" priority="3249" operator="containsText" text="Not Met">
      <formula>NOT(ISERROR(SEARCH("Not Met",J324)))</formula>
    </cfRule>
  </conditionalFormatting>
  <conditionalFormatting sqref="J250:Q256 M271:M273 J12:L15 J20:K33 J271:L286">
    <cfRule type="containsText" dxfId="1746" priority="3394" operator="containsText" text="Not Met">
      <formula>NOT(ISERROR(SEARCH("Not Met",J12)))</formula>
    </cfRule>
  </conditionalFormatting>
  <conditionalFormatting sqref="J327:S327">
    <cfRule type="containsText" dxfId="1745" priority="2967" operator="containsText" text="Not Met">
      <formula>NOT(ISERROR(SEARCH("Not Met",J327)))</formula>
    </cfRule>
  </conditionalFormatting>
  <conditionalFormatting sqref="J458:Y485">
    <cfRule type="containsText" dxfId="1744" priority="2151" operator="containsText" text="Not Met">
      <formula>NOT(ISERROR(SEARCH("Not Met",J458)))</formula>
    </cfRule>
    <cfRule type="containsText" dxfId="1743" priority="2152" operator="containsText" text="Met">
      <formula>NOT(ISERROR(SEARCH("Met",J458)))</formula>
    </cfRule>
  </conditionalFormatting>
  <conditionalFormatting sqref="J486:AA493">
    <cfRule type="containsText" dxfId="1742" priority="1786" operator="containsText" text="Not Met">
      <formula>NOT(ISERROR(SEARCH("Not Met",J486)))</formula>
    </cfRule>
    <cfRule type="containsText" dxfId="1741" priority="1787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740" priority="3462" operator="containsText" text="Met">
      <formula>NOT(ISERROR(SEARCH("Met",K2)))</formula>
    </cfRule>
  </conditionalFormatting>
  <conditionalFormatting sqref="K352:K359">
    <cfRule type="containsText" dxfId="1739" priority="3406" operator="containsText" text="Met">
      <formula>NOT(ISERROR(SEARCH("Met",K352)))</formula>
    </cfRule>
  </conditionalFormatting>
  <conditionalFormatting sqref="K367:K395">
    <cfRule type="containsText" dxfId="1738" priority="3353" operator="containsText" text="Met">
      <formula>NOT(ISERROR(SEARCH("Met",K367)))</formula>
    </cfRule>
  </conditionalFormatting>
  <conditionalFormatting sqref="K378:K395">
    <cfRule type="containsText" dxfId="1737" priority="3351" operator="containsText" text="Not Met">
      <formula>NOT(ISERROR(SEARCH("Not Met",K378)))</formula>
    </cfRule>
  </conditionalFormatting>
  <conditionalFormatting sqref="K397:K409">
    <cfRule type="containsText" dxfId="1736" priority="3356" operator="containsText" text="Not Met">
      <formula>NOT(ISERROR(SEARCH("Not Met",K397)))</formula>
    </cfRule>
    <cfRule type="containsText" dxfId="1735" priority="3357" operator="containsText" text="Met">
      <formula>NOT(ISERROR(SEARCH("Met",K397)))</formula>
    </cfRule>
  </conditionalFormatting>
  <conditionalFormatting sqref="K427:K440">
    <cfRule type="containsText" dxfId="1734" priority="3402" operator="containsText" text="Not Met">
      <formula>NOT(ISERROR(SEARCH("Not Met",K427)))</formula>
    </cfRule>
    <cfRule type="containsText" dxfId="1733" priority="3403" operator="containsText" text="Met">
      <formula>NOT(ISERROR(SEARCH("Met",K427)))</formula>
    </cfRule>
  </conditionalFormatting>
  <conditionalFormatting sqref="K435:K440">
    <cfRule type="containsText" dxfId="1732" priority="3400" operator="containsText" text="Not Met">
      <formula>NOT(ISERROR(SEARCH("Not Met",K435)))</formula>
    </cfRule>
    <cfRule type="containsText" dxfId="1731" priority="3401" operator="containsText" text="Met">
      <formula>NOT(ISERROR(SEARCH("Met",K435)))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730" priority="3461" operator="containsText" text="Not Met">
      <formula>NOT(ISERROR(SEARCH("Not Met",K2)))</formula>
    </cfRule>
  </conditionalFormatting>
  <conditionalFormatting sqref="K78:L103">
    <cfRule type="containsText" dxfId="1729" priority="3253" operator="containsText" text="Not Met">
      <formula>NOT(ISERROR(SEARCH("Not Met",K78)))</formula>
    </cfRule>
    <cfRule type="containsText" dxfId="1728" priority="3254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727" priority="3440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726" priority="3441" operator="containsText" text="Met">
      <formula>NOT(ISERROR(SEARCH("Met",J34)))</formula>
    </cfRule>
  </conditionalFormatting>
  <conditionalFormatting sqref="K111:N118 P111:P118 J360:N366 J161:N168 J34:N41 M331">
    <cfRule type="containsText" dxfId="1725" priority="3361" operator="containsText" text="Not Met">
      <formula>NOT(ISERROR(SEARCH("Not Met",J34)))</formula>
    </cfRule>
  </conditionalFormatting>
  <conditionalFormatting sqref="K180:N180 P180">
    <cfRule type="containsText" dxfId="1724" priority="3167" operator="containsText" text="Not Met">
      <formula>NOT(ISERROR(SEARCH("Not Met",K180)))</formula>
    </cfRule>
    <cfRule type="containsText" dxfId="1723" priority="3168" operator="containsText" text="Met">
      <formula>NOT(ISERROR(SEARCH("Met",K180)))</formula>
    </cfRule>
  </conditionalFormatting>
  <conditionalFormatting sqref="L2:L5">
    <cfRule type="containsText" dxfId="1722" priority="3314" operator="containsText" text="Not Met">
      <formula>NOT(ISERROR(SEARCH("Not Met",L2)))</formula>
    </cfRule>
    <cfRule type="containsText" dxfId="1721" priority="3315" operator="containsText" text="Met">
      <formula>NOT(ISERROR(SEARCH("Met",L2)))</formula>
    </cfRule>
  </conditionalFormatting>
  <conditionalFormatting sqref="L5:L6">
    <cfRule type="containsText" dxfId="1720" priority="3316" operator="containsText" text="Not Met">
      <formula>NOT(ISERROR(SEARCH("Not Met",L5)))</formula>
    </cfRule>
    <cfRule type="containsText" dxfId="1719" priority="3317" operator="containsText" text="Met">
      <formula>NOT(ISERROR(SEARCH("Met",L5)))</formula>
    </cfRule>
  </conditionalFormatting>
  <conditionalFormatting sqref="L7:L19">
    <cfRule type="containsText" dxfId="1718" priority="3302" operator="containsText" text="Not Met">
      <formula>NOT(ISERROR(SEARCH("Not Met",L7)))</formula>
    </cfRule>
    <cfRule type="containsText" dxfId="1717" priority="3303" operator="containsText" text="Met">
      <formula>NOT(ISERROR(SEARCH("Met",L7)))</formula>
    </cfRule>
  </conditionalFormatting>
  <conditionalFormatting sqref="L49:L53">
    <cfRule type="containsText" dxfId="1716" priority="3310" operator="containsText" text="Not Met">
      <formula>NOT(ISERROR(SEARCH("Not Met",L49)))</formula>
    </cfRule>
    <cfRule type="containsText" dxfId="1715" priority="3311" operator="containsText" text="Met">
      <formula>NOT(ISERROR(SEARCH("Met",L49)))</formula>
    </cfRule>
  </conditionalFormatting>
  <conditionalFormatting sqref="L51">
    <cfRule type="containsText" dxfId="1714" priority="3312" operator="containsText" text="Not Met">
      <formula>NOT(ISERROR(SEARCH("Not Met",L51)))</formula>
    </cfRule>
    <cfRule type="containsText" dxfId="1713" priority="3313" operator="containsText" text="Met">
      <formula>NOT(ISERROR(SEARCH("Met",L51)))</formula>
    </cfRule>
  </conditionalFormatting>
  <conditionalFormatting sqref="L104:L110">
    <cfRule type="containsText" dxfId="1712" priority="3345" operator="containsText" text="Not Met">
      <formula>NOT(ISERROR(SEARCH("Not Met",L104)))</formula>
    </cfRule>
    <cfRule type="containsText" dxfId="1711" priority="3346" operator="containsText" text="Met">
      <formula>NOT(ISERROR(SEARCH("Met",L104)))</formula>
    </cfRule>
  </conditionalFormatting>
  <conditionalFormatting sqref="L127">
    <cfRule type="containsText" dxfId="1710" priority="3282" operator="containsText" text="Not Met">
      <formula>NOT(ISERROR(SEARCH("Not Met",L127)))</formula>
    </cfRule>
    <cfRule type="containsText" dxfId="1709" priority="3283" operator="containsText" text="Met">
      <formula>NOT(ISERROR(SEARCH("Met",L127)))</formula>
    </cfRule>
  </conditionalFormatting>
  <conditionalFormatting sqref="L132:L138">
    <cfRule type="containsText" dxfId="1708" priority="3280" operator="containsText" text="Not Met">
      <formula>NOT(ISERROR(SEARCH("Not Met",L132)))</formula>
    </cfRule>
  </conditionalFormatting>
  <conditionalFormatting sqref="L132:L140">
    <cfRule type="containsText" dxfId="1707" priority="3281" operator="containsText" text="Met">
      <formula>NOT(ISERROR(SEARCH("Met",L132)))</formula>
    </cfRule>
  </conditionalFormatting>
  <conditionalFormatting sqref="L139:L140">
    <cfRule type="containsText" dxfId="1706" priority="3288" operator="containsText" text="Not Met">
      <formula>NOT(ISERROR(SEARCH("Not Met",L139)))</formula>
    </cfRule>
  </conditionalFormatting>
  <conditionalFormatting sqref="L142:L160">
    <cfRule type="containsText" dxfId="1705" priority="3286" operator="containsText" text="Not Met">
      <formula>NOT(ISERROR(SEARCH("Not Met",L142)))</formula>
    </cfRule>
    <cfRule type="containsText" dxfId="1704" priority="3287" operator="containsText" text="Met">
      <formula>NOT(ISERROR(SEARCH("Met",L142)))</formula>
    </cfRule>
  </conditionalFormatting>
  <conditionalFormatting sqref="L169:L174">
    <cfRule type="containsText" dxfId="1703" priority="3299" operator="containsText" text="Met">
      <formula>NOT(ISERROR(SEARCH("Met",L169)))</formula>
    </cfRule>
  </conditionalFormatting>
  <conditionalFormatting sqref="L175:L184">
    <cfRule type="containsText" dxfId="1702" priority="3291" operator="containsText" text="Not Met">
      <formula>NOT(ISERROR(SEARCH("Not Met",L175)))</formula>
    </cfRule>
    <cfRule type="containsText" dxfId="1701" priority="3292" operator="containsText" text="Met">
      <formula>NOT(ISERROR(SEARCH("Met",L175)))</formula>
    </cfRule>
  </conditionalFormatting>
  <conditionalFormatting sqref="L187">
    <cfRule type="containsText" dxfId="1700" priority="3284" operator="containsText" text="Not Met">
      <formula>NOT(ISERROR(SEARCH("Not Met",L187)))</formula>
    </cfRule>
    <cfRule type="containsText" dxfId="1699" priority="3285" operator="containsText" text="Met">
      <formula>NOT(ISERROR(SEARCH("Met",L187)))</formula>
    </cfRule>
  </conditionalFormatting>
  <conditionalFormatting sqref="L190:L205">
    <cfRule type="containsText" dxfId="1698" priority="3260" operator="containsText" text="Not Met">
      <formula>NOT(ISERROR(SEARCH("Not Met",L190)))</formula>
    </cfRule>
    <cfRule type="containsText" dxfId="1697" priority="3261" operator="containsText" text="Met">
      <formula>NOT(ISERROR(SEARCH("Met",L190)))</formula>
    </cfRule>
  </conditionalFormatting>
  <conditionalFormatting sqref="L196:L205">
    <cfRule type="containsText" dxfId="1696" priority="3255" operator="containsText" text="Met">
      <formula>NOT(ISERROR(SEARCH("Met",L196)))</formula>
    </cfRule>
    <cfRule type="containsText" dxfId="1695" priority="3256" operator="containsText" text="Not Met">
      <formula>NOT(ISERROR(SEARCH("Not Met",L196)))</formula>
    </cfRule>
    <cfRule type="containsText" dxfId="1694" priority="3257" operator="containsText" text="Met">
      <formula>NOT(ISERROR(SEARCH("Met",L196)))</formula>
    </cfRule>
  </conditionalFormatting>
  <conditionalFormatting sqref="L226:L242 L287:L293">
    <cfRule type="containsText" dxfId="1693" priority="3343" operator="containsText" text="Not Met">
      <formula>NOT(ISERROR(SEARCH("Not Met",L226)))</formula>
    </cfRule>
    <cfRule type="containsText" dxfId="1692" priority="3344" operator="containsText" text="Met">
      <formula>NOT(ISERROR(SEARCH("Met",L226)))</formula>
    </cfRule>
  </conditionalFormatting>
  <conditionalFormatting sqref="L257:L270">
    <cfRule type="containsText" dxfId="1691" priority="3300" operator="containsText" text="Not Met">
      <formula>NOT(ISERROR(SEARCH("Not Met",L257)))</formula>
    </cfRule>
    <cfRule type="containsText" dxfId="1690" priority="3301" operator="containsText" text="Met">
      <formula>NOT(ISERROR(SEARCH("Met",L257)))</formula>
    </cfRule>
  </conditionalFormatting>
  <conditionalFormatting sqref="L302:L308">
    <cfRule type="containsText" dxfId="1689" priority="3289" operator="containsText" text="Not Met">
      <formula>NOT(ISERROR(SEARCH("Not Met",L302)))</formula>
    </cfRule>
    <cfRule type="containsText" dxfId="1688" priority="3290" operator="containsText" text="Met">
      <formula>NOT(ISERROR(SEARCH("Met",L302)))</formula>
    </cfRule>
  </conditionalFormatting>
  <conditionalFormatting sqref="L319:L323">
    <cfRule type="containsText" dxfId="1687" priority="3322" operator="containsText" text="Not Met">
      <formula>NOT(ISERROR(SEARCH("Not Met",L319)))</formula>
    </cfRule>
    <cfRule type="containsText" dxfId="1686" priority="3323" operator="containsText" text="Met">
      <formula>NOT(ISERROR(SEARCH("Met",L319)))</formula>
    </cfRule>
  </conditionalFormatting>
  <conditionalFormatting sqref="L325:L326">
    <cfRule type="containsText" dxfId="1685" priority="3328" operator="containsText" text="Not Met">
      <formula>NOT(ISERROR(SEARCH("Not Met",L325)))</formula>
    </cfRule>
    <cfRule type="containsText" dxfId="1684" priority="3329" operator="containsText" text="Met">
      <formula>NOT(ISERROR(SEARCH("Met",L325)))</formula>
    </cfRule>
  </conditionalFormatting>
  <conditionalFormatting sqref="L325:L327">
    <cfRule type="containsText" dxfId="1683" priority="3331" operator="containsText" text="Met">
      <formula>NOT(ISERROR(SEARCH("Met",L325)))</formula>
    </cfRule>
  </conditionalFormatting>
  <conditionalFormatting sqref="L328">
    <cfRule type="containsText" dxfId="1682" priority="3318" operator="containsText" text="Not Met">
      <formula>NOT(ISERROR(SEARCH("Not Met",L328)))</formula>
    </cfRule>
    <cfRule type="containsText" dxfId="1681" priority="3319" operator="containsText" text="Met">
      <formula>NOT(ISERROR(SEARCH("Met",L328)))</formula>
    </cfRule>
    <cfRule type="containsText" dxfId="1680" priority="3321" operator="containsText" text="Met">
      <formula>NOT(ISERROR(SEARCH("Met",L328)))</formula>
    </cfRule>
  </conditionalFormatting>
  <conditionalFormatting sqref="L352:L357 L358:M358">
    <cfRule type="containsText" dxfId="1679" priority="3338" operator="containsText" text="Not Met">
      <formula>NOT(ISERROR(SEARCH("Not Met",L352)))</formula>
    </cfRule>
    <cfRule type="containsText" dxfId="1678" priority="3341" operator="containsText" text="Not Met">
      <formula>NOT(ISERROR(SEARCH("Not Met",L352)))</formula>
    </cfRule>
    <cfRule type="containsText" dxfId="1677" priority="3342" operator="containsText" text="Met">
      <formula>NOT(ISERROR(SEARCH("Met",L352)))</formula>
    </cfRule>
  </conditionalFormatting>
  <conditionalFormatting sqref="L352:L357">
    <cfRule type="containsText" dxfId="1676" priority="3340" operator="containsText" text="Met">
      <formula>NOT(ISERROR(SEARCH("Met",L352)))</formula>
    </cfRule>
  </conditionalFormatting>
  <conditionalFormatting sqref="L367:L377">
    <cfRule type="containsText" dxfId="1675" priority="3295" operator="containsText" text="Met">
      <formula>NOT(ISERROR(SEARCH("Met",L367)))</formula>
    </cfRule>
  </conditionalFormatting>
  <conditionalFormatting sqref="L378:L391">
    <cfRule type="containsText" dxfId="1674" priority="3278" operator="containsText" text="Not Met">
      <formula>NOT(ISERROR(SEARCH("Not Met",L378)))</formula>
    </cfRule>
    <cfRule type="containsText" dxfId="1673" priority="3279" operator="containsText" text="Met">
      <formula>NOT(ISERROR(SEARCH("Met",L378)))</formula>
    </cfRule>
  </conditionalFormatting>
  <conditionalFormatting sqref="L395:L396">
    <cfRule type="containsText" dxfId="1672" priority="3276" operator="containsText" text="Not Met">
      <formula>NOT(ISERROR(SEARCH("Not Met",L395)))</formula>
    </cfRule>
    <cfRule type="containsText" dxfId="1671" priority="3277" operator="containsText" text="Met">
      <formula>NOT(ISERROR(SEARCH("Met",L395)))</formula>
    </cfRule>
  </conditionalFormatting>
  <conditionalFormatting sqref="L402:L403">
    <cfRule type="containsText" dxfId="1670" priority="3274" operator="containsText" text="Not Met">
      <formula>NOT(ISERROR(SEARCH("Not Met",L402)))</formula>
    </cfRule>
    <cfRule type="containsText" dxfId="1669" priority="3275" operator="containsText" text="Met">
      <formula>NOT(ISERROR(SEARCH("Met",L402)))</formula>
    </cfRule>
  </conditionalFormatting>
  <conditionalFormatting sqref="L405">
    <cfRule type="containsText" dxfId="1668" priority="3272" operator="containsText" text="Not Met">
      <formula>NOT(ISERROR(SEARCH("Not Met",L405)))</formula>
    </cfRule>
    <cfRule type="containsText" dxfId="1667" priority="3273" operator="containsText" text="Met">
      <formula>NOT(ISERROR(SEARCH("Met",L405)))</formula>
    </cfRule>
  </conditionalFormatting>
  <conditionalFormatting sqref="L409:L410">
    <cfRule type="containsText" dxfId="1666" priority="3270" operator="containsText" text="Not Met">
      <formula>NOT(ISERROR(SEARCH("Not Met",L409)))</formula>
    </cfRule>
    <cfRule type="containsText" dxfId="1665" priority="3271" operator="containsText" text="Met">
      <formula>NOT(ISERROR(SEARCH("Met",L409)))</formula>
    </cfRule>
  </conditionalFormatting>
  <conditionalFormatting sqref="L412">
    <cfRule type="containsText" dxfId="1664" priority="3268" operator="containsText" text="Not Met">
      <formula>NOT(ISERROR(SEARCH("Not Met",L412)))</formula>
    </cfRule>
    <cfRule type="containsText" dxfId="1663" priority="3269" operator="containsText" text="Met">
      <formula>NOT(ISERROR(SEARCH("Met",L412)))</formula>
    </cfRule>
  </conditionalFormatting>
  <conditionalFormatting sqref="L416">
    <cfRule type="containsText" dxfId="1662" priority="3266" operator="containsText" text="Not Met">
      <formula>NOT(ISERROR(SEARCH("Not Met",L416)))</formula>
    </cfRule>
    <cfRule type="containsText" dxfId="1661" priority="3267" operator="containsText" text="Met">
      <formula>NOT(ISERROR(SEARCH("Met",L416)))</formula>
    </cfRule>
  </conditionalFormatting>
  <conditionalFormatting sqref="L418">
    <cfRule type="containsText" dxfId="1660" priority="3264" operator="containsText" text="Not Met">
      <formula>NOT(ISERROR(SEARCH("Not Met",L418)))</formula>
    </cfRule>
    <cfRule type="containsText" dxfId="1659" priority="3265" operator="containsText" text="Met">
      <formula>NOT(ISERROR(SEARCH("Met",L418)))</formula>
    </cfRule>
  </conditionalFormatting>
  <conditionalFormatting sqref="L423:L426">
    <cfRule type="containsText" dxfId="1658" priority="3262" operator="containsText" text="Not Met">
      <formula>NOT(ISERROR(SEARCH("Not Met",L423)))</formula>
    </cfRule>
    <cfRule type="containsText" dxfId="1657" priority="3263" operator="containsText" text="Met">
      <formula>NOT(ISERROR(SEARCH("Met",L423)))</formula>
    </cfRule>
  </conditionalFormatting>
  <conditionalFormatting sqref="L423:L428">
    <cfRule type="containsText" dxfId="1656" priority="3336" operator="containsText" text="Not Met">
      <formula>NOT(ISERROR(SEARCH("Not Met",L423)))</formula>
    </cfRule>
    <cfRule type="containsText" dxfId="1655" priority="3337" operator="containsText" text="Met">
      <formula>NOT(ISERROR(SEARCH("Met",L423)))</formula>
    </cfRule>
  </conditionalFormatting>
  <conditionalFormatting sqref="L430">
    <cfRule type="containsText" dxfId="1654" priority="3334" operator="containsText" text="Not Met">
      <formula>NOT(ISERROR(SEARCH("Not Met",L430)))</formula>
    </cfRule>
    <cfRule type="containsText" dxfId="1653" priority="3335" operator="containsText" text="Met">
      <formula>NOT(ISERROR(SEARCH("Met",L430)))</formula>
    </cfRule>
  </conditionalFormatting>
  <conditionalFormatting sqref="L432">
    <cfRule type="containsText" dxfId="1652" priority="3332" operator="containsText" text="Not Met">
      <formula>NOT(ISERROR(SEARCH("Not Met",L432)))</formula>
    </cfRule>
    <cfRule type="containsText" dxfId="1651" priority="3333" operator="containsText" text="Met">
      <formula>NOT(ISERROR(SEARCH("Met",L432)))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650" priority="3309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649" priority="3308" operator="containsText" text="Not Met">
      <formula>NOT(ISERROR(SEARCH("Not Met",K21)))</formula>
    </cfRule>
  </conditionalFormatting>
  <conditionalFormatting sqref="L33:M33">
    <cfRule type="containsText" dxfId="1648" priority="3304" operator="containsText" text="Not Met">
      <formula>NOT(ISERROR(SEARCH("Not Met",L33)))</formula>
    </cfRule>
    <cfRule type="containsText" dxfId="1647" priority="3305" operator="containsText" text="Met">
      <formula>NOT(ISERROR(SEARCH("Met",L33)))</formula>
    </cfRule>
    <cfRule type="containsText" dxfId="1646" priority="3306" operator="containsText" text="Not Met">
      <formula>NOT(ISERROR(SEARCH("Not Met",L33)))</formula>
    </cfRule>
    <cfRule type="containsText" dxfId="1645" priority="3307" operator="containsText" text="Met">
      <formula>NOT(ISERROR(SEARCH("Met",L33)))</formula>
    </cfRule>
  </conditionalFormatting>
  <conditionalFormatting sqref="L318:M318">
    <cfRule type="containsText" dxfId="1644" priority="3327" operator="containsText" text="Met">
      <formula>NOT(ISERROR(SEARCH("Met",L318)))</formula>
    </cfRule>
  </conditionalFormatting>
  <conditionalFormatting sqref="L358:M358">
    <cfRule type="containsText" dxfId="1643" priority="3339" operator="containsText" text="Met">
      <formula>NOT(ISERROR(SEARCH("Met",L358)))</formula>
    </cfRule>
  </conditionalFormatting>
  <conditionalFormatting sqref="L324:O324">
    <cfRule type="containsText" dxfId="1642" priority="3250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641" priority="2985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640" priority="2986" operator="containsText" text="Met">
      <formula>NOT(ISERROR(SEARCH("Met",L20)))</formula>
    </cfRule>
  </conditionalFormatting>
  <conditionalFormatting sqref="M329:N329 P329:P332">
    <cfRule type="containsText" dxfId="1639" priority="3145" operator="containsText" text="Not Met">
      <formula>NOT(ISERROR(SEARCH("Not Met",M329)))</formula>
    </cfRule>
  </conditionalFormatting>
  <conditionalFormatting sqref="M359:N359">
    <cfRule type="containsText" dxfId="1638" priority="3219" operator="containsText" text="Not Met">
      <formula>NOT(ISERROR(SEARCH("Not Met",M359)))</formula>
    </cfRule>
    <cfRule type="containsText" dxfId="1637" priority="3220" operator="containsText" text="Met">
      <formula>NOT(ISERROR(SEARCH("Met",M359)))</formula>
    </cfRule>
  </conditionalFormatting>
  <conditionalFormatting sqref="M368:N368 P368">
    <cfRule type="containsText" dxfId="1636" priority="3154" operator="containsText" text="Met">
      <formula>NOT(ISERROR(SEARCH("Met",M368)))</formula>
    </cfRule>
  </conditionalFormatting>
  <conditionalFormatting sqref="M456:N457 P456:P457">
    <cfRule type="containsText" dxfId="1635" priority="3208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634" priority="3093" operator="containsText" text="Not Met">
      <formula>NOT(ISERROR(SEARCH("Not Met",M370)))</formula>
    </cfRule>
    <cfRule type="containsText" dxfId="1633" priority="3094" operator="containsText" text="Met">
      <formula>NOT(ISERROR(SEARCH("Met",M370)))</formula>
    </cfRule>
  </conditionalFormatting>
  <conditionalFormatting sqref="M392:O394 M397:O401 M404:N404">
    <cfRule type="containsText" dxfId="1632" priority="3095" operator="containsText" text="Not Met">
      <formula>NOT(ISERROR(SEARCH("Not Met",M392)))</formula>
    </cfRule>
    <cfRule type="containsText" dxfId="1631" priority="3096" operator="containsText" text="Met">
      <formula>NOT(ISERROR(SEARCH("Met",M392)))</formula>
    </cfRule>
  </conditionalFormatting>
  <conditionalFormatting sqref="M367:Q367 M369:Q369">
    <cfRule type="containsText" dxfId="1630" priority="3293" operator="containsText" text="Met">
      <formula>NOT(ISERROR(SEARCH("Met",M367)))</formula>
    </cfRule>
  </conditionalFormatting>
  <conditionalFormatting sqref="M367:Q369">
    <cfRule type="containsText" dxfId="1629" priority="3153" operator="containsText" text="Not Met">
      <formula>NOT(ISERROR(SEARCH("Not Met",M367)))</formula>
    </cfRule>
  </conditionalFormatting>
  <conditionalFormatting sqref="M327:S327">
    <cfRule type="containsText" dxfId="1628" priority="2968" operator="containsText" text="Met">
      <formula>NOT(ISERROR(SEARCH("Met",M327)))</formula>
    </cfRule>
  </conditionalFormatting>
  <conditionalFormatting sqref="N2:N5">
    <cfRule type="containsText" dxfId="1627" priority="3187" operator="containsText" text="Not Met">
      <formula>NOT(ISERROR(SEARCH("Not Met",N2)))</formula>
    </cfRule>
    <cfRule type="containsText" dxfId="1626" priority="3188" operator="containsText" text="Met">
      <formula>NOT(ISERROR(SEARCH("Met",N2)))</formula>
    </cfRule>
  </conditionalFormatting>
  <conditionalFormatting sqref="N5:N19">
    <cfRule type="containsText" dxfId="1625" priority="3189" operator="containsText" text="Not Met">
      <formula>NOT(ISERROR(SEARCH("Not Met",N5)))</formula>
    </cfRule>
    <cfRule type="containsText" dxfId="1624" priority="3190" operator="containsText" text="Met">
      <formula>NOT(ISERROR(SEARCH("Met",N5)))</formula>
    </cfRule>
  </conditionalFormatting>
  <conditionalFormatting sqref="N42:N48">
    <cfRule type="containsText" dxfId="1623" priority="3123" operator="containsText" text="Not Met">
      <formula>NOT(ISERROR(SEARCH("Not Met",N42)))</formula>
    </cfRule>
    <cfRule type="containsText" dxfId="1622" priority="3124" operator="containsText" text="Met">
      <formula>NOT(ISERROR(SEARCH("Met",N42)))</formula>
    </cfRule>
  </conditionalFormatting>
  <conditionalFormatting sqref="N42:N53">
    <cfRule type="containsText" dxfId="1621" priority="3125" operator="containsText" text="Not Met">
      <formula>NOT(ISERROR(SEARCH("Not Met",N42)))</formula>
    </cfRule>
    <cfRule type="containsText" dxfId="1620" priority="3126" operator="containsText" text="Met">
      <formula>NOT(ISERROR(SEARCH("Met",N42)))</formula>
    </cfRule>
  </conditionalFormatting>
  <conditionalFormatting sqref="N51">
    <cfRule type="containsText" dxfId="1619" priority="3181" operator="containsText" text="Not Met">
      <formula>NOT(ISERROR(SEARCH("Not Met",N51)))</formula>
    </cfRule>
    <cfRule type="containsText" dxfId="1618" priority="3182" operator="containsText" text="Met">
      <formula>NOT(ISERROR(SEARCH("Met",N51)))</formula>
    </cfRule>
  </conditionalFormatting>
  <conditionalFormatting sqref="N60:N61">
    <cfRule type="containsText" dxfId="1617" priority="3151" operator="containsText" text="Not Met">
      <formula>NOT(ISERROR(SEARCH("Not Met",N60)))</formula>
    </cfRule>
    <cfRule type="containsText" dxfId="1616" priority="3152" operator="containsText" text="Met">
      <formula>NOT(ISERROR(SEARCH("Met",N60)))</formula>
    </cfRule>
  </conditionalFormatting>
  <conditionalFormatting sqref="N70 P70">
    <cfRule type="containsText" dxfId="1615" priority="3147" operator="containsText" text="Not Met">
      <formula>NOT(ISERROR(SEARCH("Not Met",N70)))</formula>
    </cfRule>
    <cfRule type="containsText" dxfId="1614" priority="3148" operator="containsText" text="Met">
      <formula>NOT(ISERROR(SEARCH("Met",N70)))</formula>
    </cfRule>
  </conditionalFormatting>
  <conditionalFormatting sqref="N86:N87">
    <cfRule type="containsText" dxfId="1613" priority="3171" operator="containsText" text="Not met">
      <formula>NOT(ISERROR(SEARCH("Not met",N86)))</formula>
    </cfRule>
  </conditionalFormatting>
  <conditionalFormatting sqref="N89">
    <cfRule type="containsText" dxfId="1612" priority="3173" operator="containsText" text="Not met">
      <formula>NOT(ISERROR(SEARCH("Not met",N89)))</formula>
    </cfRule>
  </conditionalFormatting>
  <conditionalFormatting sqref="N90:N120 P119:P120">
    <cfRule type="containsText" dxfId="1611" priority="3129" operator="containsText" text="Not Met">
      <formula>NOT(ISERROR(SEARCH("Not Met",N90)))</formula>
    </cfRule>
    <cfRule type="containsText" dxfId="1610" priority="3130" operator="containsText" text="Met">
      <formula>NOT(ISERROR(SEARCH("Met",N90)))</formula>
    </cfRule>
  </conditionalFormatting>
  <conditionalFormatting sqref="N111:N118">
    <cfRule type="containsText" dxfId="1609" priority="3217" operator="containsText" text="Not Met">
      <formula>NOT(ISERROR(SEARCH("Not Met",N111)))</formula>
    </cfRule>
    <cfRule type="containsText" dxfId="1608" priority="3218" operator="containsText" text="Met">
      <formula>NOT(ISERROR(SEARCH("Met",N111)))</formula>
    </cfRule>
  </conditionalFormatting>
  <conditionalFormatting sqref="N119:N127 P119:P127">
    <cfRule type="containsText" dxfId="1607" priority="3127" operator="containsText" text="Not Met">
      <formula>NOT(ISERROR(SEARCH("Not Met",N119)))</formula>
    </cfRule>
    <cfRule type="containsText" dxfId="1606" priority="3128" operator="containsText" text="Met">
      <formula>NOT(ISERROR(SEARCH("Met",N119)))</formula>
    </cfRule>
  </conditionalFormatting>
  <conditionalFormatting sqref="N132:N138">
    <cfRule type="containsText" dxfId="1605" priority="3195" operator="containsText" text="Not Met">
      <formula>NOT(ISERROR(SEARCH("Not Met",N132)))</formula>
    </cfRule>
  </conditionalFormatting>
  <conditionalFormatting sqref="N132:N140">
    <cfRule type="containsText" dxfId="1604" priority="3196" operator="containsText" text="Met">
      <formula>NOT(ISERROR(SEARCH("Met",N132)))</formula>
    </cfRule>
  </conditionalFormatting>
  <conditionalFormatting sqref="N139:N140">
    <cfRule type="containsText" dxfId="1603" priority="3204" operator="containsText" text="Not Met">
      <formula>NOT(ISERROR(SEARCH("Not Met",N139)))</formula>
    </cfRule>
  </conditionalFormatting>
  <conditionalFormatting sqref="N142:N160 P142:P160">
    <cfRule type="containsText" dxfId="1602" priority="3139" operator="containsText" text="Not Met">
      <formula>NOT(ISERROR(SEARCH("Not Met",N142)))</formula>
    </cfRule>
    <cfRule type="containsText" dxfId="1601" priority="3140" operator="containsText" text="Met">
      <formula>NOT(ISERROR(SEARCH("Met",N142)))</formula>
    </cfRule>
  </conditionalFormatting>
  <conditionalFormatting sqref="N161:N168">
    <cfRule type="containsText" dxfId="1600" priority="3132" operator="containsText" text="Met">
      <formula>NOT(ISERROR(SEARCH("Met",N161)))</formula>
    </cfRule>
  </conditionalFormatting>
  <conditionalFormatting sqref="N169:N184 P172:P184">
    <cfRule type="containsText" dxfId="1599" priority="3169" operator="containsText" text="Not Met">
      <formula>NOT(ISERROR(SEARCH("Not Met",N169)))</formula>
    </cfRule>
    <cfRule type="containsText" dxfId="1598" priority="3170" operator="containsText" text="Met">
      <formula>NOT(ISERROR(SEARCH("Met",N169)))</formula>
    </cfRule>
  </conditionalFormatting>
  <conditionalFormatting sqref="N187">
    <cfRule type="containsText" dxfId="1597" priority="3199" operator="containsText" text="Not Met">
      <formula>NOT(ISERROR(SEARCH("Not Met",N187)))</formula>
    </cfRule>
    <cfRule type="containsText" dxfId="1596" priority="3200" operator="containsText" text="Met">
      <formula>NOT(ISERROR(SEARCH("Met",N187)))</formula>
    </cfRule>
  </conditionalFormatting>
  <conditionalFormatting sqref="N190:N205 P190:P205">
    <cfRule type="containsText" dxfId="1595" priority="3191" operator="containsText" text="Not Met">
      <formula>NOT(ISERROR(SEARCH("Not Met",N190)))</formula>
    </cfRule>
    <cfRule type="containsText" dxfId="1594" priority="3192" operator="containsText" text="Met">
      <formula>NOT(ISERROR(SEARCH("Met",N190)))</formula>
    </cfRule>
  </conditionalFormatting>
  <conditionalFormatting sqref="N226:N242">
    <cfRule type="containsText" dxfId="1593" priority="3135" operator="containsText" text="Not Met">
      <formula>NOT(ISERROR(SEARCH("Not Met",N226)))</formula>
    </cfRule>
    <cfRule type="containsText" dxfId="1592" priority="3136" operator="containsText" text="Met">
      <formula>NOT(ISERROR(SEARCH("Met",N226)))</formula>
    </cfRule>
  </conditionalFormatting>
  <conditionalFormatting sqref="N257:N276">
    <cfRule type="containsText" dxfId="1591" priority="3105" operator="containsText" text="Not Met">
      <formula>NOT(ISERROR(SEARCH("Not Met",N257)))</formula>
    </cfRule>
    <cfRule type="containsText" dxfId="1590" priority="3106" operator="containsText" text="Met">
      <formula>NOT(ISERROR(SEARCH("Met",N257)))</formula>
    </cfRule>
  </conditionalFormatting>
  <conditionalFormatting sqref="N273:N278 P257:P300">
    <cfRule type="containsText" dxfId="1589" priority="3103" operator="containsText" text="Not Met">
      <formula>NOT(ISERROR(SEARCH("Not Met",N257)))</formula>
    </cfRule>
  </conditionalFormatting>
  <conditionalFormatting sqref="N275:N278">
    <cfRule type="containsText" dxfId="1588" priority="3107" operator="containsText" text="Not Met">
      <formula>NOT(ISERROR(SEARCH("Not Met",N275)))</formula>
    </cfRule>
    <cfRule type="containsText" dxfId="1587" priority="3108" operator="containsText" text="Met">
      <formula>NOT(ISERROR(SEARCH("Met",N275)))</formula>
    </cfRule>
  </conditionalFormatting>
  <conditionalFormatting sqref="N278:N300">
    <cfRule type="containsText" dxfId="1586" priority="3101" operator="containsText" text="Not Met">
      <formula>NOT(ISERROR(SEARCH("Not Met",N278)))</formula>
    </cfRule>
    <cfRule type="containsText" dxfId="1585" priority="3102" operator="containsText" text="Met">
      <formula>NOT(ISERROR(SEARCH("Met",N278)))</formula>
    </cfRule>
  </conditionalFormatting>
  <conditionalFormatting sqref="N279">
    <cfRule type="containsText" dxfId="1584" priority="3097" operator="containsText" text="Not Met">
      <formula>NOT(ISERROR(SEARCH("Not Met",N279)))</formula>
    </cfRule>
    <cfRule type="containsText" dxfId="1583" priority="3098" operator="containsText" text="Met">
      <formula>NOT(ISERROR(SEARCH("Met",N279)))</formula>
    </cfRule>
    <cfRule type="containsText" dxfId="1582" priority="3099" operator="containsText" text="Not Met">
      <formula>NOT(ISERROR(SEARCH("Not Met",N279)))</formula>
    </cfRule>
    <cfRule type="containsText" dxfId="1581" priority="3100" operator="containsText" text="Met">
      <formula>NOT(ISERROR(SEARCH("Met",N279)))</formula>
    </cfRule>
  </conditionalFormatting>
  <conditionalFormatting sqref="N302:N316">
    <cfRule type="containsText" dxfId="1580" priority="3112" operator="containsText" text="Not Met">
      <formula>NOT(ISERROR(SEARCH("Not Met",N302)))</formula>
    </cfRule>
    <cfRule type="containsText" dxfId="1579" priority="3113" operator="containsText" text="Met">
      <formula>NOT(ISERROR(SEARCH("Met",N302)))</formula>
    </cfRule>
  </conditionalFormatting>
  <conditionalFormatting sqref="N318 P318">
    <cfRule type="containsText" dxfId="1578" priority="3237" operator="containsText" text="Not Met">
      <formula>NOT(ISERROR(SEARCH("Not Met",N318)))</formula>
    </cfRule>
  </conditionalFormatting>
  <conditionalFormatting sqref="N318 P318:Q318">
    <cfRule type="containsText" dxfId="1577" priority="3238" operator="containsText" text="Met">
      <formula>NOT(ISERROR(SEARCH("Met",N318)))</formula>
    </cfRule>
  </conditionalFormatting>
  <conditionalFormatting sqref="N318:N323 O323:Q323">
    <cfRule type="containsText" dxfId="1576" priority="3235" operator="containsText" text="Not Met">
      <formula>NOT(ISERROR(SEARCH("Not Met",N318)))</formula>
    </cfRule>
    <cfRule type="containsText" dxfId="1575" priority="3236" operator="containsText" text="Met">
      <formula>NOT(ISERROR(SEARCH("Met",N318)))</formula>
    </cfRule>
  </conditionalFormatting>
  <conditionalFormatting sqref="N329 P329">
    <cfRule type="containsText" dxfId="1574" priority="3144" operator="containsText" text="Met">
      <formula>NOT(ISERROR(SEARCH("Met",N329)))</formula>
    </cfRule>
  </conditionalFormatting>
  <conditionalFormatting sqref="N329:N332 P329:P332 N334:N336 P334:P336">
    <cfRule type="containsText" dxfId="1573" priority="3146" operator="containsText" text="Met">
      <formula>NOT(ISERROR(SEARCH("Met",N329)))</formula>
    </cfRule>
  </conditionalFormatting>
  <conditionalFormatting sqref="N329:N332">
    <cfRule type="containsText" dxfId="1572" priority="3143" operator="containsText" text="Not Met">
      <formula>NOT(ISERROR(SEARCH("Not Met",N329)))</formula>
    </cfRule>
  </conditionalFormatting>
  <conditionalFormatting sqref="N334:N336 P334:P336">
    <cfRule type="containsText" dxfId="1571" priority="3142" operator="containsText" text="Not Met">
      <formula>NOT(ISERROR(SEARCH("Not Met",N334)))</formula>
    </cfRule>
  </conditionalFormatting>
  <conditionalFormatting sqref="N344:N351 O344:P366">
    <cfRule type="containsText" dxfId="1570" priority="3212" operator="containsText" text="Not Met">
      <formula>NOT(ISERROR(SEARCH("Not Met",N344)))</formula>
    </cfRule>
    <cfRule type="containsText" dxfId="1569" priority="3213" operator="containsText" text="Met">
      <formula>NOT(ISERROR(SEARCH("Met",N344)))</formula>
    </cfRule>
  </conditionalFormatting>
  <conditionalFormatting sqref="N344:N351 P344:P351">
    <cfRule type="containsText" dxfId="1568" priority="3211" operator="containsText" text="Met">
      <formula>NOT(ISERROR(SEARCH("Met",N344)))</formula>
    </cfRule>
  </conditionalFormatting>
  <conditionalFormatting sqref="N344:N351">
    <cfRule type="containsText" dxfId="1567" priority="3210" operator="containsText" text="Not Met">
      <formula>NOT(ISERROR(SEARCH("Not Met",N344)))</formula>
    </cfRule>
  </conditionalFormatting>
  <conditionalFormatting sqref="N352:N358 P352:P358">
    <cfRule type="containsText" dxfId="1566" priority="3223" operator="containsText" text="Not Met">
      <formula>NOT(ISERROR(SEARCH("Not Met",N352)))</formula>
    </cfRule>
    <cfRule type="containsText" dxfId="1565" priority="3224" operator="containsText" text="Met">
      <formula>NOT(ISERROR(SEARCH("Met",N352)))</formula>
    </cfRule>
  </conditionalFormatting>
  <conditionalFormatting sqref="N352:N359">
    <cfRule type="containsText" dxfId="1564" priority="3221" operator="containsText" text="Not Met">
      <formula>NOT(ISERROR(SEARCH("Not Met",N352)))</formula>
    </cfRule>
    <cfRule type="containsText" dxfId="1563" priority="3222" operator="containsText" text="Met">
      <formula>NOT(ISERROR(SEARCH("Met",N352)))</formula>
    </cfRule>
  </conditionalFormatting>
  <conditionalFormatting sqref="N360">
    <cfRule type="containsText" dxfId="1562" priority="3163" operator="containsText" text="Not Met">
      <formula>NOT(ISERROR(SEARCH("Not Met",N360)))</formula>
    </cfRule>
    <cfRule type="containsText" dxfId="1561" priority="3164" operator="containsText" text="Met">
      <formula>NOT(ISERROR(SEARCH("Met",N360)))</formula>
    </cfRule>
    <cfRule type="containsText" dxfId="1560" priority="3165" operator="containsText" text="Not Met">
      <formula>NOT(ISERROR(SEARCH("Not Met",N360)))</formula>
    </cfRule>
    <cfRule type="containsText" dxfId="1559" priority="3166" operator="containsText" text="Met">
      <formula>NOT(ISERROR(SEARCH("Met",N360)))</formula>
    </cfRule>
  </conditionalFormatting>
  <conditionalFormatting sqref="N360:N366 P360:P366">
    <cfRule type="containsText" dxfId="1558" priority="3155" operator="containsText" text="Not Met">
      <formula>NOT(ISERROR(SEARCH("Not Met",N360)))</formula>
    </cfRule>
    <cfRule type="containsText" dxfId="1557" priority="3156" operator="containsText" text="Met">
      <formula>NOT(ISERROR(SEARCH("Met",N360)))</formula>
    </cfRule>
    <cfRule type="containsText" dxfId="1556" priority="3157" operator="containsText" text="Not Met">
      <formula>NOT(ISERROR(SEARCH("Not Met",N360)))</formula>
    </cfRule>
    <cfRule type="containsText" dxfId="1555" priority="3158" operator="containsText" text="Met">
      <formula>NOT(ISERROR(SEARCH("Met",N360)))</formula>
    </cfRule>
  </conditionalFormatting>
  <conditionalFormatting sqref="N430">
    <cfRule type="containsText" dxfId="1554" priority="3227" operator="containsText" text="Not Met">
      <formula>NOT(ISERROR(SEARCH("Not Met",N430)))</formula>
    </cfRule>
    <cfRule type="containsText" dxfId="1553" priority="3228" operator="containsText" text="Met">
      <formula>NOT(ISERROR(SEARCH("Met",N430)))</formula>
    </cfRule>
  </conditionalFormatting>
  <conditionalFormatting sqref="N456:N457">
    <cfRule type="containsText" dxfId="1552" priority="3207" operator="containsText" text="Met">
      <formula>NOT(ISERROR(SEARCH("Met",N456)))</formula>
    </cfRule>
  </conditionalFormatting>
  <conditionalFormatting sqref="N323:O323">
    <cfRule type="containsText" dxfId="1551" priority="3229" operator="containsText" text="Not Met">
      <formula>NOT(ISERROR(SEARCH("Not Met",N323)))</formula>
    </cfRule>
    <cfRule type="containsText" dxfId="1550" priority="3230" operator="containsText" text="Met">
      <formula>NOT(ISERROR(SEARCH("Met",N323)))</formula>
    </cfRule>
  </conditionalFormatting>
  <conditionalFormatting sqref="N328:O328 Q328">
    <cfRule type="containsText" dxfId="1549" priority="3244" operator="containsText" text="Met">
      <formula>NOT(ISERROR(SEARCH("Met",N328)))</formula>
    </cfRule>
  </conditionalFormatting>
  <conditionalFormatting sqref="N328:O328 Q328:Q329">
    <cfRule type="containsText" dxfId="1548" priority="3245" operator="containsText" text="Not Met">
      <formula>NOT(ISERROR(SEARCH("Not Met",N328)))</formula>
    </cfRule>
  </conditionalFormatting>
  <conditionalFormatting sqref="N450:O457 P456:P457">
    <cfRule type="containsText" dxfId="1547" priority="3209" operator="containsText" text="Met">
      <formula>NOT(ISERROR(SEARCH("Met",N450)))</formula>
    </cfRule>
  </conditionalFormatting>
  <conditionalFormatting sqref="N325:Q326">
    <cfRule type="containsText" dxfId="1546" priority="3239" operator="containsText" text="Not Met">
      <formula>NOT(ISERROR(SEARCH("Not Met",N325)))</formula>
    </cfRule>
    <cfRule type="containsText" dxfId="1545" priority="3240" operator="containsText" text="Met">
      <formula>NOT(ISERROR(SEARCH("Met",N325)))</formula>
    </cfRule>
    <cfRule type="containsText" dxfId="1544" priority="3241" operator="containsText" text="Not Met">
      <formula>NOT(ISERROR(SEARCH("Not Met",N325)))</formula>
    </cfRule>
    <cfRule type="containsText" dxfId="1543" priority="3242" operator="containsText" text="Met">
      <formula>NOT(ISERROR(SEARCH("Met",N325)))</formula>
    </cfRule>
  </conditionalFormatting>
  <conditionalFormatting sqref="N328:Q328">
    <cfRule type="containsText" dxfId="1542" priority="3233" operator="containsText" text="Not Met">
      <formula>NOT(ISERROR(SEARCH("Not Met",N328)))</formula>
    </cfRule>
    <cfRule type="containsText" dxfId="1541" priority="3234" operator="containsText" text="Met">
      <formula>NOT(ISERROR(SEARCH("Met",N328)))</formula>
    </cfRule>
    <cfRule type="containsText" dxfId="1540" priority="3243" operator="containsText" text="Not Met">
      <formula>NOT(ISERROR(SEARCH("Not Met",N328)))</formula>
    </cfRule>
    <cfRule type="containsText" dxfId="1539" priority="3246" operator="containsText" text="Met">
      <formula>NOT(ISERROR(SEARCH("Met",N328)))</formula>
    </cfRule>
  </conditionalFormatting>
  <conditionalFormatting sqref="N450:Q457">
    <cfRule type="containsText" dxfId="1538" priority="3205" operator="containsText" text="Not Met">
      <formula>NOT(ISERROR(SEARCH("Not Met",N450)))</formula>
    </cfRule>
  </conditionalFormatting>
  <conditionalFormatting sqref="O309:O316 O318:O323 Q323:Q324">
    <cfRule type="containsText" dxfId="1537" priority="3248" operator="containsText" text="Met">
      <formula>NOT(ISERROR(SEARCH("Met",O309)))</formula>
    </cfRule>
  </conditionalFormatting>
  <conditionalFormatting sqref="O318:O323 Q323:Q324 O309:O316">
    <cfRule type="containsText" dxfId="1536" priority="3247" operator="containsText" text="Not Met">
      <formula>NOT(ISERROR(SEARCH("Not Met",O309)))</formula>
    </cfRule>
  </conditionalFormatting>
  <conditionalFormatting sqref="P2:P5">
    <cfRule type="containsText" dxfId="1535" priority="3183" operator="containsText" text="Not Met">
      <formula>NOT(ISERROR(SEARCH("Not Met",P2)))</formula>
    </cfRule>
    <cfRule type="containsText" dxfId="1534" priority="3184" operator="containsText" text="Met">
      <formula>NOT(ISERROR(SEARCH("Met",P2)))</formula>
    </cfRule>
  </conditionalFormatting>
  <conditionalFormatting sqref="P5:P19">
    <cfRule type="containsText" dxfId="1533" priority="3185" operator="containsText" text="Not Met">
      <formula>NOT(ISERROR(SEARCH("Not Met",P5)))</formula>
    </cfRule>
    <cfRule type="containsText" dxfId="1532" priority="3186" operator="containsText" text="Met">
      <formula>NOT(ISERROR(SEARCH("Met",P5)))</formula>
    </cfRule>
  </conditionalFormatting>
  <conditionalFormatting sqref="P21:P53">
    <cfRule type="containsText" dxfId="1531" priority="3121" operator="containsText" text="Not Met">
      <formula>NOT(ISERROR(SEARCH("Not Met",P21)))</formula>
    </cfRule>
    <cfRule type="containsText" dxfId="1530" priority="3122" operator="containsText" text="Met">
      <formula>NOT(ISERROR(SEARCH("Met",P21)))</formula>
    </cfRule>
  </conditionalFormatting>
  <conditionalFormatting sqref="P42:P48">
    <cfRule type="containsText" dxfId="1529" priority="3117" operator="containsText" text="Not Met">
      <formula>NOT(ISERROR(SEARCH("Not Met",P42)))</formula>
    </cfRule>
    <cfRule type="containsText" dxfId="1528" priority="3118" operator="containsText" text="Met">
      <formula>NOT(ISERROR(SEARCH("Met",P42)))</formula>
    </cfRule>
    <cfRule type="containsText" dxfId="1527" priority="3119" operator="containsText" text="Not Met">
      <formula>NOT(ISERROR(SEARCH("Not Met",P42)))</formula>
    </cfRule>
    <cfRule type="containsText" dxfId="1526" priority="3120" operator="containsText" text="Met">
      <formula>NOT(ISERROR(SEARCH("Met",P42)))</formula>
    </cfRule>
  </conditionalFormatting>
  <conditionalFormatting sqref="P51">
    <cfRule type="containsText" dxfId="1525" priority="3179" operator="containsText" text="Not Met">
      <formula>NOT(ISERROR(SEARCH("Not Met",P51)))</formula>
    </cfRule>
    <cfRule type="containsText" dxfId="1524" priority="3180" operator="containsText" text="Met">
      <formula>NOT(ISERROR(SEARCH("Met",P51)))</formula>
    </cfRule>
  </conditionalFormatting>
  <conditionalFormatting sqref="P60:P68">
    <cfRule type="containsText" dxfId="1523" priority="3149" operator="containsText" text="Not Met">
      <formula>NOT(ISERROR(SEARCH("Not Met",P60)))</formula>
    </cfRule>
    <cfRule type="containsText" dxfId="1522" priority="3150" operator="containsText" text="Met">
      <formula>NOT(ISERROR(SEARCH("Met",P60)))</formula>
    </cfRule>
  </conditionalFormatting>
  <conditionalFormatting sqref="P86:P87">
    <cfRule type="containsText" dxfId="1521" priority="3174" operator="containsText" text="Not met">
      <formula>NOT(ISERROR(SEARCH("Not met",P86)))</formula>
    </cfRule>
  </conditionalFormatting>
  <conditionalFormatting sqref="P89">
    <cfRule type="containsText" dxfId="1520" priority="3172" operator="containsText" text="Not met">
      <formula>NOT(ISERROR(SEARCH("Not met",P89)))</formula>
    </cfRule>
  </conditionalFormatting>
  <conditionalFormatting sqref="P90:P110">
    <cfRule type="containsText" dxfId="1519" priority="3137" operator="containsText" text="Not Met">
      <formula>NOT(ISERROR(SEARCH("Not Met",P90)))</formula>
    </cfRule>
  </conditionalFormatting>
  <conditionalFormatting sqref="P90:P118">
    <cfRule type="containsText" dxfId="1518" priority="3138" operator="containsText" text="Met">
      <formula>NOT(ISERROR(SEARCH("Met",P90)))</formula>
    </cfRule>
  </conditionalFormatting>
  <conditionalFormatting sqref="P111:P118">
    <cfRule type="containsText" dxfId="1517" priority="3215" operator="containsText" text="Not Met">
      <formula>NOT(ISERROR(SEARCH("Not Met",P111)))</formula>
    </cfRule>
  </conditionalFormatting>
  <conditionalFormatting sqref="P132:P137">
    <cfRule type="containsText" dxfId="1516" priority="3193" operator="containsText" text="Not Met">
      <formula>NOT(ISERROR(SEARCH("Not Met",P132)))</formula>
    </cfRule>
    <cfRule type="containsText" dxfId="1515" priority="3194" operator="containsText" text="Met">
      <formula>NOT(ISERROR(SEARCH("Met",P132)))</formula>
    </cfRule>
  </conditionalFormatting>
  <conditionalFormatting sqref="P138">
    <cfRule type="containsText" dxfId="1514" priority="3203" operator="containsText" text="Met">
      <formula>NOT(ISERROR(SEARCH("Met",P138)))</formula>
    </cfRule>
  </conditionalFormatting>
  <conditionalFormatting sqref="P138:P140">
    <cfRule type="containsText" dxfId="1513" priority="3202" operator="containsText" text="Not Met">
      <formula>NOT(ISERROR(SEARCH("Not Met",P138)))</formula>
    </cfRule>
  </conditionalFormatting>
  <conditionalFormatting sqref="P139:P140">
    <cfRule type="containsText" dxfId="1512" priority="3201" operator="containsText" text="Met">
      <formula>NOT(ISERROR(SEARCH("Met",P139)))</formula>
    </cfRule>
  </conditionalFormatting>
  <conditionalFormatting sqref="P161:P168">
    <cfRule type="containsText" dxfId="1511" priority="3131" operator="containsText" text="Met">
      <formula>NOT(ISERROR(SEARCH("Met",P161)))</formula>
    </cfRule>
  </conditionalFormatting>
  <conditionalFormatting sqref="P187">
    <cfRule type="containsText" dxfId="1510" priority="3197" operator="containsText" text="Not Met">
      <formula>NOT(ISERROR(SEARCH("Not Met",P187)))</formula>
    </cfRule>
    <cfRule type="containsText" dxfId="1509" priority="3198" operator="containsText" text="Met">
      <formula>NOT(ISERROR(SEARCH("Met",P187)))</formula>
    </cfRule>
  </conditionalFormatting>
  <conditionalFormatting sqref="P226:P242">
    <cfRule type="containsText" dxfId="1508" priority="3133" operator="containsText" text="Not Met">
      <formula>NOT(ISERROR(SEARCH("Not Met",P226)))</formula>
    </cfRule>
    <cfRule type="containsText" dxfId="1507" priority="3134" operator="containsText" text="Met">
      <formula>NOT(ISERROR(SEARCH("Met",P226)))</formula>
    </cfRule>
  </conditionalFormatting>
  <conditionalFormatting sqref="P257:P300 N273:N278">
    <cfRule type="containsText" dxfId="1506" priority="3104" operator="containsText" text="Met">
      <formula>NOT(ISERROR(SEARCH("Met",N257)))</formula>
    </cfRule>
  </conditionalFormatting>
  <conditionalFormatting sqref="P302:P313">
    <cfRule type="containsText" dxfId="1505" priority="3110" operator="containsText" text="Not Met">
      <formula>NOT(ISERROR(SEARCH("Not Met",P302)))</formula>
    </cfRule>
  </conditionalFormatting>
  <conditionalFormatting sqref="P302:P316 P318:P326">
    <cfRule type="containsText" dxfId="1504" priority="3111" operator="containsText" text="Met">
      <formula>NOT(ISERROR(SEARCH("Met",P302)))</formula>
    </cfRule>
  </conditionalFormatting>
  <conditionalFormatting sqref="P314">
    <cfRule type="containsText" dxfId="1503" priority="3114" operator="containsText" text="Not Met">
      <formula>NOT(ISERROR(SEARCH("Not Met",P314)))</formula>
    </cfRule>
  </conditionalFormatting>
  <conditionalFormatting sqref="P315:P316 P318:P326">
    <cfRule type="containsText" dxfId="1502" priority="3109" operator="containsText" text="Not Met">
      <formula>NOT(ISERROR(SEARCH("Not Met",P315)))</formula>
    </cfRule>
  </conditionalFormatting>
  <conditionalFormatting sqref="P329">
    <cfRule type="containsText" dxfId="1501" priority="3141" operator="containsText" text="Not Met">
      <formula>NOT(ISERROR(SEARCH("Not Met",P329)))</formula>
    </cfRule>
  </conditionalFormatting>
  <conditionalFormatting sqref="P360">
    <cfRule type="containsText" dxfId="1500" priority="3159" operator="containsText" text="Not Met">
      <formula>NOT(ISERROR(SEARCH("Not Met",P360)))</formula>
    </cfRule>
    <cfRule type="containsText" dxfId="1499" priority="3160" operator="containsText" text="Met">
      <formula>NOT(ISERROR(SEARCH("Met",P360)))</formula>
    </cfRule>
    <cfRule type="containsText" dxfId="1498" priority="3161" operator="containsText" text="Not Met">
      <formula>NOT(ISERROR(SEARCH("Not Met",P360)))</formula>
    </cfRule>
    <cfRule type="containsText" dxfId="1497" priority="3162" operator="containsText" text="Met">
      <formula>NOT(ISERROR(SEARCH("Met",P360)))</formula>
    </cfRule>
  </conditionalFormatting>
  <conditionalFormatting sqref="P370:P391">
    <cfRule type="containsText" dxfId="1496" priority="3089" operator="containsText" text="Not Met">
      <formula>NOT(ISERROR(SEARCH("Not Met",P370)))</formula>
    </cfRule>
    <cfRule type="containsText" dxfId="1495" priority="3090" operator="containsText" text="Met">
      <formula>NOT(ISERROR(SEARCH("Met",P370)))</formula>
    </cfRule>
  </conditionalFormatting>
  <conditionalFormatting sqref="P395:P396 P403 P410 M417:P417">
    <cfRule type="containsText" dxfId="1494" priority="3091" operator="containsText" text="Not Met">
      <formula>NOT(ISERROR(SEARCH("Not Met",M395)))</formula>
    </cfRule>
    <cfRule type="containsText" dxfId="1493" priority="3092" operator="containsText" text="Met">
      <formula>NOT(ISERROR(SEARCH("Met",M395)))</formula>
    </cfRule>
  </conditionalFormatting>
  <conditionalFormatting sqref="P430">
    <cfRule type="containsText" dxfId="1492" priority="3225" operator="containsText" text="Not Met">
      <formula>NOT(ISERROR(SEARCH("Not Met",P430)))</formula>
    </cfRule>
    <cfRule type="containsText" dxfId="1491" priority="3226" operator="containsText" text="Met">
      <formula>NOT(ISERROR(SEARCH("Met",P430)))</formula>
    </cfRule>
  </conditionalFormatting>
  <conditionalFormatting sqref="P111:Q118">
    <cfRule type="containsText" dxfId="1490" priority="3216" operator="containsText" text="Met">
      <formula>NOT(ISERROR(SEARCH("Met",P111)))</formula>
    </cfRule>
  </conditionalFormatting>
  <conditionalFormatting sqref="P161:Q171">
    <cfRule type="containsText" dxfId="1489" priority="3177" operator="containsText" text="Not Met">
      <formula>NOT(ISERROR(SEARCH("Not Met",P161)))</formula>
    </cfRule>
  </conditionalFormatting>
  <conditionalFormatting sqref="P169:Q171">
    <cfRule type="containsText" dxfId="1488" priority="3178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1487" priority="3175" operator="containsText" text="Not Met">
      <formula>NOT(ISERROR(SEARCH("Not Met",K72)))</formula>
    </cfRule>
  </conditionalFormatting>
  <conditionalFormatting sqref="P450:Q457">
    <cfRule type="containsText" dxfId="1486" priority="3206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1485" priority="3176" operator="containsText" text="Met">
      <formula>NOT(ISERROR(SEARCH("Met",P72)))</formula>
    </cfRule>
  </conditionalFormatting>
  <conditionalFormatting sqref="R2:R5 R7:R19 R70 R149:R160 R206:R242 R337:R343 R426 R441:R449">
    <cfRule type="containsText" dxfId="1484" priority="3018" operator="containsText" text="Not Met">
      <formula>NOT(ISERROR(SEARCH("Not Met",R2)))</formula>
    </cfRule>
    <cfRule type="containsText" dxfId="1483" priority="3019" operator="containsText" text="Met">
      <formula>NOT(ISERROR(SEARCH("Met",R2)))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1482" priority="3021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1481" priority="3020" operator="containsText" text="Not Met">
      <formula>NOT(ISERROR(SEARCH("Not Met",N5)))</formula>
    </cfRule>
  </conditionalFormatting>
  <conditionalFormatting sqref="R42:R53">
    <cfRule type="containsText" dxfId="1480" priority="3012" operator="containsText" text="Not Met">
      <formula>NOT(ISERROR(SEARCH("Not Met",R42)))</formula>
    </cfRule>
    <cfRule type="containsText" dxfId="1479" priority="3013" operator="containsText" text="Met">
      <formula>NOT(ISERROR(SEARCH("Met",R42)))</formula>
    </cfRule>
  </conditionalFormatting>
  <conditionalFormatting sqref="R77">
    <cfRule type="containsText" dxfId="1478" priority="2989" operator="containsText" text="Not Met">
      <formula>NOT(ISERROR(SEARCH("Not Met",R77)))</formula>
    </cfRule>
    <cfRule type="containsText" dxfId="1477" priority="2990" operator="containsText" text="Met">
      <formula>NOT(ISERROR(SEARCH("Met",R77)))</formula>
    </cfRule>
    <cfRule type="containsText" dxfId="1476" priority="2991" operator="containsText" text="Not Met">
      <formula>NOT(ISERROR(SEARCH("Not Met",R77)))</formula>
    </cfRule>
    <cfRule type="containsText" dxfId="1475" priority="2992" operator="containsText" text="Met">
      <formula>NOT(ISERROR(SEARCH("Met",R77)))</formula>
    </cfRule>
  </conditionalFormatting>
  <conditionalFormatting sqref="R78:R88">
    <cfRule type="containsText" dxfId="1474" priority="3008" operator="containsText" text="Not met">
      <formula>NOT(ISERROR(SEARCH("Not met",R78)))</formula>
    </cfRule>
  </conditionalFormatting>
  <conditionalFormatting sqref="R90:R110">
    <cfRule type="containsText" dxfId="1473" priority="2962" operator="containsText" text="Not Met">
      <formula>NOT(ISERROR(SEARCH("Not Met",R90)))</formula>
    </cfRule>
    <cfRule type="containsText" dxfId="1472" priority="2963" operator="containsText" text="Met">
      <formula>NOT(ISERROR(SEARCH("Met",R90)))</formula>
    </cfRule>
  </conditionalFormatting>
  <conditionalFormatting sqref="R119:R121 R123:R127">
    <cfRule type="containsText" dxfId="1471" priority="3029" operator="containsText" text="Met">
      <formula>NOT(ISERROR(SEARCH("Met",R119)))</formula>
    </cfRule>
  </conditionalFormatting>
  <conditionalFormatting sqref="R119:R121">
    <cfRule type="containsText" dxfId="1470" priority="3024" operator="containsText" text="Not Met">
      <formula>NOT(ISERROR(SEARCH("Not Met",R119)))</formula>
    </cfRule>
    <cfRule type="containsText" dxfId="1469" priority="3025" operator="containsText" text="Met">
      <formula>NOT(ISERROR(SEARCH("Met",R119)))</formula>
    </cfRule>
  </conditionalFormatting>
  <conditionalFormatting sqref="R123">
    <cfRule type="containsText" dxfId="1468" priority="3026" operator="containsText" text="Not Met">
      <formula>NOT(ISERROR(SEARCH("Not Met",R123)))</formula>
    </cfRule>
    <cfRule type="containsText" dxfId="1467" priority="3027" operator="containsText" text="Met">
      <formula>NOT(ISERROR(SEARCH("Met",R123)))</formula>
    </cfRule>
  </conditionalFormatting>
  <conditionalFormatting sqref="R123:R126">
    <cfRule type="containsText" dxfId="1466" priority="3022" operator="containsText" text="Not Met">
      <formula>NOT(ISERROR(SEARCH("Not Met",R123)))</formula>
    </cfRule>
    <cfRule type="containsText" dxfId="1465" priority="3023" operator="containsText" text="Met">
      <formula>NOT(ISERROR(SEARCH("Met",R123)))</formula>
    </cfRule>
  </conditionalFormatting>
  <conditionalFormatting sqref="R123:R127 R119:R121">
    <cfRule type="containsText" dxfId="1464" priority="3028" operator="containsText" text="Not Met">
      <formula>NOT(ISERROR(SEARCH("Not Met",R119)))</formula>
    </cfRule>
  </conditionalFormatting>
  <conditionalFormatting sqref="R132:R138">
    <cfRule type="containsText" dxfId="1463" priority="3030" operator="containsText" text="Not Met">
      <formula>NOT(ISERROR(SEARCH("Not Met",R132)))</formula>
    </cfRule>
  </conditionalFormatting>
  <conditionalFormatting sqref="R132:R140">
    <cfRule type="containsText" dxfId="1462" priority="3031" operator="containsText" text="Met">
      <formula>NOT(ISERROR(SEARCH("Met",R132)))</formula>
    </cfRule>
  </conditionalFormatting>
  <conditionalFormatting sqref="R139:R140">
    <cfRule type="containsText" dxfId="1461" priority="3042" operator="containsText" text="Not Met">
      <formula>NOT(ISERROR(SEARCH("Not Met",R139)))</formula>
    </cfRule>
  </conditionalFormatting>
  <conditionalFormatting sqref="R142:R147">
    <cfRule type="containsText" dxfId="1460" priority="3038" operator="containsText" text="Not Met">
      <formula>NOT(ISERROR(SEARCH("Not Met",R142)))</formula>
    </cfRule>
    <cfRule type="containsText" dxfId="1459" priority="3039" operator="containsText" text="Met">
      <formula>NOT(ISERROR(SEARCH("Met",R142)))</formula>
    </cfRule>
  </conditionalFormatting>
  <conditionalFormatting sqref="R172:R184">
    <cfRule type="containsText" dxfId="1458" priority="2999" operator="containsText" text="Not Met">
      <formula>NOT(ISERROR(SEARCH("Not Met",R172)))</formula>
    </cfRule>
    <cfRule type="containsText" dxfId="1457" priority="3000" operator="containsText" text="Met">
      <formula>NOT(ISERROR(SEARCH("Met",R172)))</formula>
    </cfRule>
  </conditionalFormatting>
  <conditionalFormatting sqref="R180">
    <cfRule type="containsText" dxfId="1456" priority="2997" operator="containsText" text="Not Met">
      <formula>NOT(ISERROR(SEARCH("Not Met",R180)))</formula>
    </cfRule>
    <cfRule type="containsText" dxfId="1455" priority="2998" operator="containsText" text="Met">
      <formula>NOT(ISERROR(SEARCH("Met",R180)))</formula>
    </cfRule>
  </conditionalFormatting>
  <conditionalFormatting sqref="R187">
    <cfRule type="containsText" dxfId="1454" priority="3034" operator="containsText" text="Not Met">
      <formula>NOT(ISERROR(SEARCH("Not Met",R187)))</formula>
    </cfRule>
    <cfRule type="containsText" dxfId="1453" priority="3035" operator="containsText" text="Met">
      <formula>NOT(ISERROR(SEARCH("Met",R187)))</formula>
    </cfRule>
  </conditionalFormatting>
  <conditionalFormatting sqref="R190:R195">
    <cfRule type="containsText" dxfId="1452" priority="3032" operator="containsText" text="Not Met">
      <formula>NOT(ISERROR(SEARCH("Not Met",R190)))</formula>
    </cfRule>
    <cfRule type="containsText" dxfId="1451" priority="3033" operator="containsText" text="Met">
      <formula>NOT(ISERROR(SEARCH("Met",R190)))</formula>
    </cfRule>
  </conditionalFormatting>
  <conditionalFormatting sqref="R196:R205">
    <cfRule type="containsText" dxfId="1450" priority="3085" operator="containsText" text="Not Met">
      <formula>NOT(ISERROR(SEARCH("Not Met",R196)))</formula>
    </cfRule>
    <cfRule type="containsText" dxfId="1449" priority="3086" operator="containsText" text="Met">
      <formula>NOT(ISERROR(SEARCH("Met",R196)))</formula>
    </cfRule>
  </conditionalFormatting>
  <conditionalFormatting sqref="R204">
    <cfRule type="containsText" dxfId="1448" priority="3073" operator="containsText" text="Not Met">
      <formula>NOT(ISERROR(SEARCH("Not Met",R204)))</formula>
    </cfRule>
    <cfRule type="containsText" dxfId="1447" priority="3074" operator="containsText" text="Met">
      <formula>NOT(ISERROR(SEARCH("Met",R204)))</formula>
    </cfRule>
    <cfRule type="containsText" dxfId="1446" priority="3075" operator="containsText" text="Not Met">
      <formula>NOT(ISERROR(SEARCH("Not Met",R204)))</formula>
    </cfRule>
    <cfRule type="containsText" dxfId="1445" priority="3076" operator="containsText" text="Met">
      <formula>NOT(ISERROR(SEARCH("Met",R204)))</formula>
    </cfRule>
    <cfRule type="containsText" dxfId="1444" priority="3077" operator="containsText" text="Not Met">
      <formula>NOT(ISERROR(SEARCH("Not Met",R204)))</formula>
    </cfRule>
    <cfRule type="containsText" dxfId="1443" priority="3078" operator="containsText" text="Met">
      <formula>NOT(ISERROR(SEARCH("Met",R204)))</formula>
    </cfRule>
    <cfRule type="containsText" dxfId="1442" priority="3079" operator="containsText" text="Not Met">
      <formula>NOT(ISERROR(SEARCH("Not Met",R204)))</formula>
    </cfRule>
    <cfRule type="containsText" dxfId="1441" priority="3080" operator="containsText" text="Met">
      <formula>NOT(ISERROR(SEARCH("Met",R204)))</formula>
    </cfRule>
    <cfRule type="containsText" dxfId="1440" priority="3081" operator="containsText" text="Not Met">
      <formula>NOT(ISERROR(SEARCH("Not Met",R204)))</formula>
    </cfRule>
    <cfRule type="containsText" dxfId="1439" priority="3082" operator="containsText" text="Met">
      <formula>NOT(ISERROR(SEARCH("Met",R204)))</formula>
    </cfRule>
    <cfRule type="containsText" dxfId="1438" priority="3083" operator="containsText" text="Not Met">
      <formula>NOT(ISERROR(SEARCH("Not Met",R204)))</formula>
    </cfRule>
    <cfRule type="containsText" dxfId="1437" priority="3084" operator="containsText" text="Met">
      <formula>NOT(ISERROR(SEARCH("Met",R204)))</formula>
    </cfRule>
  </conditionalFormatting>
  <conditionalFormatting sqref="R204:R205">
    <cfRule type="containsText" dxfId="1436" priority="3071" operator="containsText" text="Not Met">
      <formula>NOT(ISERROR(SEARCH("Not Met",R204)))</formula>
    </cfRule>
    <cfRule type="containsText" dxfId="1435" priority="3072" operator="containsText" text="Met">
      <formula>NOT(ISERROR(SEARCH("Met",R204)))</formula>
    </cfRule>
  </conditionalFormatting>
  <conditionalFormatting sqref="R205">
    <cfRule type="containsText" dxfId="1434" priority="3061" operator="containsText" text="Not Met">
      <formula>NOT(ISERROR(SEARCH("Not Met",R205)))</formula>
    </cfRule>
    <cfRule type="containsText" dxfId="1433" priority="3062" operator="containsText" text="Met">
      <formula>NOT(ISERROR(SEARCH("Met",R205)))</formula>
    </cfRule>
    <cfRule type="containsText" dxfId="1432" priority="3063" operator="containsText" text="Not Met">
      <formula>NOT(ISERROR(SEARCH("Not Met",R205)))</formula>
    </cfRule>
    <cfRule type="containsText" dxfId="1431" priority="3064" operator="containsText" text="Met">
      <formula>NOT(ISERROR(SEARCH("Met",R205)))</formula>
    </cfRule>
    <cfRule type="containsText" dxfId="1430" priority="3065" operator="containsText" text="Not Met">
      <formula>NOT(ISERROR(SEARCH("Not Met",R205)))</formula>
    </cfRule>
    <cfRule type="containsText" dxfId="1429" priority="3066" operator="containsText" text="Met">
      <formula>NOT(ISERROR(SEARCH("Met",R205)))</formula>
    </cfRule>
    <cfRule type="containsText" dxfId="1428" priority="3067" operator="containsText" text="Not Met">
      <formula>NOT(ISERROR(SEARCH("Not Met",R205)))</formula>
    </cfRule>
    <cfRule type="containsText" dxfId="1427" priority="3068" operator="containsText" text="Met">
      <formula>NOT(ISERROR(SEARCH("Met",R205)))</formula>
    </cfRule>
    <cfRule type="containsText" dxfId="1426" priority="3069" operator="containsText" text="Not Met">
      <formula>NOT(ISERROR(SEARCH("Not Met",R205)))</formula>
    </cfRule>
    <cfRule type="containsText" dxfId="1425" priority="3070" operator="containsText" text="Met">
      <formula>NOT(ISERROR(SEARCH("Met",R205)))</formula>
    </cfRule>
  </conditionalFormatting>
  <conditionalFormatting sqref="R257:R300">
    <cfRule type="containsText" dxfId="1424" priority="2987" operator="containsText" text="Not Met">
      <formula>NOT(ISERROR(SEARCH("Not Met",R257)))</formula>
    </cfRule>
    <cfRule type="containsText" dxfId="1423" priority="2988" operator="containsText" text="Met">
      <formula>NOT(ISERROR(SEARCH("Met",R257)))</formula>
    </cfRule>
  </conditionalFormatting>
  <conditionalFormatting sqref="R302:R316">
    <cfRule type="containsText" dxfId="1422" priority="2956" operator="containsText" text="Not Met">
      <formula>NOT(ISERROR(SEARCH("Not Met",R302)))</formula>
    </cfRule>
    <cfRule type="containsText" dxfId="1421" priority="2957" operator="containsText" text="Met">
      <formula>NOT(ISERROR(SEARCH("Met",R302)))</formula>
    </cfRule>
  </conditionalFormatting>
  <conditionalFormatting sqref="R319 R321:R322 R324:S324 R327:R328">
    <cfRule type="containsText" dxfId="1420" priority="2970" operator="containsText" text="Met">
      <formula>NOT(ISERROR(SEARCH("Met",R319)))</formula>
    </cfRule>
  </conditionalFormatting>
  <conditionalFormatting sqref="R323:R326">
    <cfRule type="containsText" dxfId="1419" priority="2971" operator="containsText" text="Not Met">
      <formula>NOT(ISERROR(SEARCH("Not Met",R323)))</formula>
    </cfRule>
    <cfRule type="containsText" dxfId="1418" priority="2972" operator="containsText" text="Met">
      <formula>NOT(ISERROR(SEARCH("Met",R323)))</formula>
    </cfRule>
  </conditionalFormatting>
  <conditionalFormatting sqref="R327:R328 R319 R321:R322 R324:S324">
    <cfRule type="containsText" dxfId="1417" priority="2969" operator="containsText" text="Not Met">
      <formula>NOT(ISERROR(SEARCH("Not Met",R319)))</formula>
    </cfRule>
  </conditionalFormatting>
  <conditionalFormatting sqref="R336">
    <cfRule type="containsText" dxfId="1416" priority="3051" operator="containsText" text="Not Met">
      <formula>NOT(ISERROR(SEARCH("Not Met",R336)))</formula>
    </cfRule>
    <cfRule type="containsText" dxfId="1415" priority="3052" operator="containsText" text="Met">
      <formula>NOT(ISERROR(SEARCH("Met",R336)))</formula>
    </cfRule>
    <cfRule type="containsText" dxfId="1414" priority="3053" operator="containsText" text="Not Met">
      <formula>NOT(ISERROR(SEARCH("Not Met",R336)))</formula>
    </cfRule>
    <cfRule type="containsText" dxfId="1413" priority="3054" operator="containsText" text="Met">
      <formula>NOT(ISERROR(SEARCH("Met",R336)))</formula>
    </cfRule>
  </conditionalFormatting>
  <conditionalFormatting sqref="R352:R357">
    <cfRule type="containsText" dxfId="1412" priority="2977" operator="containsText" text="Not Met">
      <formula>NOT(ISERROR(SEARCH("Not Met",R352)))</formula>
    </cfRule>
    <cfRule type="containsText" dxfId="1411" priority="2978" operator="containsText" text="Met">
      <formula>NOT(ISERROR(SEARCH("Met",R352)))</formula>
    </cfRule>
  </conditionalFormatting>
  <conditionalFormatting sqref="R359">
    <cfRule type="containsText" dxfId="1410" priority="2973" operator="containsText" text="Not Met">
      <formula>NOT(ISERROR(SEARCH("Not Met",R359)))</formula>
    </cfRule>
    <cfRule type="containsText" dxfId="1409" priority="2974" operator="containsText" text="Met">
      <formula>NOT(ISERROR(SEARCH("Met",R359)))</formula>
    </cfRule>
  </conditionalFormatting>
  <conditionalFormatting sqref="R367:R382 R419:R424 R384:R417">
    <cfRule type="containsText" dxfId="1408" priority="2954" operator="containsText" text="Met">
      <formula>NOT(ISERROR(SEARCH("Met",R367)))</formula>
    </cfRule>
  </conditionalFormatting>
  <conditionalFormatting sqref="R367:R382 R419:R424">
    <cfRule type="containsText" dxfId="1407" priority="2953" operator="containsText" text="Not Met">
      <formula>NOT(ISERROR(SEARCH("Not Met",R367)))</formula>
    </cfRule>
  </conditionalFormatting>
  <conditionalFormatting sqref="R384:R417">
    <cfRule type="containsText" dxfId="1406" priority="2952" operator="containsText" text="Not Met">
      <formula>NOT(ISERROR(SEARCH("Not Met",R384)))</formula>
    </cfRule>
  </conditionalFormatting>
  <conditionalFormatting sqref="R430">
    <cfRule type="containsText" dxfId="1405" priority="2960" operator="containsText" text="Not Met">
      <formula>NOT(ISERROR(SEARCH("Not Met",R430)))</formula>
    </cfRule>
    <cfRule type="containsText" dxfId="1404" priority="2961" operator="containsText" text="Met">
      <formula>NOT(ISERROR(SEARCH("Met",R430)))</formula>
    </cfRule>
  </conditionalFormatting>
  <conditionalFormatting sqref="R71:S71">
    <cfRule type="containsText" dxfId="1403" priority="2995" operator="containsText" text="Not Met">
      <formula>NOT(ISERROR(SEARCH("Not Met",R71)))</formula>
    </cfRule>
    <cfRule type="containsText" dxfId="1402" priority="2996" operator="containsText" text="Met">
      <formula>NOT(ISERROR(SEARCH("Met",R71)))</formula>
    </cfRule>
  </conditionalFormatting>
  <conditionalFormatting sqref="R148:S148">
    <cfRule type="containsText" dxfId="1401" priority="3040" operator="containsText" text="Not Met">
      <formula>NOT(ISERROR(SEARCH("Not Met",R148)))</formula>
    </cfRule>
    <cfRule type="containsText" dxfId="1400" priority="3041" operator="containsText" text="Met">
      <formula>NOT(ISERROR(SEARCH("Met",R148)))</formula>
    </cfRule>
  </conditionalFormatting>
  <conditionalFormatting sqref="R169:S171">
    <cfRule type="containsText" dxfId="1399" priority="3016" operator="containsText" text="Not Met">
      <formula>NOT(ISERROR(SEARCH("Not Met",R169)))</formula>
    </cfRule>
    <cfRule type="containsText" dxfId="1398" priority="3017" operator="containsText" text="Met">
      <formula>NOT(ISERROR(SEARCH("Met",R169)))</formula>
    </cfRule>
  </conditionalFormatting>
  <conditionalFormatting sqref="R351:S358">
    <cfRule type="containsText" dxfId="1397" priority="2979" operator="containsText" text="Not Met">
      <formula>NOT(ISERROR(SEARCH("Not Met",R351)))</formula>
    </cfRule>
    <cfRule type="containsText" dxfId="1396" priority="2980" operator="containsText" text="Met">
      <formula>NOT(ISERROR(SEARCH("Met",R351)))</formula>
    </cfRule>
  </conditionalFormatting>
  <conditionalFormatting sqref="R359:S359">
    <cfRule type="containsText" dxfId="1395" priority="2975" operator="containsText" text="Not Met">
      <formula>NOT(ISERROR(SEARCH("Not Met",R359)))</formula>
    </cfRule>
    <cfRule type="containsText" dxfId="1394" priority="2976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1393" priority="3005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1392" priority="2983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1391" priority="2981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1390" priority="2982" operator="containsText" text="Met">
      <formula>NOT(ISERROR(SEARCH("Met",R54)))</formula>
    </cfRule>
  </conditionalFormatting>
  <conditionalFormatting sqref="R344:U345 R347:R349 R351">
    <cfRule type="containsText" dxfId="1389" priority="3057" operator="containsText" text="Not Met">
      <formula>NOT(ISERROR(SEARCH("Not Met",R344)))</formula>
    </cfRule>
    <cfRule type="containsText" dxfId="1388" priority="3058" operator="containsText" text="Met">
      <formula>NOT(ISERROR(SEARCH("Met",R344)))</formula>
    </cfRule>
  </conditionalFormatting>
  <conditionalFormatting sqref="R456:U457">
    <cfRule type="containsText" dxfId="1387" priority="2902" operator="containsText" text="Not Met">
      <formula>NOT(ISERROR(SEARCH("Not Met",R456)))</formula>
    </cfRule>
    <cfRule type="containsText" dxfId="1386" priority="2903" operator="containsText" text="Met">
      <formula>NOT(ISERROR(SEARCH("Met",R456)))</formula>
    </cfRule>
  </conditionalFormatting>
  <conditionalFormatting sqref="R161:Y162">
    <cfRule type="containsText" dxfId="1385" priority="3463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1384" priority="2984" operator="containsText" text="Met">
      <formula>NOT(ISERROR(SEARCH("Met",R20)))</formula>
    </cfRule>
  </conditionalFormatting>
  <conditionalFormatting sqref="R20:AA41 R111:AA118 Y169:AA183 Y271:AA279 Z161:AA162">
    <cfRule type="containsText" dxfId="1383" priority="2129" operator="containsText" text="Met">
      <formula>NOT(ISERROR(SEARCH("Met",R20)))</formula>
    </cfRule>
  </conditionalFormatting>
  <conditionalFormatting sqref="R20:AA41 R111:AA118 Y169:AA183 Y271:AA279 Z350:AA350">
    <cfRule type="containsText" dxfId="1382" priority="2128" operator="containsText" text="Not Met">
      <formula>NOT(ISERROR(SEARCH("Not Met",R20)))</formula>
    </cfRule>
  </conditionalFormatting>
  <conditionalFormatting sqref="S77:S103">
    <cfRule type="containsText" dxfId="1381" priority="3006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1380" priority="3007" operator="containsText" text="Met">
      <formula>NOT(ISERROR(SEARCH("Met",Q119)))</formula>
    </cfRule>
  </conditionalFormatting>
  <conditionalFormatting sqref="T2:T5">
    <cfRule type="containsText" dxfId="1379" priority="2904" operator="containsText" text="Not Met">
      <formula>NOT(ISERROR(SEARCH("Not Met",T2)))</formula>
    </cfRule>
    <cfRule type="containsText" dxfId="1378" priority="2905" operator="containsText" text="Met">
      <formula>NOT(ISERROR(SEARCH("Met",T2)))</formula>
    </cfRule>
  </conditionalFormatting>
  <conditionalFormatting sqref="T5:T6">
    <cfRule type="containsText" dxfId="1377" priority="2906" operator="containsText" text="Not Met">
      <formula>NOT(ISERROR(SEARCH("Not Met",T5)))</formula>
    </cfRule>
    <cfRule type="containsText" dxfId="1376" priority="2907" operator="containsText" text="Met">
      <formula>NOT(ISERROR(SEARCH("Met",T5)))</formula>
    </cfRule>
  </conditionalFormatting>
  <conditionalFormatting sqref="T11">
    <cfRule type="containsText" dxfId="1375" priority="2890" operator="containsText" text="Not Met">
      <formula>NOT(ISERROR(SEARCH("Not Met",T11)))</formula>
    </cfRule>
    <cfRule type="containsText" dxfId="1374" priority="2891" operator="containsText" text="Met">
      <formula>NOT(ISERROR(SEARCH("Met",T11)))</formula>
    </cfRule>
  </conditionalFormatting>
  <conditionalFormatting sqref="T13:T14">
    <cfRule type="containsText" dxfId="1373" priority="2882" operator="containsText" text="Not Met">
      <formula>NOT(ISERROR(SEARCH("Not Met",T13)))</formula>
    </cfRule>
    <cfRule type="containsText" dxfId="1372" priority="2883" operator="containsText" text="Met">
      <formula>NOT(ISERROR(SEARCH("Met",T13)))</formula>
    </cfRule>
  </conditionalFormatting>
  <conditionalFormatting sqref="T16:T19">
    <cfRule type="containsText" dxfId="1371" priority="2892" operator="containsText" text="Not Met">
      <formula>NOT(ISERROR(SEARCH("Not Met",T16)))</formula>
    </cfRule>
    <cfRule type="containsText" dxfId="1370" priority="2893" operator="containsText" text="Met">
      <formula>NOT(ISERROR(SEARCH("Met",T16)))</formula>
    </cfRule>
    <cfRule type="containsText" dxfId="1369" priority="2894" operator="containsText" text="Not Met">
      <formula>NOT(ISERROR(SEARCH("Not Met",T16)))</formula>
    </cfRule>
    <cfRule type="containsText" dxfId="1368" priority="2895" operator="containsText" text="Met">
      <formula>NOT(ISERROR(SEARCH("Met",T16)))</formula>
    </cfRule>
  </conditionalFormatting>
  <conditionalFormatting sqref="T42:T48">
    <cfRule type="containsText" dxfId="1367" priority="2821" operator="containsText" text="Not Met">
      <formula>NOT(ISERROR(SEARCH("Not Met",T42)))</formula>
    </cfRule>
    <cfRule type="containsText" dxfId="1366" priority="2822" operator="containsText" text="Met">
      <formula>NOT(ISERROR(SEARCH("Met",T42)))</formula>
    </cfRule>
  </conditionalFormatting>
  <conditionalFormatting sqref="T42:T53">
    <cfRule type="containsText" dxfId="1365" priority="2823" operator="containsText" text="Not Met">
      <formula>NOT(ISERROR(SEARCH("Not Met",T42)))</formula>
    </cfRule>
    <cfRule type="containsText" dxfId="1364" priority="2824" operator="containsText" text="Met">
      <formula>NOT(ISERROR(SEARCH("Met",T42)))</formula>
    </cfRule>
  </conditionalFormatting>
  <conditionalFormatting sqref="T51">
    <cfRule type="containsText" dxfId="1363" priority="2860" operator="containsText" text="Not Met">
      <formula>NOT(ISERROR(SEARCH("Not Met",T51)))</formula>
    </cfRule>
    <cfRule type="containsText" dxfId="1362" priority="2861" operator="containsText" text="Met">
      <formula>NOT(ISERROR(SEARCH("Met",T51)))</formula>
    </cfRule>
  </conditionalFormatting>
  <conditionalFormatting sqref="T61">
    <cfRule type="containsText" dxfId="1361" priority="2801" operator="containsText" text="Not Met">
      <formula>NOT(ISERROR(SEARCH("Not Met",T61)))</formula>
    </cfRule>
    <cfRule type="containsText" dxfId="1360" priority="2802" operator="containsText" text="Met">
      <formula>NOT(ISERROR(SEARCH("Met",T61)))</formula>
    </cfRule>
  </conditionalFormatting>
  <conditionalFormatting sqref="T61:T74 T76:T79 T80:U81">
    <cfRule type="containsText" dxfId="1359" priority="2787" operator="containsText" text="Not Met">
      <formula>NOT(ISERROR(SEARCH("Not Met",T61)))</formula>
    </cfRule>
    <cfRule type="containsText" dxfId="1358" priority="2788" operator="containsText" text="Met">
      <formula>NOT(ISERROR(SEARCH("Met",T61)))</formula>
    </cfRule>
  </conditionalFormatting>
  <conditionalFormatting sqref="T69:T74 T76:T79 T80:U80 T81">
    <cfRule type="containsText" dxfId="1357" priority="2786" operator="containsText" text="Met">
      <formula>NOT(ISERROR(SEARCH("Met",T69)))</formula>
    </cfRule>
  </conditionalFormatting>
  <conditionalFormatting sqref="T69:T79 T81:T82">
    <cfRule type="containsText" dxfId="1356" priority="2781" operator="containsText" text="Not Met">
      <formula>NOT(ISERROR(SEARCH("Not Met",T69)))</formula>
    </cfRule>
    <cfRule type="containsText" dxfId="1355" priority="2782" operator="containsText" text="Met">
      <formula>NOT(ISERROR(SEARCH("Met",T69)))</formula>
    </cfRule>
  </conditionalFormatting>
  <conditionalFormatting sqref="T75 T82 R161:Y168">
    <cfRule type="containsText" dxfId="1354" priority="2779" operator="containsText" text="Not Met">
      <formula>NOT(ISERROR(SEARCH("Not Met",R75)))</formula>
    </cfRule>
  </conditionalFormatting>
  <conditionalFormatting sqref="T75 T82">
    <cfRule type="containsText" dxfId="1353" priority="2780" operator="containsText" text="Met">
      <formula>NOT(ISERROR(SEARCH("Met",T75)))</formula>
    </cfRule>
  </conditionalFormatting>
  <conditionalFormatting sqref="T83">
    <cfRule type="containsText" dxfId="1352" priority="2818" operator="containsText" text="Not met">
      <formula>NOT(ISERROR(SEARCH("Not met",T83)))</formula>
    </cfRule>
  </conditionalFormatting>
  <conditionalFormatting sqref="T86:T88">
    <cfRule type="containsText" dxfId="1351" priority="2815" operator="containsText" text="Not met">
      <formula>NOT(ISERROR(SEARCH("Not met",T86)))</formula>
    </cfRule>
  </conditionalFormatting>
  <conditionalFormatting sqref="T90:T110 T257:T270">
    <cfRule type="containsText" dxfId="1350" priority="2910" operator="containsText" text="Not Met">
      <formula>NOT(ISERROR(SEARCH("Not Met",T90)))</formula>
    </cfRule>
    <cfRule type="containsText" dxfId="1349" priority="2911" operator="containsText" text="Met">
      <formula>NOT(ISERROR(SEARCH("Met",T90)))</formula>
    </cfRule>
  </conditionalFormatting>
  <conditionalFormatting sqref="T104:T110">
    <cfRule type="containsText" dxfId="1348" priority="2908" operator="containsText" text="Not Met">
      <formula>NOT(ISERROR(SEARCH("Not Met",T104)))</formula>
    </cfRule>
    <cfRule type="containsText" dxfId="1347" priority="2909" operator="containsText" text="Met">
      <formula>NOT(ISERROR(SEARCH("Met",T104)))</formula>
    </cfRule>
  </conditionalFormatting>
  <conditionalFormatting sqref="T119">
    <cfRule type="containsText" dxfId="1346" priority="2839" operator="containsText" text="Not Met">
      <formula>NOT(ISERROR(SEARCH("Not Met",T119)))</formula>
    </cfRule>
    <cfRule type="containsText" dxfId="1345" priority="2840" operator="containsText" text="Met">
      <formula>NOT(ISERROR(SEARCH("Met",T119)))</formula>
    </cfRule>
  </conditionalFormatting>
  <conditionalFormatting sqref="T119:T127">
    <cfRule type="containsText" dxfId="1344" priority="2835" operator="containsText" text="Not Met">
      <formula>NOT(ISERROR(SEARCH("Not Met",T119)))</formula>
    </cfRule>
    <cfRule type="containsText" dxfId="1343" priority="2836" operator="containsText" text="Met">
      <formula>NOT(ISERROR(SEARCH("Met",T119)))</formula>
    </cfRule>
  </conditionalFormatting>
  <conditionalFormatting sqref="T131:T138">
    <cfRule type="containsText" dxfId="1342" priority="2841" operator="containsText" text="Not Met">
      <formula>NOT(ISERROR(SEARCH("Not Met",T131)))</formula>
    </cfRule>
  </conditionalFormatting>
  <conditionalFormatting sqref="T131:T140">
    <cfRule type="containsText" dxfId="1341" priority="2842" operator="containsText" text="Met">
      <formula>NOT(ISERROR(SEARCH("Met",T131)))</formula>
    </cfRule>
  </conditionalFormatting>
  <conditionalFormatting sqref="T139:T160">
    <cfRule type="containsText" dxfId="1340" priority="2853" operator="containsText" text="Not Met">
      <formula>NOT(ISERROR(SEARCH("Not Met",T139)))</formula>
    </cfRule>
  </conditionalFormatting>
  <conditionalFormatting sqref="T141:T160">
    <cfRule type="containsText" dxfId="1339" priority="2855" operator="containsText" text="Met">
      <formula>NOT(ISERROR(SEARCH("Met",T141)))</formula>
    </cfRule>
  </conditionalFormatting>
  <conditionalFormatting sqref="T143:T148">
    <cfRule type="containsText" dxfId="1338" priority="2849" operator="containsText" text="Not Met">
      <formula>NOT(ISERROR(SEARCH("Not Met",T143)))</formula>
    </cfRule>
    <cfRule type="containsText" dxfId="1337" priority="2850" operator="containsText" text="Met">
      <formula>NOT(ISERROR(SEARCH("Met",T143)))</formula>
    </cfRule>
  </conditionalFormatting>
  <conditionalFormatting sqref="T149:T160 T226:T242 T280:T308">
    <cfRule type="containsText" dxfId="1336" priority="2915" operator="containsText" text="Met">
      <formula>NOT(ISERROR(SEARCH("Met",T149)))</formula>
    </cfRule>
  </conditionalFormatting>
  <conditionalFormatting sqref="T169:T183">
    <cfRule type="containsText" dxfId="1335" priority="2805" operator="containsText" text="Not Met">
      <formula>NOT(ISERROR(SEARCH("Not Met",T169)))</formula>
    </cfRule>
    <cfRule type="containsText" dxfId="1334" priority="2806" operator="containsText" text="Met">
      <formula>NOT(ISERROR(SEARCH("Met",T169)))</formula>
    </cfRule>
  </conditionalFormatting>
  <conditionalFormatting sqref="T180">
    <cfRule type="containsText" dxfId="1333" priority="2803" operator="containsText" text="Not Met">
      <formula>NOT(ISERROR(SEARCH("Not Met",T180)))</formula>
    </cfRule>
    <cfRule type="containsText" dxfId="1332" priority="2804" operator="containsText" text="Met">
      <formula>NOT(ISERROR(SEARCH("Met",T180)))</formula>
    </cfRule>
  </conditionalFormatting>
  <conditionalFormatting sqref="T187">
    <cfRule type="containsText" dxfId="1331" priority="2847" operator="containsText" text="Not Met">
      <formula>NOT(ISERROR(SEARCH("Not Met",T187)))</formula>
    </cfRule>
    <cfRule type="containsText" dxfId="1330" priority="2848" operator="containsText" text="Met">
      <formula>NOT(ISERROR(SEARCH("Met",T187)))</formula>
    </cfRule>
  </conditionalFormatting>
  <conditionalFormatting sqref="T190:T195">
    <cfRule type="containsText" dxfId="1329" priority="2845" operator="containsText" text="Not Met">
      <formula>NOT(ISERROR(SEARCH("Not Met",T190)))</formula>
    </cfRule>
    <cfRule type="containsText" dxfId="1328" priority="2846" operator="containsText" text="Met">
      <formula>NOT(ISERROR(SEARCH("Met",T190)))</formula>
    </cfRule>
  </conditionalFormatting>
  <conditionalFormatting sqref="T204:T205">
    <cfRule type="containsText" dxfId="1327" priority="2862" operator="containsText" text="Not Met">
      <formula>NOT(ISERROR(SEARCH("Not Met",T204)))</formula>
    </cfRule>
    <cfRule type="containsText" dxfId="1326" priority="2863" operator="containsText" text="Met">
      <formula>NOT(ISERROR(SEARCH("Met",T204)))</formula>
    </cfRule>
    <cfRule type="containsText" dxfId="1325" priority="2864" operator="containsText" text="Not Met">
      <formula>NOT(ISERROR(SEARCH("Not Met",T204)))</formula>
    </cfRule>
    <cfRule type="containsText" dxfId="1324" priority="2865" operator="containsText" text="Met">
      <formula>NOT(ISERROR(SEARCH("Met",T204)))</formula>
    </cfRule>
    <cfRule type="containsText" dxfId="1323" priority="2866" operator="containsText" text="Not Met">
      <formula>NOT(ISERROR(SEARCH("Not Met",T204)))</formula>
    </cfRule>
    <cfRule type="containsText" dxfId="1322" priority="2867" operator="containsText" text="Met">
      <formula>NOT(ISERROR(SEARCH("Met",T204)))</formula>
    </cfRule>
    <cfRule type="containsText" dxfId="1321" priority="2868" operator="containsText" text="Not Met">
      <formula>NOT(ISERROR(SEARCH("Not Met",T204)))</formula>
    </cfRule>
    <cfRule type="containsText" dxfId="1320" priority="2869" operator="containsText" text="Met">
      <formula>NOT(ISERROR(SEARCH("Met",T204)))</formula>
    </cfRule>
    <cfRule type="containsText" dxfId="1319" priority="2870" operator="containsText" text="Not Met">
      <formula>NOT(ISERROR(SEARCH("Not Met",T204)))</formula>
    </cfRule>
    <cfRule type="containsText" dxfId="1318" priority="2871" operator="containsText" text="Met">
      <formula>NOT(ISERROR(SEARCH("Met",T204)))</formula>
    </cfRule>
    <cfRule type="containsText" dxfId="1317" priority="2872" operator="containsText" text="Not Met">
      <formula>NOT(ISERROR(SEARCH("Not Met",T204)))</formula>
    </cfRule>
    <cfRule type="containsText" dxfId="1316" priority="2873" operator="containsText" text="Met">
      <formula>NOT(ISERROR(SEARCH("Met",T204)))</formula>
    </cfRule>
    <cfRule type="containsText" dxfId="1315" priority="2874" operator="containsText" text="Not Met">
      <formula>NOT(ISERROR(SEARCH("Not Met",T204)))</formula>
    </cfRule>
    <cfRule type="containsText" dxfId="1314" priority="2875" operator="containsText" text="Met">
      <formula>NOT(ISERROR(SEARCH("Met",T204)))</formula>
    </cfRule>
  </conditionalFormatting>
  <conditionalFormatting sqref="T226:T242 T280:T308 T149:T160">
    <cfRule type="containsText" dxfId="1313" priority="2914" operator="containsText" text="Not Met">
      <formula>NOT(ISERROR(SEARCH("Not Met",T149)))</formula>
    </cfRule>
  </conditionalFormatting>
  <conditionalFormatting sqref="T226:T242 T287:T293 T302:T308">
    <cfRule type="containsText" dxfId="1312" priority="2913" operator="containsText" text="Met">
      <formula>NOT(ISERROR(SEARCH("Met",T226)))</formula>
    </cfRule>
  </conditionalFormatting>
  <conditionalFormatting sqref="T226:T242 T287:T293">
    <cfRule type="containsText" dxfId="1311" priority="2912" operator="containsText" text="Not Met">
      <formula>NOT(ISERROR(SEARCH("Not Met",T226)))</formula>
    </cfRule>
  </conditionalFormatting>
  <conditionalFormatting sqref="T257:T279">
    <cfRule type="containsText" dxfId="1310" priority="2764" operator="containsText" text="Not Met">
      <formula>NOT(ISERROR(SEARCH("Not Met",T257)))</formula>
    </cfRule>
    <cfRule type="containsText" dxfId="1309" priority="2765" operator="containsText" text="Met">
      <formula>NOT(ISERROR(SEARCH("Met",T257)))</formula>
    </cfRule>
  </conditionalFormatting>
  <conditionalFormatting sqref="T271:T279">
    <cfRule type="containsText" dxfId="1308" priority="2762" operator="containsText" text="Not Met">
      <formula>NOT(ISERROR(SEARCH("Not Met",T271)))</formula>
    </cfRule>
    <cfRule type="containsText" dxfId="1307" priority="2763" operator="containsText" text="Met">
      <formula>NOT(ISERROR(SEARCH("Met",T271)))</formula>
    </cfRule>
  </conditionalFormatting>
  <conditionalFormatting sqref="T280:T286">
    <cfRule type="containsText" dxfId="1306" priority="2924" operator="containsText" text="Not Met">
      <formula>NOT(ISERROR(SEARCH("Not Met",T280)))</formula>
    </cfRule>
    <cfRule type="containsText" dxfId="1305" priority="2925" operator="containsText" text="Met">
      <formula>NOT(ISERROR(SEARCH("Met",T280)))</formula>
    </cfRule>
  </conditionalFormatting>
  <conditionalFormatting sqref="T302:T309">
    <cfRule type="containsText" dxfId="1304" priority="2770" operator="containsText" text="Not Met">
      <formula>NOT(ISERROR(SEARCH("Not Met",T302)))</formula>
    </cfRule>
  </conditionalFormatting>
  <conditionalFormatting sqref="T309:T328">
    <cfRule type="containsText" dxfId="1303" priority="2766" operator="containsText" text="Not Met">
      <formula>NOT(ISERROR(SEARCH("Not Met",T309)))</formula>
    </cfRule>
    <cfRule type="containsText" dxfId="1302" priority="2767" operator="containsText" text="Met">
      <formula>NOT(ISERROR(SEARCH("Met",T309)))</formula>
    </cfRule>
  </conditionalFormatting>
  <conditionalFormatting sqref="T317:T328">
    <cfRule type="containsText" dxfId="1301" priority="2918" operator="containsText" text="Not Met">
      <formula>NOT(ISERROR(SEARCH("Not Met",T317)))</formula>
    </cfRule>
    <cfRule type="containsText" dxfId="1300" priority="2919" operator="containsText" text="Met">
      <formula>NOT(ISERROR(SEARCH("Met",T317)))</formula>
    </cfRule>
  </conditionalFormatting>
  <conditionalFormatting sqref="T337:T343">
    <cfRule type="containsText" dxfId="1299" priority="2825" operator="containsText" text="Not Met">
      <formula>NOT(ISERROR(SEARCH("Not Met",T337)))</formula>
    </cfRule>
    <cfRule type="containsText" dxfId="1298" priority="2826" operator="containsText" text="Met">
      <formula>NOT(ISERROR(SEARCH("Met",T337)))</formula>
    </cfRule>
  </conditionalFormatting>
  <conditionalFormatting sqref="T337:T345">
    <cfRule type="containsText" dxfId="1297" priority="2827" operator="containsText" text="Not Met">
      <formula>NOT(ISERROR(SEARCH("Not Met",T337)))</formula>
    </cfRule>
    <cfRule type="containsText" dxfId="1296" priority="2828" operator="containsText" text="Met">
      <formula>NOT(ISERROR(SEARCH("Met",T337)))</formula>
    </cfRule>
  </conditionalFormatting>
  <conditionalFormatting sqref="T351">
    <cfRule type="containsText" dxfId="1295" priority="2833" operator="containsText" text="Not Met">
      <formula>NOT(ISERROR(SEARCH("Not Met",T351)))</formula>
    </cfRule>
    <cfRule type="containsText" dxfId="1294" priority="2834" operator="containsText" text="Met">
      <formula>NOT(ISERROR(SEARCH("Met",T351)))</formula>
    </cfRule>
  </conditionalFormatting>
  <conditionalFormatting sqref="T351:T358">
    <cfRule type="containsText" dxfId="1293" priority="2948" operator="containsText" text="Not Met">
      <formula>NOT(ISERROR(SEARCH("Not Met",T351)))</formula>
    </cfRule>
    <cfRule type="containsText" dxfId="1292" priority="2949" operator="containsText" text="Met">
      <formula>NOT(ISERROR(SEARCH("Met",T351)))</formula>
    </cfRule>
  </conditionalFormatting>
  <conditionalFormatting sqref="T352:T358">
    <cfRule type="containsText" dxfId="1291" priority="2946" operator="containsText" text="Not Met">
      <formula>NOT(ISERROR(SEARCH("Not Met",T352)))</formula>
    </cfRule>
    <cfRule type="containsText" dxfId="1290" priority="2947" operator="containsText" text="Met">
      <formula>NOT(ISERROR(SEARCH("Met",T352)))</formula>
    </cfRule>
  </conditionalFormatting>
  <conditionalFormatting sqref="T358">
    <cfRule type="containsText" dxfId="1289" priority="2944" operator="containsText" text="Not Met">
      <formula>NOT(ISERROR(SEARCH("Not Met",T358)))</formula>
    </cfRule>
    <cfRule type="containsText" dxfId="1288" priority="2945" operator="containsText" text="Met">
      <formula>NOT(ISERROR(SEARCH("Met",T358)))</formula>
    </cfRule>
  </conditionalFormatting>
  <conditionalFormatting sqref="T358:T359">
    <cfRule type="containsText" dxfId="1287" priority="2940" operator="containsText" text="Not Met">
      <formula>NOT(ISERROR(SEARCH("Not Met",T358)))</formula>
    </cfRule>
    <cfRule type="containsText" dxfId="1286" priority="2941" operator="containsText" text="Met">
      <formula>NOT(ISERROR(SEARCH("Met",T358)))</formula>
    </cfRule>
  </conditionalFormatting>
  <conditionalFormatting sqref="T359">
    <cfRule type="containsText" dxfId="1285" priority="2938" operator="containsText" text="Not Met">
      <formula>NOT(ISERROR(SEARCH("Not Met",T359)))</formula>
    </cfRule>
    <cfRule type="containsText" dxfId="1284" priority="2939" operator="containsText" text="Met">
      <formula>NOT(ISERROR(SEARCH("Met",T359)))</formula>
    </cfRule>
  </conditionalFormatting>
  <conditionalFormatting sqref="T371:T382 T419:T424 T384:T417">
    <cfRule type="containsText" dxfId="1283" priority="2773" operator="containsText" text="Met">
      <formula>NOT(ISERROR(SEARCH("Met",T371)))</formula>
    </cfRule>
  </conditionalFormatting>
  <conditionalFormatting sqref="T371:T382 T419:T424">
    <cfRule type="containsText" dxfId="1282" priority="2772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1281" priority="2778" operator="containsText" text="Met">
      <formula>NOT(ISERROR(SEARCH("Met",T381)))</formula>
    </cfRule>
  </conditionalFormatting>
  <conditionalFormatting sqref="T384:T417">
    <cfRule type="containsText" dxfId="1280" priority="2771" operator="containsText" text="Not Met">
      <formula>NOT(ISERROR(SEARCH("Not Met",T384)))</formula>
    </cfRule>
  </conditionalFormatting>
  <conditionalFormatting sqref="T402:T403 T405 T409:T410 T412 T426">
    <cfRule type="containsText" dxfId="1279" priority="2775" operator="containsText" text="Not Met">
      <formula>NOT(ISERROR(SEARCH("Not Met",T402)))</formula>
    </cfRule>
    <cfRule type="containsText" dxfId="1278" priority="2776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1277" priority="2777" operator="containsText" text="Not Met">
      <formula>NOT(ISERROR(SEARCH("Not Met",T381)))</formula>
    </cfRule>
  </conditionalFormatting>
  <conditionalFormatting sqref="T430">
    <cfRule type="containsText" dxfId="1276" priority="2926" operator="containsText" text="Not Met">
      <formula>NOT(ISERROR(SEARCH("Not Met",T430)))</formula>
    </cfRule>
    <cfRule type="containsText" dxfId="1275" priority="2927" operator="containsText" text="Met">
      <formula>NOT(ISERROR(SEARCH("Met",T430)))</formula>
    </cfRule>
  </conditionalFormatting>
  <conditionalFormatting sqref="T435:T438 T440">
    <cfRule type="containsText" dxfId="1274" priority="2930" operator="containsText" text="Not Met">
      <formula>NOT(ISERROR(SEARCH("Not Met",T435)))</formula>
    </cfRule>
    <cfRule type="containsText" dxfId="1273" priority="2931" operator="containsText" text="Met">
      <formula>NOT(ISERROR(SEARCH("Met",T435)))</formula>
    </cfRule>
    <cfRule type="containsText" dxfId="1272" priority="2932" operator="containsText" text="Not Met">
      <formula>NOT(ISERROR(SEARCH("Not Met",T435)))</formula>
    </cfRule>
  </conditionalFormatting>
  <conditionalFormatting sqref="T435:T438">
    <cfRule type="containsText" dxfId="1271" priority="2928" operator="containsText" text="Not Met">
      <formula>NOT(ISERROR(SEARCH("Not Met",T435)))</formula>
    </cfRule>
    <cfRule type="containsText" dxfId="1270" priority="2929" operator="containsText" text="Met">
      <formula>NOT(ISERROR(SEARCH("Met",T435)))</formula>
    </cfRule>
  </conditionalFormatting>
  <conditionalFormatting sqref="T440:T449">
    <cfRule type="containsText" dxfId="1269" priority="2831" operator="containsText" text="Not Met">
      <formula>NOT(ISERROR(SEARCH("Not Met",T440)))</formula>
    </cfRule>
    <cfRule type="containsText" dxfId="1268" priority="2832" operator="containsText" text="Met">
      <formula>NOT(ISERROR(SEARCH("Met",T440)))</formula>
    </cfRule>
  </conditionalFormatting>
  <conditionalFormatting sqref="T441:T449">
    <cfRule type="containsText" dxfId="1267" priority="2829" operator="containsText" text="Not Met">
      <formula>NOT(ISERROR(SEARCH("Not Met",T441)))</formula>
    </cfRule>
    <cfRule type="containsText" dxfId="1266" priority="2830" operator="containsText" text="Met">
      <formula>NOT(ISERROR(SEARCH("Met",T441)))</formula>
    </cfRule>
  </conditionalFormatting>
  <conditionalFormatting sqref="T456:T457">
    <cfRule type="containsText" dxfId="1265" priority="2898" operator="containsText" text="Not Met">
      <formula>NOT(ISERROR(SEARCH("Not Met",T456)))</formula>
    </cfRule>
    <cfRule type="containsText" dxfId="1264" priority="2899" operator="containsText" text="Met">
      <formula>NOT(ISERROR(SEARCH("Met",T456)))</formula>
    </cfRule>
    <cfRule type="containsText" dxfId="1263" priority="2900" operator="containsText" text="Not Met">
      <formula>NOT(ISERROR(SEARCH("Not Met",T456)))</formula>
    </cfRule>
    <cfRule type="containsText" dxfId="1262" priority="2901" operator="containsText" text="Met">
      <formula>NOT(ISERROR(SEARCH("Met",T456)))</formula>
    </cfRule>
  </conditionalFormatting>
  <conditionalFormatting sqref="T80:U80 T69:T74 T76:T79 T81">
    <cfRule type="containsText" dxfId="1261" priority="2785" operator="containsText" text="Not Met">
      <formula>NOT(ISERROR(SEARCH("Not Met",T69)))</formula>
    </cfRule>
  </conditionalFormatting>
  <conditionalFormatting sqref="T80:U80">
    <cfRule type="containsText" dxfId="1260" priority="2783" operator="containsText" text="Not Met">
      <formula>NOT(ISERROR(SEARCH("Not Met",T80)))</formula>
    </cfRule>
    <cfRule type="containsText" dxfId="1259" priority="2784" operator="containsText" text="Met">
      <formula>NOT(ISERROR(SEARCH("Met",T80)))</formula>
    </cfRule>
  </conditionalFormatting>
  <conditionalFormatting sqref="T184:U184">
    <cfRule type="containsText" dxfId="1258" priority="2807" operator="containsText" text="Not Met">
      <formula>NOT(ISERROR(SEARCH("Not Met",T184)))</formula>
    </cfRule>
    <cfRule type="containsText" dxfId="1257" priority="2808" operator="containsText" text="Met">
      <formula>NOT(ISERROR(SEARCH("Met",T184)))</formula>
    </cfRule>
    <cfRule type="containsText" dxfId="1256" priority="2809" operator="containsText" text="Not Met">
      <formula>NOT(ISERROR(SEARCH("Not Met",T184)))</formula>
    </cfRule>
    <cfRule type="containsText" dxfId="1255" priority="2810" operator="containsText" text="Met">
      <formula>NOT(ISERROR(SEARCH("Met",T184)))</formula>
    </cfRule>
  </conditionalFormatting>
  <conditionalFormatting sqref="T196:U205">
    <cfRule type="containsText" dxfId="1254" priority="2876" operator="containsText" text="Not Met">
      <formula>NOT(ISERROR(SEARCH("Not Met",T196)))</formula>
    </cfRule>
    <cfRule type="containsText" dxfId="1253" priority="2877" operator="containsText" text="Met">
      <formula>NOT(ISERROR(SEARCH("Met",T196)))</formula>
    </cfRule>
  </conditionalFormatting>
  <conditionalFormatting sqref="T317:U328">
    <cfRule type="containsText" dxfId="1252" priority="2920" operator="containsText" text="Not Met">
      <formula>NOT(ISERROR(SEARCH("Not Met",T317)))</formula>
    </cfRule>
    <cfRule type="containsText" dxfId="1251" priority="2921" operator="containsText" text="Met">
      <formula>NOT(ISERROR(SEARCH("Met",T317)))</formula>
    </cfRule>
  </conditionalFormatting>
  <conditionalFormatting sqref="T367:U370">
    <cfRule type="containsText" dxfId="1250" priority="2813" operator="containsText" text="Not Met">
      <formula>NOT(ISERROR(SEARCH("Not Met",T367)))</formula>
    </cfRule>
    <cfRule type="containsText" dxfId="1249" priority="2814" operator="containsText" text="Met">
      <formula>NOT(ISERROR(SEARCH("Met",T367)))</formula>
    </cfRule>
  </conditionalFormatting>
  <conditionalFormatting sqref="T11:V11">
    <cfRule type="containsText" dxfId="1248" priority="2640" operator="containsText" text="Not Met">
      <formula>NOT(ISERROR(SEARCH("Not Met",T11)))</formula>
    </cfRule>
    <cfRule type="containsText" dxfId="1247" priority="2641" operator="containsText" text="Met">
      <formula>NOT(ISERROR(SEARCH("Met",T11)))</formula>
    </cfRule>
  </conditionalFormatting>
  <conditionalFormatting sqref="U6:U15">
    <cfRule type="containsText" dxfId="1246" priority="2896" operator="containsText" text="Not Met">
      <formula>NOT(ISERROR(SEARCH("Not Met",U6)))</formula>
    </cfRule>
    <cfRule type="containsText" dxfId="1245" priority="2897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1244" priority="2794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1243" priority="2793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1242" priority="2796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1241" priority="2795" operator="containsText" text="Not Met">
      <formula>NOT(ISERROR(SEARCH("Not Met",T66)))</formula>
    </cfRule>
  </conditionalFormatting>
  <conditionalFormatting sqref="U100:V100 X100">
    <cfRule type="containsText" dxfId="1240" priority="2734" operator="containsText" text="Not Met">
      <formula>NOT(ISERROR(SEARCH("Not Met",U100)))</formula>
    </cfRule>
    <cfRule type="containsText" dxfId="1239" priority="2735" operator="containsText" text="Met">
      <formula>NOT(ISERROR(SEARCH("Met",U100)))</formula>
    </cfRule>
  </conditionalFormatting>
  <conditionalFormatting sqref="U121:V121 V125">
    <cfRule type="containsText" dxfId="1238" priority="2551" operator="containsText" text="Not Met">
      <formula>NOT(ISERROR(SEARCH("Not Met",U121)))</formula>
    </cfRule>
  </conditionalFormatting>
  <conditionalFormatting sqref="U294:V299 X294:X299">
    <cfRule type="containsText" dxfId="1237" priority="2748" operator="containsText" text="Not Met">
      <formula>NOT(ISERROR(SEARCH("Not Met",U294)))</formula>
    </cfRule>
    <cfRule type="containsText" dxfId="1236" priority="2749" operator="containsText" text="Met">
      <formula>NOT(ISERROR(SEARCH("Met",U294)))</formula>
    </cfRule>
  </conditionalFormatting>
  <conditionalFormatting sqref="U299:V299 X299">
    <cfRule type="containsText" dxfId="1235" priority="2746" operator="containsText" text="Not Met">
      <formula>NOT(ISERROR(SEARCH("Not Met",U299)))</formula>
    </cfRule>
    <cfRule type="containsText" dxfId="1234" priority="2747" operator="containsText" text="Met">
      <formula>NOT(ISERROR(SEARCH("Met",U299)))</formula>
    </cfRule>
  </conditionalFormatting>
  <conditionalFormatting sqref="U351:V354">
    <cfRule type="containsText" dxfId="1233" priority="2557" operator="containsText" text="Not Met">
      <formula>NOT(ISERROR(SEARCH("Not Met",U351)))</formula>
    </cfRule>
  </conditionalFormatting>
  <conditionalFormatting sqref="U428:V431 X428:X431 U433:V434 X433:X434">
    <cfRule type="containsText" dxfId="1232" priority="2713" operator="containsText" text="Not Met">
      <formula>NOT(ISERROR(SEARCH("Not Met",U428)))</formula>
    </cfRule>
    <cfRule type="containsText" dxfId="1231" priority="2714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1230" priority="2478" operator="containsText" text="Not Met">
      <formula>NOT(ISERROR(SEARCH("Not Met",U70)))</formula>
    </cfRule>
    <cfRule type="containsText" dxfId="1229" priority="2479" operator="containsText" text="Met">
      <formula>NOT(ISERROR(SEARCH("Met",U70)))</formula>
    </cfRule>
  </conditionalFormatting>
  <conditionalFormatting sqref="U301:Y301">
    <cfRule type="containsText" dxfId="1228" priority="2752" operator="containsText" text="Not Met">
      <formula>NOT(ISERROR(SEARCH("Not Met",U301)))</formula>
    </cfRule>
    <cfRule type="containsText" dxfId="1227" priority="2753" operator="containsText" text="Met">
      <formula>NOT(ISERROR(SEARCH("Met",U301)))</formula>
    </cfRule>
  </conditionalFormatting>
  <conditionalFormatting sqref="V2:V5">
    <cfRule type="containsText" dxfId="1226" priority="2528" operator="containsText" text="Not Met">
      <formula>NOT(ISERROR(SEARCH("Not Met",V2)))</formula>
    </cfRule>
    <cfRule type="containsText" dxfId="1225" priority="2529" operator="containsText" text="Met">
      <formula>NOT(ISERROR(SEARCH("Met",V2)))</formula>
    </cfRule>
  </conditionalFormatting>
  <conditionalFormatting sqref="V5:V6">
    <cfRule type="containsText" dxfId="1224" priority="2530" operator="containsText" text="Not Met">
      <formula>NOT(ISERROR(SEARCH("Not Met",V5)))</formula>
    </cfRule>
    <cfRule type="containsText" dxfId="1223" priority="2531" operator="containsText" text="Met">
      <formula>NOT(ISERROR(SEARCH("Met",V5)))</formula>
    </cfRule>
  </conditionalFormatting>
  <conditionalFormatting sqref="V7:V15 W12:Y15">
    <cfRule type="containsText" dxfId="1222" priority="2650" operator="containsText" text="Not Met">
      <formula>NOT(ISERROR(SEARCH("Not Met",V7)))</formula>
    </cfRule>
    <cfRule type="containsText" dxfId="1221" priority="2651" operator="containsText" text="Met">
      <formula>NOT(ISERROR(SEARCH("Met",V7)))</formula>
    </cfRule>
  </conditionalFormatting>
  <conditionalFormatting sqref="V16:V19">
    <cfRule type="containsText" dxfId="1220" priority="2636" operator="containsText" text="Not Met">
      <formula>NOT(ISERROR(SEARCH("Not Met",V16)))</formula>
    </cfRule>
    <cfRule type="containsText" dxfId="1219" priority="2637" operator="containsText" text="Met">
      <formula>NOT(ISERROR(SEARCH("Met",V16)))</formula>
    </cfRule>
    <cfRule type="containsText" dxfId="1218" priority="2638" operator="containsText" text="Not Met">
      <formula>NOT(ISERROR(SEARCH("Not Met",V16)))</formula>
    </cfRule>
    <cfRule type="containsText" dxfId="1217" priority="2639" operator="containsText" text="Met">
      <formula>NOT(ISERROR(SEARCH("Met",V16)))</formula>
    </cfRule>
  </conditionalFormatting>
  <conditionalFormatting sqref="V42:V48 X42:X48">
    <cfRule type="containsText" dxfId="1216" priority="2534" operator="containsText" text="Not Met">
      <formula>NOT(ISERROR(SEARCH("Not Met",V42)))</formula>
    </cfRule>
    <cfRule type="containsText" dxfId="1215" priority="2535" operator="containsText" text="Met">
      <formula>NOT(ISERROR(SEARCH("Met",V42)))</formula>
    </cfRule>
  </conditionalFormatting>
  <conditionalFormatting sqref="V42:V53">
    <cfRule type="containsText" dxfId="1214" priority="2510" operator="containsText" text="Not Met">
      <formula>NOT(ISERROR(SEARCH("Not Met",V42)))</formula>
    </cfRule>
    <cfRule type="containsText" dxfId="1213" priority="2511" operator="containsText" text="Met">
      <formula>NOT(ISERROR(SEARCH("Met",V42)))</formula>
    </cfRule>
  </conditionalFormatting>
  <conditionalFormatting sqref="V51">
    <cfRule type="containsText" dxfId="1212" priority="2514" operator="containsText" text="Not Met">
      <formula>NOT(ISERROR(SEARCH("Not Met",V51)))</formula>
    </cfRule>
    <cfRule type="containsText" dxfId="1211" priority="2515" operator="containsText" text="Met">
      <formula>NOT(ISERROR(SEARCH("Met",V51)))</formula>
    </cfRule>
  </conditionalFormatting>
  <conditionalFormatting sqref="V78:V89">
    <cfRule type="containsText" dxfId="1210" priority="2491" operator="containsText" text="Not met">
      <formula>NOT(ISERROR(SEARCH("Not met",V78)))</formula>
    </cfRule>
  </conditionalFormatting>
  <conditionalFormatting sqref="V90:V100">
    <cfRule type="containsText" dxfId="1209" priority="2723" operator="containsText" text="Not Met">
      <formula>NOT(ISERROR(SEARCH("Not Met",V90)))</formula>
    </cfRule>
    <cfRule type="containsText" dxfId="1208" priority="2725" operator="containsText" text="Met">
      <formula>NOT(ISERROR(SEARCH("Met",V90)))</formula>
    </cfRule>
  </conditionalFormatting>
  <conditionalFormatting sqref="V104:V110 X104:X110">
    <cfRule type="containsText" dxfId="1207" priority="2536" operator="containsText" text="Not Met">
      <formula>NOT(ISERROR(SEARCH("Not Met",V104)))</formula>
    </cfRule>
    <cfRule type="containsText" dxfId="1206" priority="2537" operator="containsText" text="Met">
      <formula>NOT(ISERROR(SEARCH("Met",V104)))</formula>
    </cfRule>
    <cfRule type="containsText" dxfId="1205" priority="2538" operator="containsText" text="Not Met">
      <formula>NOT(ISERROR(SEARCH("Not Met",V104)))</formula>
    </cfRule>
    <cfRule type="containsText" dxfId="1204" priority="2539" operator="containsText" text="Met">
      <formula>NOT(ISERROR(SEARCH("Met",V104)))</formula>
    </cfRule>
  </conditionalFormatting>
  <conditionalFormatting sqref="V119:V120 U126:V126 X119:X126 V122:W124">
    <cfRule type="containsText" dxfId="1203" priority="2553" operator="containsText" text="Not Met">
      <formula>NOT(ISERROR(SEARCH("Not Met",U119)))</formula>
    </cfRule>
  </conditionalFormatting>
  <conditionalFormatting sqref="V119:V121 V125:V126">
    <cfRule type="containsText" dxfId="1202" priority="2552" operator="containsText" text="Met">
      <formula>NOT(ISERROR(SEARCH("Met",V119)))</formula>
    </cfRule>
  </conditionalFormatting>
  <conditionalFormatting sqref="V122:V124">
    <cfRule type="containsText" dxfId="1201" priority="2540" operator="containsText" text="Met">
      <formula>NOT(ISERROR(SEARCH("Met",V122)))</formula>
    </cfRule>
  </conditionalFormatting>
  <conditionalFormatting sqref="V127">
    <cfRule type="containsText" dxfId="1200" priority="2359" operator="containsText" text="Not Met">
      <formula>NOT(ISERROR(SEARCH("Not Met",V127)))</formula>
    </cfRule>
    <cfRule type="containsText" dxfId="1199" priority="2360" operator="containsText" text="Met">
      <formula>NOT(ISERROR(SEARCH("Met",V127)))</formula>
    </cfRule>
  </conditionalFormatting>
  <conditionalFormatting sqref="V132:V138">
    <cfRule type="containsText" dxfId="1198" priority="2351" operator="containsText" text="Not Met">
      <formula>NOT(ISERROR(SEARCH("Not Met",V132)))</formula>
    </cfRule>
  </conditionalFormatting>
  <conditionalFormatting sqref="V132:V140">
    <cfRule type="containsText" dxfId="1197" priority="2352" operator="containsText" text="Met">
      <formula>NOT(ISERROR(SEARCH("Met",V132)))</formula>
    </cfRule>
  </conditionalFormatting>
  <conditionalFormatting sqref="V139:V140">
    <cfRule type="containsText" dxfId="1196" priority="2396" operator="containsText" text="Not Met">
      <formula>NOT(ISERROR(SEARCH("Not Met",V139)))</formula>
    </cfRule>
  </conditionalFormatting>
  <conditionalFormatting sqref="V142:V160">
    <cfRule type="containsText" dxfId="1195" priority="2381" operator="containsText" text="Not Met">
      <formula>NOT(ISERROR(SEARCH("Not Met",V142)))</formula>
    </cfRule>
    <cfRule type="containsText" dxfId="1194" priority="2382" operator="containsText" text="Met">
      <formula>NOT(ISERROR(SEARCH("Met",V142)))</formula>
    </cfRule>
  </conditionalFormatting>
  <conditionalFormatting sqref="V149:V160">
    <cfRule type="containsText" dxfId="1193" priority="2691" operator="containsText" text="Not Met">
      <formula>NOT(ISERROR(SEARCH("Not Met",V149)))</formula>
    </cfRule>
    <cfRule type="containsText" dxfId="1192" priority="2692" operator="containsText" text="Met">
      <formula>NOT(ISERROR(SEARCH("Met",V149)))</formula>
    </cfRule>
  </conditionalFormatting>
  <conditionalFormatting sqref="V169:V184 X181:X184">
    <cfRule type="containsText" dxfId="1191" priority="2482" operator="containsText" text="Not Met">
      <formula>NOT(ISERROR(SEARCH("Not Met",V169)))</formula>
    </cfRule>
    <cfRule type="containsText" dxfId="1190" priority="2483" operator="containsText" text="Met">
      <formula>NOT(ISERROR(SEARCH("Met",V169)))</formula>
    </cfRule>
  </conditionalFormatting>
  <conditionalFormatting sqref="V180">
    <cfRule type="containsText" dxfId="1189" priority="2480" operator="containsText" text="Not Met">
      <formula>NOT(ISERROR(SEARCH("Not Met",V180)))</formula>
    </cfRule>
    <cfRule type="containsText" dxfId="1188" priority="2481" operator="containsText" text="Met">
      <formula>NOT(ISERROR(SEARCH("Met",V180)))</formula>
    </cfRule>
  </conditionalFormatting>
  <conditionalFormatting sqref="V187">
    <cfRule type="containsText" dxfId="1187" priority="2375" operator="containsText" text="Not Met">
      <formula>NOT(ISERROR(SEARCH("Not Met",V187)))</formula>
    </cfRule>
    <cfRule type="containsText" dxfId="1186" priority="2376" operator="containsText" text="Met">
      <formula>NOT(ISERROR(SEARCH("Met",V187)))</formula>
    </cfRule>
  </conditionalFormatting>
  <conditionalFormatting sqref="V190:V195">
    <cfRule type="containsText" dxfId="1185" priority="2367" operator="containsText" text="Not Met">
      <formula>NOT(ISERROR(SEARCH("Not Met",V190)))</formula>
    </cfRule>
    <cfRule type="containsText" dxfId="1184" priority="2368" operator="containsText" text="Met">
      <formula>NOT(ISERROR(SEARCH("Met",V190)))</formula>
    </cfRule>
  </conditionalFormatting>
  <conditionalFormatting sqref="V196:V203 V206:V242 X196:X199 X202:X242">
    <cfRule type="containsText" dxfId="1183" priority="2614" operator="containsText" text="Not Met">
      <formula>NOT(ISERROR(SEARCH("Not Met",V196)))</formula>
    </cfRule>
  </conditionalFormatting>
  <conditionalFormatting sqref="V196:V204">
    <cfRule type="containsText" dxfId="1182" priority="2613" operator="containsText" text="Met">
      <formula>NOT(ISERROR(SEARCH("Met",V196)))</formula>
    </cfRule>
  </conditionalFormatting>
  <conditionalFormatting sqref="V204">
    <cfRule type="containsText" dxfId="1181" priority="2600" operator="containsText" text="Not Met">
      <formula>NOT(ISERROR(SEARCH("Not Met",V204)))</formula>
    </cfRule>
    <cfRule type="containsText" dxfId="1180" priority="2601" operator="containsText" text="Met">
      <formula>NOT(ISERROR(SEARCH("Met",V204)))</formula>
    </cfRule>
    <cfRule type="containsText" dxfId="1179" priority="2602" operator="containsText" text="Not Met">
      <formula>NOT(ISERROR(SEARCH("Not Met",V204)))</formula>
    </cfRule>
    <cfRule type="containsText" dxfId="1178" priority="2603" operator="containsText" text="Met">
      <formula>NOT(ISERROR(SEARCH("Met",V204)))</formula>
    </cfRule>
    <cfRule type="containsText" dxfId="1177" priority="2604" operator="containsText" text="Not Met">
      <formula>NOT(ISERROR(SEARCH("Not Met",V204)))</formula>
    </cfRule>
    <cfRule type="containsText" dxfId="1176" priority="2605" operator="containsText" text="Met">
      <formula>NOT(ISERROR(SEARCH("Met",V204)))</formula>
    </cfRule>
    <cfRule type="containsText" dxfId="1175" priority="2606" operator="containsText" text="Not Met">
      <formula>NOT(ISERROR(SEARCH("Not Met",V204)))</formula>
    </cfRule>
    <cfRule type="containsText" dxfId="1174" priority="2607" operator="containsText" text="Met">
      <formula>NOT(ISERROR(SEARCH("Met",V204)))</formula>
    </cfRule>
    <cfRule type="containsText" dxfId="1173" priority="2608" operator="containsText" text="Not Met">
      <formula>NOT(ISERROR(SEARCH("Not Met",V204)))</formula>
    </cfRule>
    <cfRule type="containsText" dxfId="1172" priority="2609" operator="containsText" text="Met">
      <formula>NOT(ISERROR(SEARCH("Met",V204)))</formula>
    </cfRule>
    <cfRule type="containsText" dxfId="1171" priority="2610" operator="containsText" text="Not Met">
      <formula>NOT(ISERROR(SEARCH("Not Met",V204)))</formula>
    </cfRule>
    <cfRule type="containsText" dxfId="1170" priority="2611" operator="containsText" text="Met">
      <formula>NOT(ISERROR(SEARCH("Met",V204)))</formula>
    </cfRule>
    <cfRule type="containsText" dxfId="1169" priority="2612" operator="containsText" text="Not Met">
      <formula>NOT(ISERROR(SEARCH("Not Met",V204)))</formula>
    </cfRule>
  </conditionalFormatting>
  <conditionalFormatting sqref="V204:V205">
    <cfRule type="containsText" dxfId="1168" priority="2596" operator="containsText" text="Not Met">
      <formula>NOT(ISERROR(SEARCH("Not Met",V204)))</formula>
    </cfRule>
  </conditionalFormatting>
  <conditionalFormatting sqref="V204:V225">
    <cfRule type="containsText" dxfId="1167" priority="2597" operator="containsText" text="Met">
      <formula>NOT(ISERROR(SEARCH("Met",V204)))</formula>
    </cfRule>
  </conditionalFormatting>
  <conditionalFormatting sqref="V205">
    <cfRule type="containsText" dxfId="1166" priority="2582" operator="containsText" text="Not Met">
      <formula>NOT(ISERROR(SEARCH("Not Met",V205)))</formula>
    </cfRule>
    <cfRule type="containsText" dxfId="1165" priority="2583" operator="containsText" text="Met">
      <formula>NOT(ISERROR(SEARCH("Met",V205)))</formula>
    </cfRule>
    <cfRule type="containsText" dxfId="1164" priority="2584" operator="containsText" text="Not Met">
      <formula>NOT(ISERROR(SEARCH("Not Met",V205)))</formula>
    </cfRule>
    <cfRule type="containsText" dxfId="1163" priority="2585" operator="containsText" text="Met">
      <formula>NOT(ISERROR(SEARCH("Met",V205)))</formula>
    </cfRule>
    <cfRule type="containsText" dxfId="1162" priority="2586" operator="containsText" text="Not Met">
      <formula>NOT(ISERROR(SEARCH("Not Met",V205)))</formula>
    </cfRule>
    <cfRule type="containsText" dxfId="1161" priority="2587" operator="containsText" text="Met">
      <formula>NOT(ISERROR(SEARCH("Met",V205)))</formula>
    </cfRule>
    <cfRule type="containsText" dxfId="1160" priority="2588" operator="containsText" text="Not Met">
      <formula>NOT(ISERROR(SEARCH("Not Met",V205)))</formula>
    </cfRule>
    <cfRule type="containsText" dxfId="1159" priority="2589" operator="containsText" text="Met">
      <formula>NOT(ISERROR(SEARCH("Met",V205)))</formula>
    </cfRule>
    <cfRule type="containsText" dxfId="1158" priority="2590" operator="containsText" text="Not Met">
      <formula>NOT(ISERROR(SEARCH("Not Met",V205)))</formula>
    </cfRule>
    <cfRule type="containsText" dxfId="1157" priority="2591" operator="containsText" text="Met">
      <formula>NOT(ISERROR(SEARCH("Met",V205)))</formula>
    </cfRule>
    <cfRule type="containsText" dxfId="1156" priority="2592" operator="containsText" text="Not Met">
      <formula>NOT(ISERROR(SEARCH("Not Met",V205)))</formula>
    </cfRule>
    <cfRule type="containsText" dxfId="1155" priority="2593" operator="containsText" text="Met">
      <formula>NOT(ISERROR(SEARCH("Met",V205)))</formula>
    </cfRule>
    <cfRule type="containsText" dxfId="1154" priority="2594" operator="containsText" text="Not Met">
      <formula>NOT(ISERROR(SEARCH("Not Met",V205)))</formula>
    </cfRule>
    <cfRule type="containsText" dxfId="1153" priority="2595" operator="containsText" text="Met">
      <formula>NOT(ISERROR(SEARCH("Met",V205)))</formula>
    </cfRule>
  </conditionalFormatting>
  <conditionalFormatting sqref="V226:V242">
    <cfRule type="containsText" dxfId="1152" priority="2682" operator="containsText" text="Met">
      <formula>NOT(ISERROR(SEARCH("Met",V226)))</formula>
    </cfRule>
    <cfRule type="containsText" dxfId="1151" priority="2683" operator="containsText" text="Not Met">
      <formula>NOT(ISERROR(SEARCH("Not Met",V226)))</formula>
    </cfRule>
    <cfRule type="containsText" dxfId="1150" priority="2684" operator="containsText" text="Met">
      <formula>NOT(ISERROR(SEARCH("Met",V226)))</formula>
    </cfRule>
  </conditionalFormatting>
  <conditionalFormatting sqref="V257:V270 X257:X270">
    <cfRule type="containsText" dxfId="1149" priority="2673" operator="containsText" text="Not Met">
      <formula>NOT(ISERROR(SEARCH("Not Met",V257)))</formula>
    </cfRule>
    <cfRule type="containsText" dxfId="1148" priority="2674" operator="containsText" text="Met">
      <formula>NOT(ISERROR(SEARCH("Met",V257)))</formula>
    </cfRule>
    <cfRule type="containsText" dxfId="1147" priority="2675" operator="containsText" text="Not Met">
      <formula>NOT(ISERROR(SEARCH("Not Met",V257)))</formula>
    </cfRule>
    <cfRule type="containsText" dxfId="1146" priority="2676" operator="containsText" text="Met">
      <formula>NOT(ISERROR(SEARCH("Met",V257)))</formula>
    </cfRule>
  </conditionalFormatting>
  <conditionalFormatting sqref="V280:V286 X280:X286">
    <cfRule type="containsText" dxfId="1145" priority="2760" operator="containsText" text="Not Met">
      <formula>NOT(ISERROR(SEARCH("Not Met",V280)))</formula>
    </cfRule>
    <cfRule type="containsText" dxfId="1144" priority="2761" operator="containsText" text="Met">
      <formula>NOT(ISERROR(SEARCH("Met",V280)))</formula>
    </cfRule>
  </conditionalFormatting>
  <conditionalFormatting sqref="V280:V293">
    <cfRule type="containsText" dxfId="1143" priority="2671" operator="containsText" text="Not Met">
      <formula>NOT(ISERROR(SEARCH("Not Met",V280)))</formula>
    </cfRule>
    <cfRule type="containsText" dxfId="1142" priority="2672" operator="containsText" text="Met">
      <formula>NOT(ISERROR(SEARCH("Met",V280)))</formula>
    </cfRule>
  </conditionalFormatting>
  <conditionalFormatting sqref="V287:V293">
    <cfRule type="containsText" dxfId="1141" priority="2669" operator="containsText" text="Not Met">
      <formula>NOT(ISERROR(SEARCH("Not Met",V287)))</formula>
    </cfRule>
    <cfRule type="containsText" dxfId="1140" priority="2670" operator="containsText" text="Met">
      <formula>NOT(ISERROR(SEARCH("Met",V287)))</formula>
    </cfRule>
  </conditionalFormatting>
  <conditionalFormatting sqref="V300:V301 X300:X301">
    <cfRule type="containsText" dxfId="1139" priority="2754" operator="containsText" text="Not Met">
      <formula>NOT(ISERROR(SEARCH("Not Met",V300)))</formula>
    </cfRule>
    <cfRule type="containsText" dxfId="1138" priority="2755" operator="containsText" text="Met">
      <formula>NOT(ISERROR(SEARCH("Met",V300)))</formula>
    </cfRule>
  </conditionalFormatting>
  <conditionalFormatting sqref="V301:V308">
    <cfRule type="containsText" dxfId="1137" priority="2663" operator="containsText" text="Not Met">
      <formula>NOT(ISERROR(SEARCH("Not Met",V301)))</formula>
    </cfRule>
    <cfRule type="containsText" dxfId="1136" priority="2664" operator="containsText" text="Met">
      <formula>NOT(ISERROR(SEARCH("Met",V301)))</formula>
    </cfRule>
  </conditionalFormatting>
  <conditionalFormatting sqref="V302:V308">
    <cfRule type="containsText" dxfId="1135" priority="2661" operator="containsText" text="Not Met">
      <formula>NOT(ISERROR(SEARCH("Not Met",V302)))</formula>
    </cfRule>
    <cfRule type="containsText" dxfId="1134" priority="2662" operator="containsText" text="Met">
      <formula>NOT(ISERROR(SEARCH("Met",V302)))</formula>
    </cfRule>
  </conditionalFormatting>
  <conditionalFormatting sqref="V317:V328">
    <cfRule type="containsText" dxfId="1133" priority="2706" operator="containsText" text="Met">
      <formula>NOT(ISERROR(SEARCH("Met",V317)))</formula>
    </cfRule>
    <cfRule type="containsText" dxfId="1132" priority="2707" operator="containsText" text="Not Met">
      <formula>NOT(ISERROR(SEARCH("Not Met",V317)))</formula>
    </cfRule>
    <cfRule type="containsText" dxfId="1131" priority="2708" operator="containsText" text="Met">
      <formula>NOT(ISERROR(SEARCH("Met",V317)))</formula>
    </cfRule>
    <cfRule type="containsText" dxfId="1130" priority="2709" operator="containsText" text="Not Met">
      <formula>NOT(ISERROR(SEARCH("Not Met",V317)))</formula>
    </cfRule>
    <cfRule type="containsText" dxfId="1129" priority="2710" operator="containsText" text="Met">
      <formula>NOT(ISERROR(SEARCH("Met",V317)))</formula>
    </cfRule>
  </conditionalFormatting>
  <conditionalFormatting sqref="V317:V330 X317:X330 V332:V336 X332:X336">
    <cfRule type="containsText" dxfId="1128" priority="2555" operator="containsText" text="Not Met">
      <formula>NOT(ISERROR(SEARCH("Not Met",V317)))</formula>
    </cfRule>
  </conditionalFormatting>
  <conditionalFormatting sqref="V329:V330 X329:X330">
    <cfRule type="containsText" dxfId="1127" priority="2554" operator="containsText" text="Met">
      <formula>NOT(ISERROR(SEARCH("Met",V329)))</formula>
    </cfRule>
  </conditionalFormatting>
  <conditionalFormatting sqref="V332:V351">
    <cfRule type="containsText" dxfId="1126" priority="2523" operator="containsText" text="Met">
      <formula>NOT(ISERROR(SEARCH("Met",V332)))</formula>
    </cfRule>
  </conditionalFormatting>
  <conditionalFormatting sqref="V337:V343">
    <cfRule type="containsText" dxfId="1125" priority="2520" operator="containsText" text="Not Met">
      <formula>NOT(ISERROR(SEARCH("Not Met",V337)))</formula>
    </cfRule>
    <cfRule type="containsText" dxfId="1124" priority="2521" operator="containsText" text="Met">
      <formula>NOT(ISERROR(SEARCH("Met",V337)))</formula>
    </cfRule>
    <cfRule type="containsText" dxfId="1123" priority="2522" operator="containsText" text="Not Met">
      <formula>NOT(ISERROR(SEARCH("Not Met",V337)))</formula>
    </cfRule>
  </conditionalFormatting>
  <conditionalFormatting sqref="V352:V354 X352:X359 U356:V356 U358:V359">
    <cfRule type="containsText" dxfId="1122" priority="2742" operator="containsText" text="Not Met">
      <formula>NOT(ISERROR(SEARCH("Not Met",U352)))</formula>
    </cfRule>
    <cfRule type="containsText" dxfId="1121" priority="2743" operator="containsText" text="Met">
      <formula>NOT(ISERROR(SEARCH("Met",U352)))</formula>
    </cfRule>
  </conditionalFormatting>
  <conditionalFormatting sqref="V367:V382 V419:V424 V384:V417">
    <cfRule type="containsText" dxfId="1120" priority="2469" operator="containsText" text="Met">
      <formula>NOT(ISERROR(SEARCH("Met",V367)))</formula>
    </cfRule>
  </conditionalFormatting>
  <conditionalFormatting sqref="V367:V382 V419:V424">
    <cfRule type="containsText" dxfId="1119" priority="2468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1118" priority="2473" operator="containsText" text="Met">
      <formula>NOT(ISERROR(SEARCH("Met",V381)))</formula>
    </cfRule>
  </conditionalFormatting>
  <conditionalFormatting sqref="V384:V417">
    <cfRule type="containsText" dxfId="1117" priority="2467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1116" priority="2472" operator="containsText" text="Not Met">
      <formula>NOT(ISERROR(SEARCH("Not Met",V381)))</formula>
    </cfRule>
  </conditionalFormatting>
  <conditionalFormatting sqref="V426">
    <cfRule type="containsText" dxfId="1115" priority="2470" operator="containsText" text="Not Met">
      <formula>NOT(ISERROR(SEARCH("Not Met",V426)))</formula>
    </cfRule>
    <cfRule type="containsText" dxfId="1114" priority="2471" operator="containsText" text="Met">
      <formula>NOT(ISERROR(SEARCH("Met",V426)))</formula>
    </cfRule>
  </conditionalFormatting>
  <conditionalFormatting sqref="V428:V431 X428:X431">
    <cfRule type="containsText" dxfId="1113" priority="2711" operator="containsText" text="Not Met">
      <formula>NOT(ISERROR(SEARCH("Not Met",V428)))</formula>
    </cfRule>
    <cfRule type="containsText" dxfId="1112" priority="2712" operator="containsText" text="Met">
      <formula>NOT(ISERROR(SEARCH("Met",V428)))</formula>
    </cfRule>
  </conditionalFormatting>
  <conditionalFormatting sqref="V450:V457 X450:X457">
    <cfRule type="containsText" dxfId="1111" priority="2655" operator="containsText" text="Not Met">
      <formula>NOT(ISERROR(SEARCH("Not Met",V450)))</formula>
    </cfRule>
  </conditionalFormatting>
  <conditionalFormatting sqref="V450:V457">
    <cfRule type="containsText" dxfId="1110" priority="2654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1109" priority="2476" operator="containsText" text="Not Met">
      <formula>NOT(ISERROR(SEARCH("Not Met",V70)))</formula>
    </cfRule>
    <cfRule type="containsText" dxfId="1108" priority="2477" operator="containsText" text="Met">
      <formula>NOT(ISERROR(SEARCH("Met",V70)))</formula>
    </cfRule>
  </conditionalFormatting>
  <conditionalFormatting sqref="V355:X355 V357:X357">
    <cfRule type="containsText" dxfId="1107" priority="2744" operator="containsText" text="Not Met">
      <formula>NOT(ISERROR(SEARCH("Not Met",V355)))</formula>
    </cfRule>
    <cfRule type="containsText" dxfId="1106" priority="2745" operator="containsText" text="Met">
      <formula>NOT(ISERROR(SEARCH("Met",V355)))</formula>
    </cfRule>
  </conditionalFormatting>
  <conditionalFormatting sqref="V101:Y103">
    <cfRule type="containsText" dxfId="1105" priority="2738" operator="containsText" text="Not Met">
      <formula>NOT(ISERROR(SEARCH("Not Met",V101)))</formula>
    </cfRule>
    <cfRule type="containsText" dxfId="1104" priority="2739" operator="containsText" text="Met">
      <formula>NOT(ISERROR(SEARCH("Met",V101)))</formula>
    </cfRule>
  </conditionalFormatting>
  <conditionalFormatting sqref="V458:Y485">
    <cfRule type="containsText" dxfId="1103" priority="2245" operator="containsText" text="Not Met">
      <formula>NOT(ISERROR(SEARCH("Not Met",V458)))</formula>
    </cfRule>
    <cfRule type="containsText" dxfId="1102" priority="2246" operator="containsText" text="Met">
      <formula>NOT(ISERROR(SEARCH("Met",V458)))</formula>
    </cfRule>
  </conditionalFormatting>
  <conditionalFormatting sqref="W389">
    <cfRule type="containsText" dxfId="1101" priority="2463" operator="containsText" text="Not Met">
      <formula>NOT(ISERROR(SEARCH("Not Met",W389)))</formula>
    </cfRule>
    <cfRule type="containsText" dxfId="1100" priority="2464" operator="containsText" text="Met">
      <formula>NOT(ISERROR(SEARCH("Met",W389)))</formula>
    </cfRule>
    <cfRule type="containsText" dxfId="1099" priority="2465" operator="containsText" text="Not Met">
      <formula>NOT(ISERROR(SEARCH("Not Met",W389)))</formula>
    </cfRule>
    <cfRule type="containsText" dxfId="1098" priority="2466" operator="containsText" text="Met">
      <formula>NOT(ISERROR(SEARCH("Met",W389)))</formula>
    </cfRule>
  </conditionalFormatting>
  <conditionalFormatting sqref="W309:X328">
    <cfRule type="containsText" dxfId="1097" priority="2703" operator="containsText" text="Not Met">
      <formula>NOT(ISERROR(SEARCH("Not Met",W309)))</formula>
    </cfRule>
    <cfRule type="containsText" dxfId="1096" priority="2704" operator="containsText" text="Met">
      <formula>NOT(ISERROR(SEARCH("Met",W309)))</formula>
    </cfRule>
  </conditionalFormatting>
  <conditionalFormatting sqref="X2:X5">
    <cfRule type="containsText" dxfId="1095" priority="2524" operator="containsText" text="Not Met">
      <formula>NOT(ISERROR(SEARCH("Not Met",X2)))</formula>
    </cfRule>
    <cfRule type="containsText" dxfId="1094" priority="2525" operator="containsText" text="Met">
      <formula>NOT(ISERROR(SEARCH("Met",X2)))</formula>
    </cfRule>
  </conditionalFormatting>
  <conditionalFormatting sqref="X5:X10">
    <cfRule type="containsText" dxfId="1093" priority="2526" operator="containsText" text="Not Met">
      <formula>NOT(ISERROR(SEARCH("Not Met",X5)))</formula>
    </cfRule>
    <cfRule type="containsText" dxfId="1092" priority="2527" operator="containsText" text="Met">
      <formula>NOT(ISERROR(SEARCH("Met",X5)))</formula>
    </cfRule>
  </conditionalFormatting>
  <conditionalFormatting sqref="X42:X53">
    <cfRule type="containsText" dxfId="1091" priority="2504" operator="containsText" text="Not Met">
      <formula>NOT(ISERROR(SEARCH("Not Met",X42)))</formula>
    </cfRule>
    <cfRule type="containsText" dxfId="1090" priority="2505" operator="containsText" text="Met">
      <formula>NOT(ISERROR(SEARCH("Met",X42)))</formula>
    </cfRule>
  </conditionalFormatting>
  <conditionalFormatting sqref="X51">
    <cfRule type="containsText" dxfId="1089" priority="2508" operator="containsText" text="Not Met">
      <formula>NOT(ISERROR(SEARCH("Not Met",X51)))</formula>
    </cfRule>
    <cfRule type="containsText" dxfId="1088" priority="2509" operator="containsText" text="Met">
      <formula>NOT(ISERROR(SEARCH("Met",X51)))</formula>
    </cfRule>
  </conditionalFormatting>
  <conditionalFormatting sqref="X78:X89">
    <cfRule type="containsText" dxfId="1087" priority="2486" operator="containsText" text="Not met">
      <formula>NOT(ISERROR(SEARCH("Not met",X78)))</formula>
    </cfRule>
  </conditionalFormatting>
  <conditionalFormatting sqref="X90:X100">
    <cfRule type="containsText" dxfId="1086" priority="2720" operator="containsText" text="Not Met">
      <formula>NOT(ISERROR(SEARCH("Not Met",X90)))</formula>
    </cfRule>
    <cfRule type="containsText" dxfId="1085" priority="2722" operator="containsText" text="Met">
      <formula>NOT(ISERROR(SEARCH("Met",X90)))</formula>
    </cfRule>
  </conditionalFormatting>
  <conditionalFormatting sqref="X119:X126">
    <cfRule type="containsText" dxfId="1084" priority="2543" operator="containsText" text="Not Met">
      <formula>NOT(ISERROR(SEARCH("Not Met",X119)))</formula>
    </cfRule>
    <cfRule type="containsText" dxfId="1083" priority="2544" operator="containsText" text="Met">
      <formula>NOT(ISERROR(SEARCH("Met",X119)))</formula>
    </cfRule>
  </conditionalFormatting>
  <conditionalFormatting sqref="X119:X127">
    <cfRule type="containsText" dxfId="1082" priority="2357" operator="containsText" text="Not Met">
      <formula>NOT(ISERROR(SEARCH("Not Met",X119)))</formula>
    </cfRule>
    <cfRule type="containsText" dxfId="1081" priority="2358" operator="containsText" text="Met">
      <formula>NOT(ISERROR(SEARCH("Met",X119)))</formula>
    </cfRule>
  </conditionalFormatting>
  <conditionalFormatting sqref="X132:X137">
    <cfRule type="containsText" dxfId="1080" priority="2349" operator="containsText" text="Not Met">
      <formula>NOT(ISERROR(SEARCH("Not Met",X132)))</formula>
    </cfRule>
    <cfRule type="containsText" dxfId="1079" priority="2350" operator="containsText" text="Met">
      <formula>NOT(ISERROR(SEARCH("Met",X132)))</formula>
    </cfRule>
  </conditionalFormatting>
  <conditionalFormatting sqref="X138:X140">
    <cfRule type="containsText" dxfId="1078" priority="2390" operator="containsText" text="Met">
      <formula>NOT(ISERROR(SEARCH("Met",X138)))</formula>
    </cfRule>
  </conditionalFormatting>
  <conditionalFormatting sqref="X139:X140">
    <cfRule type="containsText" dxfId="1077" priority="2391" operator="containsText" text="Not Met">
      <formula>NOT(ISERROR(SEARCH("Not Met",X139)))</formula>
    </cfRule>
  </conditionalFormatting>
  <conditionalFormatting sqref="X142:X160">
    <cfRule type="containsText" dxfId="1076" priority="2383" operator="containsText" text="Not Met">
      <formula>NOT(ISERROR(SEARCH("Not Met",X142)))</formula>
    </cfRule>
    <cfRule type="containsText" dxfId="1075" priority="2384" operator="containsText" text="Met">
      <formula>NOT(ISERROR(SEARCH("Met",X142)))</formula>
    </cfRule>
  </conditionalFormatting>
  <conditionalFormatting sqref="X149:X160">
    <cfRule type="containsText" dxfId="1074" priority="2687" operator="containsText" text="Not Met">
      <formula>NOT(ISERROR(SEARCH("Not Met",X149)))</formula>
    </cfRule>
    <cfRule type="containsText" dxfId="1073" priority="2688" operator="containsText" text="Met">
      <formula>NOT(ISERROR(SEARCH("Met",X149)))</formula>
    </cfRule>
  </conditionalFormatting>
  <conditionalFormatting sqref="X169:X176">
    <cfRule type="containsText" dxfId="1072" priority="2498" operator="containsText" text="Not Met">
      <formula>NOT(ISERROR(SEARCH("Not Met",X169)))</formula>
    </cfRule>
    <cfRule type="containsText" dxfId="1071" priority="2499" operator="containsText" text="Met">
      <formula>NOT(ISERROR(SEARCH("Met",X169)))</formula>
    </cfRule>
  </conditionalFormatting>
  <conditionalFormatting sqref="X187">
    <cfRule type="containsText" dxfId="1070" priority="2373" operator="containsText" text="Not Met">
      <formula>NOT(ISERROR(SEARCH("Not Met",X187)))</formula>
    </cfRule>
    <cfRule type="containsText" dxfId="1069" priority="2374" operator="containsText" text="Met">
      <formula>NOT(ISERROR(SEARCH("Met",X187)))</formula>
    </cfRule>
  </conditionalFormatting>
  <conditionalFormatting sqref="X190:X195">
    <cfRule type="containsText" dxfId="1068" priority="2365" operator="containsText" text="Not Met">
      <formula>NOT(ISERROR(SEARCH("Not Met",X190)))</formula>
    </cfRule>
    <cfRule type="containsText" dxfId="1067" priority="2366" operator="containsText" text="Met">
      <formula>NOT(ISERROR(SEARCH("Met",X190)))</formula>
    </cfRule>
  </conditionalFormatting>
  <conditionalFormatting sqref="X196:X225">
    <cfRule type="containsText" dxfId="1066" priority="2581" operator="containsText" text="Met">
      <formula>NOT(ISERROR(SEARCH("Met",X196)))</formula>
    </cfRule>
  </conditionalFormatting>
  <conditionalFormatting sqref="X200:X201">
    <cfRule type="containsText" dxfId="1065" priority="2566" operator="containsText" text="Not Met">
      <formula>NOT(ISERROR(SEARCH("Not Met",X200)))</formula>
    </cfRule>
    <cfRule type="containsText" dxfId="1064" priority="2567" operator="containsText" text="Met">
      <formula>NOT(ISERROR(SEARCH("Met",X200)))</formula>
    </cfRule>
    <cfRule type="containsText" dxfId="1063" priority="2568" operator="containsText" text="Not Met">
      <formula>NOT(ISERROR(SEARCH("Not Met",X200)))</formula>
    </cfRule>
    <cfRule type="containsText" dxfId="1062" priority="2569" operator="containsText" text="Met">
      <formula>NOT(ISERROR(SEARCH("Met",X200)))</formula>
    </cfRule>
    <cfRule type="containsText" dxfId="1061" priority="2570" operator="containsText" text="Not Met">
      <formula>NOT(ISERROR(SEARCH("Not Met",X200)))</formula>
    </cfRule>
    <cfRule type="containsText" dxfId="1060" priority="2571" operator="containsText" text="Met">
      <formula>NOT(ISERROR(SEARCH("Met",X200)))</formula>
    </cfRule>
    <cfRule type="containsText" dxfId="1059" priority="2572" operator="containsText" text="Not Met">
      <formula>NOT(ISERROR(SEARCH("Not Met",X200)))</formula>
    </cfRule>
    <cfRule type="containsText" dxfId="1058" priority="2573" operator="containsText" text="Met">
      <formula>NOT(ISERROR(SEARCH("Met",X200)))</formula>
    </cfRule>
    <cfRule type="containsText" dxfId="1057" priority="2574" operator="containsText" text="Not Met">
      <formula>NOT(ISERROR(SEARCH("Not Met",X200)))</formula>
    </cfRule>
    <cfRule type="containsText" dxfId="1056" priority="2575" operator="containsText" text="Met">
      <formula>NOT(ISERROR(SEARCH("Met",X200)))</formula>
    </cfRule>
    <cfRule type="containsText" dxfId="1055" priority="2576" operator="containsText" text="Not Met">
      <formula>NOT(ISERROR(SEARCH("Not Met",X200)))</formula>
    </cfRule>
    <cfRule type="containsText" dxfId="1054" priority="2577" operator="containsText" text="Met">
      <formula>NOT(ISERROR(SEARCH("Met",X200)))</formula>
    </cfRule>
    <cfRule type="containsText" dxfId="1053" priority="2578" operator="containsText" text="Not Met">
      <formula>NOT(ISERROR(SEARCH("Not Met",X200)))</formula>
    </cfRule>
    <cfRule type="containsText" dxfId="1052" priority="2579" operator="containsText" text="Met">
      <formula>NOT(ISERROR(SEARCH("Met",X200)))</formula>
    </cfRule>
  </conditionalFormatting>
  <conditionalFormatting sqref="X226:X242">
    <cfRule type="containsText" dxfId="1051" priority="2678" operator="containsText" text="Met">
      <formula>NOT(ISERROR(SEARCH("Met",X226)))</formula>
    </cfRule>
    <cfRule type="containsText" dxfId="1050" priority="2679" operator="containsText" text="Not Met">
      <formula>NOT(ISERROR(SEARCH("Not Met",X226)))</formula>
    </cfRule>
    <cfRule type="containsText" dxfId="1049" priority="2680" operator="containsText" text="Met">
      <formula>NOT(ISERROR(SEARCH("Met",X226)))</formula>
    </cfRule>
  </conditionalFormatting>
  <conditionalFormatting sqref="X280:X293">
    <cfRule type="containsText" dxfId="1048" priority="2667" operator="containsText" text="Not Met">
      <formula>NOT(ISERROR(SEARCH("Not Met",X280)))</formula>
    </cfRule>
    <cfRule type="containsText" dxfId="1047" priority="2668" operator="containsText" text="Met">
      <formula>NOT(ISERROR(SEARCH("Met",X280)))</formula>
    </cfRule>
  </conditionalFormatting>
  <conditionalFormatting sqref="X287:X293">
    <cfRule type="containsText" dxfId="1046" priority="2665" operator="containsText" text="Not Met">
      <formula>NOT(ISERROR(SEARCH("Not Met",X287)))</formula>
    </cfRule>
    <cfRule type="containsText" dxfId="1045" priority="2666" operator="containsText" text="Met">
      <formula>NOT(ISERROR(SEARCH("Met",X287)))</formula>
    </cfRule>
  </conditionalFormatting>
  <conditionalFormatting sqref="X301:X308">
    <cfRule type="containsText" dxfId="1044" priority="2659" operator="containsText" text="Not Met">
      <formula>NOT(ISERROR(SEARCH("Not Met",X301)))</formula>
    </cfRule>
    <cfRule type="containsText" dxfId="1043" priority="2660" operator="containsText" text="Met">
      <formula>NOT(ISERROR(SEARCH("Met",X301)))</formula>
    </cfRule>
  </conditionalFormatting>
  <conditionalFormatting sqref="X302:X308">
    <cfRule type="containsText" dxfId="1042" priority="2657" operator="containsText" text="Not Met">
      <formula>NOT(ISERROR(SEARCH("Not Met",X302)))</formula>
    </cfRule>
    <cfRule type="containsText" dxfId="1041" priority="2658" operator="containsText" text="Met">
      <formula>NOT(ISERROR(SEARCH("Met",X302)))</formula>
    </cfRule>
  </conditionalFormatting>
  <conditionalFormatting sqref="X317:X328">
    <cfRule type="containsText" dxfId="1040" priority="2700" operator="containsText" text="Met">
      <formula>NOT(ISERROR(SEARCH("Met",X317)))</formula>
    </cfRule>
    <cfRule type="containsText" dxfId="1039" priority="2701" operator="containsText" text="Not Met">
      <formula>NOT(ISERROR(SEARCH("Not Met",X317)))</formula>
    </cfRule>
    <cfRule type="containsText" dxfId="1038" priority="2702" operator="containsText" text="Met">
      <formula>NOT(ISERROR(SEARCH("Met",X317)))</formula>
    </cfRule>
  </conditionalFormatting>
  <conditionalFormatting sqref="X332:X345">
    <cfRule type="containsText" dxfId="1037" priority="2519" operator="containsText" text="Met">
      <formula>NOT(ISERROR(SEARCH("Met",X332)))</formula>
    </cfRule>
  </conditionalFormatting>
  <conditionalFormatting sqref="X337:X343">
    <cfRule type="containsText" dxfId="1036" priority="2516" operator="containsText" text="Not Met">
      <formula>NOT(ISERROR(SEARCH("Not Met",X337)))</formula>
    </cfRule>
    <cfRule type="containsText" dxfId="1035" priority="2517" operator="containsText" text="Met">
      <formula>NOT(ISERROR(SEARCH("Met",X337)))</formula>
    </cfRule>
    <cfRule type="containsText" dxfId="1034" priority="2518" operator="containsText" text="Not Met">
      <formula>NOT(ISERROR(SEARCH("Not Met",X337)))</formula>
    </cfRule>
  </conditionalFormatting>
  <conditionalFormatting sqref="X344:X351">
    <cfRule type="containsText" dxfId="1033" priority="2560" operator="containsText" text="Met">
      <formula>NOT(ISERROR(SEARCH("Met",X344)))</formula>
    </cfRule>
  </conditionalFormatting>
  <conditionalFormatting sqref="X344:X359 R346:W346 R350:W350">
    <cfRule type="containsText" dxfId="1032" priority="2565" operator="containsText" text="Not Met">
      <formula>NOT(ISERROR(SEARCH("Not Met",R344)))</formula>
    </cfRule>
  </conditionalFormatting>
  <conditionalFormatting sqref="X347:X349 X351 V344:V345 V347:V349 X344:X345">
    <cfRule type="containsText" dxfId="1031" priority="2559" operator="containsText" text="Not Met">
      <formula>NOT(ISERROR(SEARCH("Not Met",V344)))</formula>
    </cfRule>
  </conditionalFormatting>
  <conditionalFormatting sqref="X347:X349">
    <cfRule type="containsText" dxfId="1030" priority="2558" operator="containsText" text="Met">
      <formula>NOT(ISERROR(SEARCH("Met",X347)))</formula>
    </cfRule>
  </conditionalFormatting>
  <conditionalFormatting sqref="X351">
    <cfRule type="containsText" dxfId="1029" priority="2556" operator="containsText" text="Met">
      <formula>NOT(ISERROR(SEARCH("Met",X351)))</formula>
    </cfRule>
  </conditionalFormatting>
  <conditionalFormatting sqref="X352:X359 V352:V354">
    <cfRule type="containsText" dxfId="1028" priority="2741" operator="containsText" text="Met">
      <formula>NOT(ISERROR(SEARCH("Met",V352)))</formula>
    </cfRule>
  </conditionalFormatting>
  <conditionalFormatting sqref="X367:X377">
    <cfRule type="containsText" dxfId="1027" priority="2484" operator="containsText" text="Not Met">
      <formula>NOT(ISERROR(SEARCH("Not Met",X367)))</formula>
    </cfRule>
    <cfRule type="containsText" dxfId="1026" priority="2485" operator="containsText" text="Met">
      <formula>NOT(ISERROR(SEARCH("Met",X367)))</formula>
    </cfRule>
  </conditionalFormatting>
  <conditionalFormatting sqref="X378:X434 V427:W434">
    <cfRule type="containsText" dxfId="1025" priority="2715" operator="containsText" text="Not Met">
      <formula>NOT(ISERROR(SEARCH("Not Met",V378)))</formula>
    </cfRule>
    <cfRule type="containsText" dxfId="1024" priority="2716" operator="containsText" text="Met">
      <formula>NOT(ISERROR(SEARCH("Met",V378)))</formula>
    </cfRule>
  </conditionalFormatting>
  <conditionalFormatting sqref="X433:X437 V433:V440">
    <cfRule type="containsText" dxfId="1023" priority="2695" operator="containsText" text="Not Met">
      <formula>NOT(ISERROR(SEARCH("Not Met",V433)))</formula>
    </cfRule>
    <cfRule type="containsText" dxfId="1022" priority="2696" operator="containsText" text="Met">
      <formula>NOT(ISERROR(SEARCH("Met",V433)))</formula>
    </cfRule>
  </conditionalFormatting>
  <conditionalFormatting sqref="X450:X457">
    <cfRule type="containsText" dxfId="1021" priority="2652" operator="containsText" text="Met">
      <formula>NOT(ISERROR(SEARCH("Met",X450)))</formula>
    </cfRule>
  </conditionalFormatting>
  <conditionalFormatting sqref="X200:Y201">
    <cfRule type="containsText" dxfId="1020" priority="2580" operator="containsText" text="Not Met">
      <formula>NOT(ISERROR(SEARCH("Not Met",X200)))</formula>
    </cfRule>
  </conditionalFormatting>
  <conditionalFormatting sqref="X438:Y440">
    <cfRule type="containsText" dxfId="1019" priority="2697" operator="containsText" text="Not Met">
      <formula>NOT(ISERROR(SEARCH("Not Met",X438)))</formula>
    </cfRule>
    <cfRule type="containsText" dxfId="1018" priority="2698" operator="containsText" text="Met">
      <formula>NOT(ISERROR(SEARCH("Met",X438)))</formula>
    </cfRule>
  </conditionalFormatting>
  <conditionalFormatting sqref="X138:Z138">
    <cfRule type="containsText" dxfId="1017" priority="2389" operator="containsText" text="Not Met">
      <formula>NOT(ISERROR(SEARCH("Not Met",X138)))</formula>
    </cfRule>
  </conditionalFormatting>
  <conditionalFormatting sqref="Y54:Y100 Y199 Y202:Y205 Y367:Y437">
    <cfRule type="containsText" dxfId="1016" priority="2496" operator="containsText" text="Not Met">
      <formula>NOT(ISERROR(SEARCH("Not Met",Y54)))</formula>
    </cfRule>
  </conditionalFormatting>
  <conditionalFormatting sqref="Y54:Y100 Y199 Y202:Y205 Y435:Y437">
    <cfRule type="containsText" dxfId="1015" priority="2497" operator="containsText" text="Met">
      <formula>NOT(ISERROR(SEARCH("Met",Y54)))</formula>
    </cfRule>
  </conditionalFormatting>
  <conditionalFormatting sqref="Y294:Z296">
    <cfRule type="containsText" dxfId="1014" priority="2289" operator="containsText" text="Not Met">
      <formula>NOT(ISERROR(SEARCH("Not Met",Y294)))</formula>
    </cfRule>
    <cfRule type="containsText" dxfId="1013" priority="2290" operator="containsText" text="Met">
      <formula>NOT(ISERROR(SEARCH("Met",Y294)))</formula>
    </cfRule>
  </conditionalFormatting>
  <conditionalFormatting sqref="Z2:Z5">
    <cfRule type="containsText" dxfId="1012" priority="2415" operator="containsText" text="Not Met">
      <formula>NOT(ISERROR(SEARCH("Not Met",Z2)))</formula>
    </cfRule>
    <cfRule type="containsText" dxfId="1011" priority="2416" operator="containsText" text="Met">
      <formula>NOT(ISERROR(SEARCH("Met",Z2)))</formula>
    </cfRule>
  </conditionalFormatting>
  <conditionalFormatting sqref="Z5:Z6">
    <cfRule type="containsText" dxfId="1010" priority="2417" operator="containsText" text="Not Met">
      <formula>NOT(ISERROR(SEARCH("Not Met",Z5)))</formula>
    </cfRule>
    <cfRule type="containsText" dxfId="1009" priority="2418" operator="containsText" text="Met">
      <formula>NOT(ISERROR(SEARCH("Met",Z5)))</formula>
    </cfRule>
  </conditionalFormatting>
  <conditionalFormatting sqref="Z7:Z15">
    <cfRule type="containsText" dxfId="1008" priority="2413" operator="containsText" text="Not Met">
      <formula>NOT(ISERROR(SEARCH("Not Met",Z7)))</formula>
    </cfRule>
    <cfRule type="containsText" dxfId="1007" priority="2414" operator="containsText" text="Met">
      <formula>NOT(ISERROR(SEARCH("Met",Z7)))</formula>
    </cfRule>
  </conditionalFormatting>
  <conditionalFormatting sqref="Z11">
    <cfRule type="containsText" dxfId="1006" priority="2411" operator="containsText" text="Not Met">
      <formula>NOT(ISERROR(SEARCH("Not Met",Z11)))</formula>
    </cfRule>
    <cfRule type="containsText" dxfId="1005" priority="2412" operator="containsText" text="Met">
      <formula>NOT(ISERROR(SEARCH("Met",Z11)))</formula>
    </cfRule>
  </conditionalFormatting>
  <conditionalFormatting sqref="Z16:Z19">
    <cfRule type="containsText" dxfId="1004" priority="2407" operator="containsText" text="Not Met">
      <formula>NOT(ISERROR(SEARCH("Not Met",Z16)))</formula>
    </cfRule>
    <cfRule type="containsText" dxfId="1003" priority="2408" operator="containsText" text="Met">
      <formula>NOT(ISERROR(SEARCH("Met",Z16)))</formula>
    </cfRule>
    <cfRule type="containsText" dxfId="1002" priority="2409" operator="containsText" text="Not Met">
      <formula>NOT(ISERROR(SEARCH("Not Met",Z16)))</formula>
    </cfRule>
    <cfRule type="containsText" dxfId="1001" priority="2410" operator="containsText" text="Met">
      <formula>NOT(ISERROR(SEARCH("Met",Z16)))</formula>
    </cfRule>
  </conditionalFormatting>
  <conditionalFormatting sqref="Z42:Z48">
    <cfRule type="containsText" dxfId="1000" priority="2315" operator="containsText" text="Not Met">
      <formula>NOT(ISERROR(SEARCH("Not Met",Z42)))</formula>
    </cfRule>
    <cfRule type="containsText" dxfId="999" priority="2316" operator="containsText" text="Met">
      <formula>NOT(ISERROR(SEARCH("Met",Z42)))</formula>
    </cfRule>
  </conditionalFormatting>
  <conditionalFormatting sqref="Z42:Z53">
    <cfRule type="containsText" dxfId="998" priority="2209" operator="containsText" text="Not Met">
      <formula>NOT(ISERROR(SEARCH("Not Met",Z42)))</formula>
    </cfRule>
    <cfRule type="containsText" dxfId="997" priority="2210" operator="containsText" text="Met">
      <formula>NOT(ISERROR(SEARCH("Met",Z42)))</formula>
    </cfRule>
  </conditionalFormatting>
  <conditionalFormatting sqref="Z51">
    <cfRule type="containsText" dxfId="996" priority="2213" operator="containsText" text="Not Met">
      <formula>NOT(ISERROR(SEARCH("Not Met",Z51)))</formula>
    </cfRule>
    <cfRule type="containsText" dxfId="995" priority="2214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994" priority="2157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993" priority="2155" operator="containsText" text="Not Met">
      <formula>NOT(ISERROR(SEARCH("Not Met",Z71)))</formula>
    </cfRule>
    <cfRule type="containsText" dxfId="992" priority="2156" operator="containsText" text="Met">
      <formula>NOT(ISERROR(SEARCH("Met",Z71)))</formula>
    </cfRule>
  </conditionalFormatting>
  <conditionalFormatting sqref="Z78:Z89">
    <cfRule type="containsText" dxfId="991" priority="2165" operator="containsText" text="Not met">
      <formula>NOT(ISERROR(SEARCH("Not met",Z78)))</formula>
    </cfRule>
  </conditionalFormatting>
  <conditionalFormatting sqref="Z90:Z103">
    <cfRule type="containsText" dxfId="990" priority="2239" operator="containsText" text="Not Met">
      <formula>NOT(ISERROR(SEARCH("Not Met",Z90)))</formula>
    </cfRule>
    <cfRule type="containsText" dxfId="989" priority="2240" operator="containsText" text="Met">
      <formula>NOT(ISERROR(SEARCH("Met",Z90)))</formula>
    </cfRule>
  </conditionalFormatting>
  <conditionalFormatting sqref="Z90:Z110">
    <cfRule type="containsText" dxfId="988" priority="2241" operator="containsText" text="Not Met">
      <formula>NOT(ISERROR(SEARCH("Not Met",Z90)))</formula>
    </cfRule>
    <cfRule type="containsText" dxfId="987" priority="2242" operator="containsText" text="Met">
      <formula>NOT(ISERROR(SEARCH("Met",Z90)))</formula>
    </cfRule>
  </conditionalFormatting>
  <conditionalFormatting sqref="Z104:Z110">
    <cfRule type="containsText" dxfId="986" priority="2319" operator="containsText" text="Not Met">
      <formula>NOT(ISERROR(SEARCH("Not Met",Z104)))</formula>
    </cfRule>
    <cfRule type="containsText" dxfId="985" priority="2320" operator="containsText" text="Met">
      <formula>NOT(ISERROR(SEARCH("Met",Z104)))</formula>
    </cfRule>
  </conditionalFormatting>
  <conditionalFormatting sqref="Z119:Z120 Z126:Z127">
    <cfRule type="containsText" dxfId="984" priority="2348" operator="containsText" text="Not Met">
      <formula>NOT(ISERROR(SEARCH("Not Met",Z119)))</formula>
    </cfRule>
  </conditionalFormatting>
  <conditionalFormatting sqref="Z119:Z121 Z125:Z126">
    <cfRule type="containsText" dxfId="983" priority="2347" operator="containsText" text="Met">
      <formula>NOT(ISERROR(SEARCH("Met",Z119)))</formula>
    </cfRule>
  </conditionalFormatting>
  <conditionalFormatting sqref="Z121:Z125">
    <cfRule type="containsText" dxfId="982" priority="2346" operator="containsText" text="Not Met">
      <formula>NOT(ISERROR(SEARCH("Not Met",Z121)))</formula>
    </cfRule>
  </conditionalFormatting>
  <conditionalFormatting sqref="Z122:Z124">
    <cfRule type="containsText" dxfId="981" priority="2345" operator="containsText" text="Met">
      <formula>NOT(ISERROR(SEARCH("Met",Z122)))</formula>
    </cfRule>
  </conditionalFormatting>
  <conditionalFormatting sqref="Z127">
    <cfRule type="containsText" dxfId="980" priority="2364" operator="containsText" text="Met">
      <formula>NOT(ISERROR(SEARCH("Met",Z127)))</formula>
    </cfRule>
  </conditionalFormatting>
  <conditionalFormatting sqref="Z132:Z137">
    <cfRule type="containsText" dxfId="979" priority="2355" operator="containsText" text="Not Met">
      <formula>NOT(ISERROR(SEARCH("Not Met",Z132)))</formula>
    </cfRule>
    <cfRule type="containsText" dxfId="978" priority="2356" operator="containsText" text="Met">
      <formula>NOT(ISERROR(SEARCH("Met",Z132)))</formula>
    </cfRule>
  </conditionalFormatting>
  <conditionalFormatting sqref="Z142:Z155">
    <cfRule type="containsText" dxfId="977" priority="2387" operator="containsText" text="Not Met">
      <formula>NOT(ISERROR(SEARCH("Not Met",Z142)))</formula>
    </cfRule>
    <cfRule type="containsText" dxfId="976" priority="2388" operator="containsText" text="Met">
      <formula>NOT(ISERROR(SEARCH("Met",Z142)))</formula>
    </cfRule>
  </conditionalFormatting>
  <conditionalFormatting sqref="Z149:Z160">
    <cfRule type="containsText" dxfId="975" priority="2425" operator="containsText" text="Not Met">
      <formula>NOT(ISERROR(SEARCH("Not Met",Z149)))</formula>
    </cfRule>
    <cfRule type="containsText" dxfId="974" priority="2426" operator="containsText" text="Met">
      <formula>NOT(ISERROR(SEARCH("Met",Z149)))</formula>
    </cfRule>
  </conditionalFormatting>
  <conditionalFormatting sqref="Z156:Z160">
    <cfRule type="containsText" dxfId="973" priority="2429" operator="containsText" text="Not Met">
      <formula>NOT(ISERROR(SEARCH("Not Met",Z156)))</formula>
    </cfRule>
    <cfRule type="containsText" dxfId="972" priority="2430" operator="containsText" text="Met">
      <formula>NOT(ISERROR(SEARCH("Met",Z156)))</formula>
    </cfRule>
  </conditionalFormatting>
  <conditionalFormatting sqref="Z164:Z166">
    <cfRule type="containsText" dxfId="971" priority="2311" operator="containsText" text="Not Met">
      <formula>NOT(ISERROR(SEARCH("Not Met",Z164)))</formula>
    </cfRule>
    <cfRule type="containsText" dxfId="970" priority="2312" operator="containsText" text="Met">
      <formula>NOT(ISERROR(SEARCH("Met",Z164)))</formula>
    </cfRule>
  </conditionalFormatting>
  <conditionalFormatting sqref="Z184">
    <cfRule type="containsText" dxfId="969" priority="2182" operator="containsText" text="Not Met">
      <formula>NOT(ISERROR(SEARCH("Not Met",Z184)))</formula>
    </cfRule>
    <cfRule type="containsText" dxfId="968" priority="2183" operator="containsText" text="Met">
      <formula>NOT(ISERROR(SEARCH("Met",Z184)))</formula>
    </cfRule>
  </conditionalFormatting>
  <conditionalFormatting sqref="Z187">
    <cfRule type="containsText" dxfId="967" priority="2379" operator="containsText" text="Not Met">
      <formula>NOT(ISERROR(SEARCH("Not Met",Z187)))</formula>
    </cfRule>
    <cfRule type="containsText" dxfId="966" priority="2380" operator="containsText" text="Met">
      <formula>NOT(ISERROR(SEARCH("Met",Z187)))</formula>
    </cfRule>
  </conditionalFormatting>
  <conditionalFormatting sqref="Z190:Z195">
    <cfRule type="containsText" dxfId="965" priority="2372" operator="containsText" text="Met">
      <formula>NOT(ISERROR(SEARCH("Met",Z190)))</formula>
    </cfRule>
  </conditionalFormatting>
  <conditionalFormatting sqref="Z190:Z199 Z202:Z242">
    <cfRule type="containsText" dxfId="964" priority="2339" operator="containsText" text="Not Met">
      <formula>NOT(ISERROR(SEARCH("Not Met",Z190)))</formula>
    </cfRule>
  </conditionalFormatting>
  <conditionalFormatting sqref="Z196:Z225">
    <cfRule type="containsText" dxfId="963" priority="2338" operator="containsText" text="Met">
      <formula>NOT(ISERROR(SEARCH("Met",Z196)))</formula>
    </cfRule>
  </conditionalFormatting>
  <conditionalFormatting sqref="Z200:Z201">
    <cfRule type="containsText" dxfId="962" priority="2323" operator="containsText" text="Not Met">
      <formula>NOT(ISERROR(SEARCH("Not Met",Z200)))</formula>
    </cfRule>
    <cfRule type="containsText" dxfId="961" priority="2324" operator="containsText" text="Met">
      <formula>NOT(ISERROR(SEARCH("Met",Z200)))</formula>
    </cfRule>
    <cfRule type="containsText" dxfId="960" priority="2325" operator="containsText" text="Not Met">
      <formula>NOT(ISERROR(SEARCH("Not Met",Z200)))</formula>
    </cfRule>
    <cfRule type="containsText" dxfId="959" priority="2326" operator="containsText" text="Met">
      <formula>NOT(ISERROR(SEARCH("Met",Z200)))</formula>
    </cfRule>
    <cfRule type="containsText" dxfId="958" priority="2327" operator="containsText" text="Not Met">
      <formula>NOT(ISERROR(SEARCH("Not Met",Z200)))</formula>
    </cfRule>
    <cfRule type="containsText" dxfId="957" priority="2328" operator="containsText" text="Met">
      <formula>NOT(ISERROR(SEARCH("Met",Z200)))</formula>
    </cfRule>
    <cfRule type="containsText" dxfId="956" priority="2329" operator="containsText" text="Not Met">
      <formula>NOT(ISERROR(SEARCH("Not Met",Z200)))</formula>
    </cfRule>
    <cfRule type="containsText" dxfId="955" priority="2330" operator="containsText" text="Met">
      <formula>NOT(ISERROR(SEARCH("Met",Z200)))</formula>
    </cfRule>
    <cfRule type="containsText" dxfId="954" priority="2331" operator="containsText" text="Not Met">
      <formula>NOT(ISERROR(SEARCH("Not Met",Z200)))</formula>
    </cfRule>
    <cfRule type="containsText" dxfId="953" priority="2332" operator="containsText" text="Met">
      <formula>NOT(ISERROR(SEARCH("Met",Z200)))</formula>
    </cfRule>
    <cfRule type="containsText" dxfId="952" priority="2333" operator="containsText" text="Not Met">
      <formula>NOT(ISERROR(SEARCH("Not Met",Z200)))</formula>
    </cfRule>
    <cfRule type="containsText" dxfId="951" priority="2334" operator="containsText" text="Met">
      <formula>NOT(ISERROR(SEARCH("Met",Z200)))</formula>
    </cfRule>
    <cfRule type="containsText" dxfId="950" priority="2335" operator="containsText" text="Not Met">
      <formula>NOT(ISERROR(SEARCH("Not Met",Z200)))</formula>
    </cfRule>
    <cfRule type="containsText" dxfId="949" priority="2336" operator="containsText" text="Met">
      <formula>NOT(ISERROR(SEARCH("Met",Z200)))</formula>
    </cfRule>
    <cfRule type="containsText" dxfId="948" priority="2337" operator="containsText" text="Not Met">
      <formula>NOT(ISERROR(SEARCH("Not Met",Z200)))</formula>
    </cfRule>
  </conditionalFormatting>
  <conditionalFormatting sqref="Z226:Z242">
    <cfRule type="containsText" dxfId="947" priority="2440" operator="containsText" text="Met">
      <formula>NOT(ISERROR(SEARCH("Met",Z226)))</formula>
    </cfRule>
    <cfRule type="containsText" dxfId="946" priority="2441" operator="containsText" text="Not Met">
      <formula>NOT(ISERROR(SEARCH("Not Met",Z226)))</formula>
    </cfRule>
    <cfRule type="containsText" dxfId="945" priority="2442" operator="containsText" text="Met">
      <formula>NOT(ISERROR(SEARCH("Met",Z226)))</formula>
    </cfRule>
  </conditionalFormatting>
  <conditionalFormatting sqref="Z257:Z270 Z287:Z293">
    <cfRule type="containsText" dxfId="944" priority="2437" operator="containsText" text="Not Met">
      <formula>NOT(ISERROR(SEARCH("Not Met",Z257)))</formula>
    </cfRule>
    <cfRule type="containsText" dxfId="943" priority="2438" operator="containsText" text="Met">
      <formula>NOT(ISERROR(SEARCH("Met",Z257)))</formula>
    </cfRule>
  </conditionalFormatting>
  <conditionalFormatting sqref="Z257:Z270">
    <cfRule type="containsText" dxfId="942" priority="2435" operator="containsText" text="Not Met">
      <formula>NOT(ISERROR(SEARCH("Not Met",Z257)))</formula>
    </cfRule>
    <cfRule type="containsText" dxfId="941" priority="2436" operator="containsText" text="Met">
      <formula>NOT(ISERROR(SEARCH("Met",Z257)))</formula>
    </cfRule>
  </conditionalFormatting>
  <conditionalFormatting sqref="Z280:Z286">
    <cfRule type="containsText" dxfId="940" priority="2419" operator="containsText" text="Not Met">
      <formula>NOT(ISERROR(SEARCH("Not Met",Z280)))</formula>
    </cfRule>
    <cfRule type="containsText" dxfId="939" priority="2420" operator="containsText" text="Met">
      <formula>NOT(ISERROR(SEARCH("Met",Z280)))</formula>
    </cfRule>
  </conditionalFormatting>
  <conditionalFormatting sqref="Z280:Z293">
    <cfRule type="containsText" dxfId="938" priority="2421" operator="containsText" text="Not Met">
      <formula>NOT(ISERROR(SEARCH("Not Met",Z280)))</formula>
    </cfRule>
    <cfRule type="containsText" dxfId="937" priority="2422" operator="containsText" text="Met">
      <formula>NOT(ISERROR(SEARCH("Met",Z280)))</formula>
    </cfRule>
  </conditionalFormatting>
  <conditionalFormatting sqref="Z296">
    <cfRule type="containsText" dxfId="936" priority="2293" operator="containsText" text="Not Met">
      <formula>NOT(ISERROR(SEARCH("Not Met",Z296)))</formula>
    </cfRule>
    <cfRule type="containsText" dxfId="935" priority="2294" operator="containsText" text="Met">
      <formula>NOT(ISERROR(SEARCH("Met",Z296)))</formula>
    </cfRule>
  </conditionalFormatting>
  <conditionalFormatting sqref="Z297:Z308">
    <cfRule type="containsText" dxfId="934" priority="2303" operator="containsText" text="Not Met">
      <formula>NOT(ISERROR(SEARCH("Not Met",Z297)))</formula>
    </cfRule>
    <cfRule type="containsText" dxfId="933" priority="2304" operator="containsText" text="Met">
      <formula>NOT(ISERROR(SEARCH("Met",Z297)))</formula>
    </cfRule>
  </conditionalFormatting>
  <conditionalFormatting sqref="Z301">
    <cfRule type="containsText" dxfId="932" priority="2299" operator="containsText" text="Not Met">
      <formula>NOT(ISERROR(SEARCH("Not Met",Z301)))</formula>
    </cfRule>
    <cfRule type="containsText" dxfId="931" priority="2300" operator="containsText" text="Met">
      <formula>NOT(ISERROR(SEARCH("Met",Z301)))</formula>
    </cfRule>
    <cfRule type="containsText" dxfId="930" priority="2301" operator="containsText" text="Not Met">
      <formula>NOT(ISERROR(SEARCH("Not Met",Z301)))</formula>
    </cfRule>
    <cfRule type="containsText" dxfId="929" priority="2302" operator="containsText" text="Met">
      <formula>NOT(ISERROR(SEARCH("Met",Z301)))</formula>
    </cfRule>
  </conditionalFormatting>
  <conditionalFormatting sqref="Z302:Z308">
    <cfRule type="containsText" dxfId="928" priority="2433" operator="containsText" text="Not Met">
      <formula>NOT(ISERROR(SEARCH("Not Met",Z302)))</formula>
    </cfRule>
    <cfRule type="containsText" dxfId="927" priority="2434" operator="containsText" text="Met">
      <formula>NOT(ISERROR(SEARCH("Met",Z302)))</formula>
    </cfRule>
  </conditionalFormatting>
  <conditionalFormatting sqref="Z317:Z328">
    <cfRule type="containsText" dxfId="926" priority="2255" operator="containsText" text="Not Met">
      <formula>NOT(ISERROR(SEARCH("Not Met",Z317)))</formula>
    </cfRule>
    <cfRule type="containsText" dxfId="925" priority="2256" operator="containsText" text="Met">
      <formula>NOT(ISERROR(SEARCH("Met",Z317)))</formula>
    </cfRule>
    <cfRule type="containsText" dxfId="924" priority="2257" operator="containsText" text="Not Met">
      <formula>NOT(ISERROR(SEARCH("Not Met",Z317)))</formula>
    </cfRule>
    <cfRule type="containsText" dxfId="923" priority="2258" operator="containsText" text="Met">
      <formula>NOT(ISERROR(SEARCH("Met",Z317)))</formula>
    </cfRule>
    <cfRule type="containsText" dxfId="922" priority="2259" operator="containsText" text="Not Met">
      <formula>NOT(ISERROR(SEARCH("Not Met",Z317)))</formula>
    </cfRule>
  </conditionalFormatting>
  <conditionalFormatting sqref="Z317:Z330">
    <cfRule type="containsText" dxfId="921" priority="2260" operator="containsText" text="Met">
      <formula>NOT(ISERROR(SEARCH("Met",Z317)))</formula>
    </cfRule>
  </conditionalFormatting>
  <conditionalFormatting sqref="Z334:Z345">
    <cfRule type="containsText" dxfId="920" priority="2181" operator="containsText" text="Met">
      <formula>NOT(ISERROR(SEARCH("Met",Z334)))</formula>
    </cfRule>
  </conditionalFormatting>
  <conditionalFormatting sqref="Z337:Z343">
    <cfRule type="containsText" dxfId="919" priority="2178" operator="containsText" text="Not Met">
      <formula>NOT(ISERROR(SEARCH("Not Met",Z337)))</formula>
    </cfRule>
    <cfRule type="containsText" dxfId="918" priority="2179" operator="containsText" text="Met">
      <formula>NOT(ISERROR(SEARCH("Met",Z337)))</formula>
    </cfRule>
    <cfRule type="containsText" dxfId="917" priority="2180" operator="containsText" text="Not Met">
      <formula>NOT(ISERROR(SEARCH("Not Met",Z337)))</formula>
    </cfRule>
  </conditionalFormatting>
  <conditionalFormatting sqref="Z344:Z345 Z347:Z349">
    <cfRule type="containsText" dxfId="916" priority="2343" operator="containsText" text="Not Met">
      <formula>NOT(ISERROR(SEARCH("Not Met",Z344)))</formula>
    </cfRule>
  </conditionalFormatting>
  <conditionalFormatting sqref="Z351">
    <cfRule type="containsText" dxfId="915" priority="2342" operator="containsText" text="Not Met">
      <formula>NOT(ISERROR(SEARCH("Not Met",Z351)))</formula>
    </cfRule>
  </conditionalFormatting>
  <conditionalFormatting sqref="Z351:Z355 Z357:Z359">
    <cfRule type="containsText" dxfId="914" priority="2270" operator="containsText" text="Met">
      <formula>NOT(ISERROR(SEARCH("Met",Z351)))</formula>
    </cfRule>
  </conditionalFormatting>
  <conditionalFormatting sqref="Z352:Z354 Z358:Z359">
    <cfRule type="containsText" dxfId="913" priority="2267" operator="containsText" text="Not Met">
      <formula>NOT(ISERROR(SEARCH("Not Met",Z352)))</formula>
    </cfRule>
    <cfRule type="containsText" dxfId="912" priority="2268" operator="containsText" text="Met">
      <formula>NOT(ISERROR(SEARCH("Met",Z352)))</formula>
    </cfRule>
  </conditionalFormatting>
  <conditionalFormatting sqref="Z352:Z355 Z357:Z359">
    <cfRule type="containsText" dxfId="911" priority="2269" operator="containsText" text="Not Met">
      <formula>NOT(ISERROR(SEARCH("Not Met",Z352)))</formula>
    </cfRule>
  </conditionalFormatting>
  <conditionalFormatting sqref="Z367:Z377">
    <cfRule type="containsText" dxfId="910" priority="2172" operator="containsText" text="Not Met">
      <formula>NOT(ISERROR(SEARCH("Not Met",Z367)))</formula>
    </cfRule>
    <cfRule type="containsText" dxfId="909" priority="2173" operator="containsText" text="Met">
      <formula>NOT(ISERROR(SEARCH("Met",Z367)))</formula>
    </cfRule>
    <cfRule type="containsText" dxfId="908" priority="2174" operator="containsText" text="Not Met">
      <formula>NOT(ISERROR(SEARCH("Not Met",Z367)))</formula>
    </cfRule>
    <cfRule type="containsText" dxfId="907" priority="2175" operator="containsText" text="Met">
      <formula>NOT(ISERROR(SEARCH("Met",Z367)))</formula>
    </cfRule>
  </conditionalFormatting>
  <conditionalFormatting sqref="Z367:Z380">
    <cfRule type="containsText" dxfId="906" priority="2176" operator="containsText" text="Not Met">
      <formula>NOT(ISERROR(SEARCH("Not Met",Z367)))</formula>
    </cfRule>
    <cfRule type="containsText" dxfId="905" priority="2177" operator="containsText" text="Met">
      <formula>NOT(ISERROR(SEARCH("Met",Z367)))</formula>
    </cfRule>
  </conditionalFormatting>
  <conditionalFormatting sqref="Z392:Z394 Z397:Z401 Z404">
    <cfRule type="containsText" dxfId="904" priority="2198" operator="containsText" text="Not Met">
      <formula>NOT(ISERROR(SEARCH("Not Met",Z392)))</formula>
    </cfRule>
    <cfRule type="containsText" dxfId="903" priority="2202" operator="containsText" text="Met">
      <formula>NOT(ISERROR(SEARCH("Met",Z392)))</formula>
    </cfRule>
  </conditionalFormatting>
  <conditionalFormatting sqref="Z413:Z415 Z419:Z422">
    <cfRule type="containsText" dxfId="902" priority="2199" operator="containsText" text="Not Met">
      <formula>NOT(ISERROR(SEARCH("Not Met",Z413)))</formula>
    </cfRule>
    <cfRule type="containsText" dxfId="901" priority="2200" operator="containsText" text="Met">
      <formula>NOT(ISERROR(SEARCH("Met",Z413)))</formula>
    </cfRule>
  </conditionalFormatting>
  <conditionalFormatting sqref="Z417">
    <cfRule type="containsText" dxfId="900" priority="2196" operator="containsText" text="Not Met">
      <formula>NOT(ISERROR(SEARCH("Not Met",Z417)))</formula>
    </cfRule>
    <cfRule type="containsText" dxfId="899" priority="2197" operator="containsText" text="Met">
      <formula>NOT(ISERROR(SEARCH("Met",Z417)))</formula>
    </cfRule>
  </conditionalFormatting>
  <conditionalFormatting sqref="Z430">
    <cfRule type="containsText" dxfId="898" priority="2249" operator="containsText" text="Not Met">
      <formula>NOT(ISERROR(SEARCH("Not Met",Z430)))</formula>
    </cfRule>
    <cfRule type="containsText" dxfId="897" priority="2250" operator="containsText" text="Met">
      <formula>NOT(ISERROR(SEARCH("Met",Z430)))</formula>
    </cfRule>
  </conditionalFormatting>
  <conditionalFormatting sqref="Z458:Z465">
    <cfRule type="containsText" dxfId="896" priority="2231" operator="containsText" text="Not Met">
      <formula>NOT(ISERROR(SEARCH("Not Met",Z458)))</formula>
    </cfRule>
    <cfRule type="containsText" dxfId="895" priority="2232" operator="containsText" text="Met">
      <formula>NOT(ISERROR(SEARCH("Met",Z458)))</formula>
    </cfRule>
  </conditionalFormatting>
  <conditionalFormatting sqref="Z467">
    <cfRule type="containsText" dxfId="894" priority="2229" operator="containsText" text="Not Met">
      <formula>NOT(ISERROR(SEARCH("Not Met",Z467)))</formula>
    </cfRule>
    <cfRule type="containsText" dxfId="893" priority="2230" operator="containsText" text="Met">
      <formula>NOT(ISERROR(SEARCH("Met",Z467)))</formula>
    </cfRule>
  </conditionalFormatting>
  <conditionalFormatting sqref="Z470:Z481">
    <cfRule type="containsText" dxfId="892" priority="2223" operator="containsText" text="Not Met">
      <formula>NOT(ISERROR(SEARCH("Not Met",Z470)))</formula>
    </cfRule>
    <cfRule type="containsText" dxfId="891" priority="2224" operator="containsText" text="Met">
      <formula>NOT(ISERROR(SEARCH("Met",Z470)))</formula>
    </cfRule>
  </conditionalFormatting>
  <conditionalFormatting sqref="Z484:Z485">
    <cfRule type="containsText" dxfId="890" priority="2221" operator="containsText" text="Not Met">
      <formula>NOT(ISERROR(SEARCH("Not Met",Z484)))</formula>
    </cfRule>
    <cfRule type="containsText" dxfId="889" priority="2222" operator="containsText" text="Met">
      <formula>NOT(ISERROR(SEARCH("Met",Z484)))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888" priority="2160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887" priority="2159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886" priority="2158" operator="containsText" text="Met">
      <formula>NOT(ISERROR(SEARCH("Met",Z70)))</formula>
    </cfRule>
  </conditionalFormatting>
  <conditionalFormatting sqref="Z161:AA162 Z309:AA316 Z346:AA346">
    <cfRule type="containsText" dxfId="885" priority="2126" operator="containsText" text="Not Met">
      <formula>NOT(ISERROR(SEARCH("Not Met",Z161)))</formula>
    </cfRule>
  </conditionalFormatting>
  <conditionalFormatting sqref="Z309:AA316">
    <cfRule type="containsText" dxfId="884" priority="2127" operator="containsText" text="Met">
      <formula>NOT(ISERROR(SEARCH("Met",Z309)))</formula>
    </cfRule>
  </conditionalFormatting>
  <conditionalFormatting sqref="Z329:AA333 Z334:Z336">
    <cfRule type="containsText" dxfId="883" priority="2344" operator="containsText" text="Not Met">
      <formula>NOT(ISERROR(SEARCH("Not Met",Z329)))</formula>
    </cfRule>
  </conditionalFormatting>
  <conditionalFormatting sqref="Z70:AB70">
    <cfRule type="containsText" dxfId="882" priority="1714" operator="containsText" text="Not Met">
      <formula>NOT(ISERROR(SEARCH("Not Met",Z70)))</formula>
    </cfRule>
    <cfRule type="containsText" dxfId="881" priority="1715" operator="containsText" text="Met">
      <formula>NOT(ISERROR(SEARCH("Met",Z70)))</formula>
    </cfRule>
  </conditionalFormatting>
  <conditionalFormatting sqref="AA2:AA4 AA6:AA10 AA12:AA15 AA49:AA50 AA52:AA53 AA422">
    <cfRule type="containsText" dxfId="880" priority="2147" operator="containsText" text="Not Met">
      <formula>NOT(ISERROR(SEARCH("Not Met",AA2)))</formula>
    </cfRule>
    <cfRule type="containsText" dxfId="879" priority="2148" operator="containsText" text="Met">
      <formula>NOT(ISERROR(SEARCH("Met",AA2)))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878" priority="1948" operator="containsText" text="Not Met">
      <formula>NOT(ISERROR(SEARCH("Not Met",AA78)))</formula>
    </cfRule>
    <cfRule type="containsText" dxfId="877" priority="1949" operator="containsText" text="Met">
      <formula>NOT(ISERROR(SEARCH("Met",AA78)))</formula>
    </cfRule>
  </conditionalFormatting>
  <conditionalFormatting sqref="AA165 AA168 AA335:AA336 AA344:AA345 AA348:AA349 AA380">
    <cfRule type="containsText" dxfId="876" priority="1950" operator="containsText" text="Not Met">
      <formula>NOT(ISERROR(SEARCH("Not Met",AA165)))</formula>
    </cfRule>
    <cfRule type="containsText" dxfId="875" priority="1951" operator="containsText" text="Met">
      <formula>NOT(ISERROR(SEARCH("Met",AA165)))</formula>
    </cfRule>
  </conditionalFormatting>
  <conditionalFormatting sqref="AA298:AB298 AA300:AB300">
    <cfRule type="containsText" dxfId="874" priority="1486" operator="containsText" text="Not Met">
      <formula>NOT(ISERROR(SEARCH("Not Met",AA298)))</formula>
    </cfRule>
    <cfRule type="containsText" dxfId="873" priority="1487" operator="containsText" text="Met">
      <formula>NOT(ISERROR(SEARCH("Met",AA298)))</formula>
    </cfRule>
  </conditionalFormatting>
  <conditionalFormatting sqref="AA319:AB319 AA324:AB324">
    <cfRule type="containsText" dxfId="872" priority="1474" operator="containsText" text="Not Met">
      <formula>NOT(ISERROR(SEARCH("Not Met",AA319)))</formula>
    </cfRule>
    <cfRule type="containsText" dxfId="871" priority="1475" operator="containsText" text="Met">
      <formula>NOT(ISERROR(SEARCH("Met",AA319)))</formula>
    </cfRule>
  </conditionalFormatting>
  <conditionalFormatting sqref="AA374:AB377">
    <cfRule type="containsText" dxfId="870" priority="1406" operator="containsText" text="Not Met">
      <formula>NOT(ISERROR(SEARCH("Not Met",AA374)))</formula>
    </cfRule>
    <cfRule type="containsText" dxfId="869" priority="1407" operator="containsText" text="Met">
      <formula>NOT(ISERROR(SEARCH("Met",AA374)))</formula>
    </cfRule>
  </conditionalFormatting>
  <conditionalFormatting sqref="AA459:AB459 AA468:AB468">
    <cfRule type="containsText" dxfId="868" priority="1393" operator="containsText" text="Met">
      <formula>NOT(ISERROR(SEARCH("Met",AA459)))</formula>
    </cfRule>
  </conditionalFormatting>
  <conditionalFormatting sqref="AA468:AB468 AA459:AB459">
    <cfRule type="containsText" dxfId="867" priority="1392" operator="containsText" text="Not Met">
      <formula>NOT(ISERROR(SEARCH("Not Met",AA459)))</formula>
    </cfRule>
  </conditionalFormatting>
  <conditionalFormatting sqref="AA472:AB473 AA477:AB477 AA479:AB479 AB482">
    <cfRule type="containsText" dxfId="866" priority="1383" operator="containsText" text="Met">
      <formula>NOT(ISERROR(SEARCH("Met",AA472)))</formula>
    </cfRule>
  </conditionalFormatting>
  <conditionalFormatting sqref="AA472:AB473 AB482 AA477:AB477 AA479:AB479">
    <cfRule type="containsText" dxfId="865" priority="1382" operator="containsText" text="Not Met">
      <formula>NOT(ISERROR(SEARCH("Not Met",AA472)))</formula>
    </cfRule>
  </conditionalFormatting>
  <conditionalFormatting sqref="AB2:AB5">
    <cfRule type="containsText" dxfId="864" priority="1778" operator="containsText" text="Not Met">
      <formula>NOT(ISERROR(SEARCH("Not Met",AB2)))</formula>
    </cfRule>
    <cfRule type="containsText" dxfId="863" priority="1779" operator="containsText" text="Met">
      <formula>NOT(ISERROR(SEARCH("Met",AB2)))</formula>
    </cfRule>
  </conditionalFormatting>
  <conditionalFormatting sqref="AB5:AB6">
    <cfRule type="containsText" dxfId="862" priority="1780" operator="containsText" text="Not Met">
      <formula>NOT(ISERROR(SEARCH("Not Met",AB5)))</formula>
    </cfRule>
    <cfRule type="containsText" dxfId="861" priority="1781" operator="containsText" text="Met">
      <formula>NOT(ISERROR(SEARCH("Met",AB5)))</formula>
    </cfRule>
  </conditionalFormatting>
  <conditionalFormatting sqref="AB7:AB12">
    <cfRule type="containsText" dxfId="860" priority="1764" operator="containsText" text="Not Met">
      <formula>NOT(ISERROR(SEARCH("Not Met",AB7)))</formula>
    </cfRule>
    <cfRule type="containsText" dxfId="859" priority="1765" operator="containsText" text="Met">
      <formula>NOT(ISERROR(SEARCH("Met",AB7)))</formula>
    </cfRule>
  </conditionalFormatting>
  <conditionalFormatting sqref="AB11">
    <cfRule type="containsText" dxfId="858" priority="1762" operator="containsText" text="Not Met">
      <formula>NOT(ISERROR(SEARCH("Not Met",AB11)))</formula>
    </cfRule>
    <cfRule type="containsText" dxfId="857" priority="1763" operator="containsText" text="Met">
      <formula>NOT(ISERROR(SEARCH("Met",AB11)))</formula>
    </cfRule>
  </conditionalFormatting>
  <conditionalFormatting sqref="AB12">
    <cfRule type="containsText" dxfId="856" priority="1772" operator="containsText" text="Not Met">
      <formula>NOT(ISERROR(SEARCH("Not Met",AB12)))</formula>
    </cfRule>
    <cfRule type="containsText" dxfId="855" priority="1773" operator="containsText" text="Met">
      <formula>NOT(ISERROR(SEARCH("Met",AB12)))</formula>
    </cfRule>
  </conditionalFormatting>
  <conditionalFormatting sqref="AB15:AB19">
    <cfRule type="containsText" dxfId="854" priority="1766" operator="containsText" text="Not Met">
      <formula>NOT(ISERROR(SEARCH("Not Met",AB15)))</formula>
    </cfRule>
    <cfRule type="containsText" dxfId="853" priority="1767" operator="containsText" text="Met">
      <formula>NOT(ISERROR(SEARCH("Met",AB15)))</formula>
    </cfRule>
    <cfRule type="containsText" dxfId="852" priority="1768" operator="containsText" text="Not Met">
      <formula>NOT(ISERROR(SEARCH("Not Met",AB15)))</formula>
    </cfRule>
    <cfRule type="containsText" dxfId="851" priority="1769" operator="containsText" text="Met">
      <formula>NOT(ISERROR(SEARCH("Met",AB15)))</formula>
    </cfRule>
  </conditionalFormatting>
  <conditionalFormatting sqref="AB34:AB41">
    <cfRule type="containsText" dxfId="850" priority="1742" operator="containsText" text="Not Met">
      <formula>NOT(ISERROR(SEARCH("Not Met",AB34)))</formula>
    </cfRule>
    <cfRule type="containsText" dxfId="849" priority="1743" operator="containsText" text="Met">
      <formula>NOT(ISERROR(SEARCH("Met",AB34)))</formula>
    </cfRule>
    <cfRule type="containsText" dxfId="848" priority="1744" operator="containsText" text="Not Met">
      <formula>NOT(ISERROR(SEARCH("Not Met",AB34)))</formula>
    </cfRule>
    <cfRule type="containsText" dxfId="847" priority="1745" operator="containsText" text="Met">
      <formula>NOT(ISERROR(SEARCH("Met",AB34)))</formula>
    </cfRule>
  </conditionalFormatting>
  <conditionalFormatting sqref="AB34:AB48">
    <cfRule type="containsText" dxfId="846" priority="1738" operator="containsText" text="Not Met">
      <formula>NOT(ISERROR(SEARCH("Not Met",AB34)))</formula>
    </cfRule>
    <cfRule type="containsText" dxfId="845" priority="1739" operator="containsText" text="Met">
      <formula>NOT(ISERROR(SEARCH("Met",AB34)))</formula>
    </cfRule>
  </conditionalFormatting>
  <conditionalFormatting sqref="AB42:AB70">
    <cfRule type="containsText" dxfId="844" priority="1710" operator="containsText" text="Not Met">
      <formula>NOT(ISERROR(SEARCH("Not Met",AB42)))</formula>
    </cfRule>
    <cfRule type="containsText" dxfId="843" priority="1711" operator="containsText" text="Met">
      <formula>NOT(ISERROR(SEARCH("Met",AB42)))</formula>
    </cfRule>
  </conditionalFormatting>
  <conditionalFormatting sqref="AB51">
    <cfRule type="containsText" dxfId="842" priority="1730" operator="containsText" text="Not Met">
      <formula>NOT(ISERROR(SEARCH("Not Met",AB51)))</formula>
    </cfRule>
    <cfRule type="containsText" dxfId="841" priority="1731" operator="containsText" text="Met">
      <formula>NOT(ISERROR(SEARCH("Met",AB51)))</formula>
    </cfRule>
  </conditionalFormatting>
  <conditionalFormatting sqref="AB54:AB69">
    <cfRule type="containsText" dxfId="840" priority="1706" operator="containsText" text="Not Met">
      <formula>NOT(ISERROR(SEARCH("Not Met",AB54)))</formula>
    </cfRule>
    <cfRule type="containsText" dxfId="839" priority="1707" operator="containsText" text="Met">
      <formula>NOT(ISERROR(SEARCH("Met",AB54)))</formula>
    </cfRule>
    <cfRule type="containsText" dxfId="838" priority="1708" operator="containsText" text="Not Met">
      <formula>NOT(ISERROR(SEARCH("Not Met",AB54)))</formula>
    </cfRule>
    <cfRule type="containsText" dxfId="837" priority="1709" operator="containsText" text="Met">
      <formula>NOT(ISERROR(SEARCH("Met",AB54)))</formula>
    </cfRule>
  </conditionalFormatting>
  <conditionalFormatting sqref="AB70:AB71">
    <cfRule type="containsText" dxfId="836" priority="1716" operator="containsText" text="Not Met">
      <formula>NOT(ISERROR(SEARCH("Not Met",AB70)))</formula>
    </cfRule>
    <cfRule type="containsText" dxfId="835" priority="1717" operator="containsText" text="Met">
      <formula>NOT(ISERROR(SEARCH("Met",AB70)))</formula>
    </cfRule>
  </conditionalFormatting>
  <conditionalFormatting sqref="AB72:AB77">
    <cfRule type="containsText" dxfId="834" priority="1694" operator="containsText" text="Not Met">
      <formula>NOT(ISERROR(SEARCH("Not Met",AB72)))</formula>
    </cfRule>
    <cfRule type="containsText" dxfId="833" priority="1695" operator="containsText" text="Met">
      <formula>NOT(ISERROR(SEARCH("Met",AB72)))</formula>
    </cfRule>
    <cfRule type="containsText" dxfId="832" priority="1696" operator="containsText" text="Not Met">
      <formula>NOT(ISERROR(SEARCH("Not Met",AB72)))</formula>
    </cfRule>
    <cfRule type="containsText" dxfId="831" priority="1697" operator="containsText" text="Met">
      <formula>NOT(ISERROR(SEARCH("Met",AB72)))</formula>
    </cfRule>
    <cfRule type="containsText" dxfId="830" priority="1698" operator="containsText" text="Not Met">
      <formula>NOT(ISERROR(SEARCH("Not Met",AB72)))</formula>
    </cfRule>
    <cfRule type="containsText" dxfId="829" priority="1699" operator="containsText" text="Met">
      <formula>NOT(ISERROR(SEARCH("Met",AB72)))</formula>
    </cfRule>
  </conditionalFormatting>
  <conditionalFormatting sqref="AB78:AB81">
    <cfRule type="containsText" dxfId="828" priority="1693" operator="containsText" text="Not met">
      <formula>NOT(ISERROR(SEARCH("Not met",AB78)))</formula>
    </cfRule>
  </conditionalFormatting>
  <conditionalFormatting sqref="AB83:AB89">
    <cfRule type="containsText" dxfId="827" priority="1691" operator="containsText" text="Not met">
      <formula>NOT(ISERROR(SEARCH("Not met",AB83)))</formula>
    </cfRule>
  </conditionalFormatting>
  <conditionalFormatting sqref="AB104">
    <cfRule type="containsText" dxfId="826" priority="1356" operator="containsText" text="Not Met">
      <formula>NOT(ISERROR(SEARCH("Not Met",AB104)))</formula>
    </cfRule>
    <cfRule type="containsText" dxfId="825" priority="1357" operator="containsText" text="Met">
      <formula>NOT(ISERROR(SEARCH("Met",AB104)))</formula>
    </cfRule>
  </conditionalFormatting>
  <conditionalFormatting sqref="AB104:AB110">
    <cfRule type="containsText" dxfId="824" priority="1358" operator="containsText" text="Not Met">
      <formula>NOT(ISERROR(SEARCH("Not Met",AB104)))</formula>
    </cfRule>
    <cfRule type="containsText" dxfId="823" priority="1359" operator="containsText" text="Met">
      <formula>NOT(ISERROR(SEARCH("Met",AB104)))</formula>
    </cfRule>
  </conditionalFormatting>
  <conditionalFormatting sqref="AB105:AB110">
    <cfRule type="containsText" dxfId="822" priority="1648" operator="containsText" text="Not Met">
      <formula>NOT(ISERROR(SEARCH("Not Met",AB105)))</formula>
    </cfRule>
    <cfRule type="containsText" dxfId="821" priority="1649" operator="containsText" text="Met">
      <formula>NOT(ISERROR(SEARCH("Met",AB105)))</formula>
    </cfRule>
  </conditionalFormatting>
  <conditionalFormatting sqref="AB127:AB160">
    <cfRule type="containsText" dxfId="820" priority="1626" operator="containsText" text="Not Met">
      <formula>NOT(ISERROR(SEARCH("Not Met",AB127)))</formula>
    </cfRule>
    <cfRule type="containsText" dxfId="819" priority="1627" operator="containsText" text="Met">
      <formula>NOT(ISERROR(SEARCH("Met",AB127)))</formula>
    </cfRule>
  </conditionalFormatting>
  <conditionalFormatting sqref="AB149:AB159">
    <cfRule type="containsText" dxfId="818" priority="1624" operator="containsText" text="Not Met">
      <formula>NOT(ISERROR(SEARCH("Not Met",AB149)))</formula>
    </cfRule>
    <cfRule type="containsText" dxfId="817" priority="1625" operator="containsText" text="Met">
      <formula>NOT(ISERROR(SEARCH("Met",AB149)))</formula>
    </cfRule>
  </conditionalFormatting>
  <conditionalFormatting sqref="AB160">
    <cfRule type="containsText" dxfId="816" priority="1630" operator="containsText" text="Not Met">
      <formula>NOT(ISERROR(SEARCH("Not Met",AB160)))</formula>
    </cfRule>
    <cfRule type="containsText" dxfId="815" priority="1631" operator="containsText" text="Met">
      <formula>NOT(ISERROR(SEARCH("Met",AB160)))</formula>
    </cfRule>
  </conditionalFormatting>
  <conditionalFormatting sqref="AB169:AB176">
    <cfRule type="containsText" dxfId="814" priority="1610" operator="containsText" text="Not Met">
      <formula>NOT(ISERROR(SEARCH("Not Met",AB169)))</formula>
    </cfRule>
    <cfRule type="containsText" dxfId="813" priority="1611" operator="containsText" text="Met">
      <formula>NOT(ISERROR(SEARCH("Met",AB169)))</formula>
    </cfRule>
    <cfRule type="containsText" dxfId="812" priority="1612" operator="containsText" text="Not Met">
      <formula>NOT(ISERROR(SEARCH("Not Met",AB169)))</formula>
    </cfRule>
    <cfRule type="containsText" dxfId="811" priority="1613" operator="containsText" text="Met">
      <formula>NOT(ISERROR(SEARCH("Met",AB169)))</formula>
    </cfRule>
    <cfRule type="containsText" dxfId="810" priority="1614" operator="containsText" text="Not Met">
      <formula>NOT(ISERROR(SEARCH("Not Met",AB169)))</formula>
    </cfRule>
    <cfRule type="containsText" dxfId="809" priority="1615" operator="containsText" text="Met">
      <formula>NOT(ISERROR(SEARCH("Met",AB169)))</formula>
    </cfRule>
  </conditionalFormatting>
  <conditionalFormatting sqref="AB185:AB204">
    <cfRule type="containsText" dxfId="808" priority="1594" operator="containsText" text="Not Met">
      <formula>NOT(ISERROR(SEARCH("Not Met",AB185)))</formula>
    </cfRule>
    <cfRule type="containsText" dxfId="807" priority="1595" operator="containsText" text="Met">
      <formula>NOT(ISERROR(SEARCH("Met",AB185)))</formula>
    </cfRule>
  </conditionalFormatting>
  <conditionalFormatting sqref="AB204">
    <cfRule type="containsText" dxfId="806" priority="1582" operator="containsText" text="Not Met">
      <formula>NOT(ISERROR(SEARCH("Not Met",AB204)))</formula>
    </cfRule>
    <cfRule type="containsText" dxfId="805" priority="1583" operator="containsText" text="Met">
      <formula>NOT(ISERROR(SEARCH("Met",AB204)))</formula>
    </cfRule>
    <cfRule type="containsText" dxfId="804" priority="1584" operator="containsText" text="Not Met">
      <formula>NOT(ISERROR(SEARCH("Not Met",AB204)))</formula>
    </cfRule>
    <cfRule type="containsText" dxfId="803" priority="1585" operator="containsText" text="Met">
      <formula>NOT(ISERROR(SEARCH("Met",AB204)))</formula>
    </cfRule>
    <cfRule type="containsText" dxfId="802" priority="1586" operator="containsText" text="Not Met">
      <formula>NOT(ISERROR(SEARCH("Not Met",AB204)))</formula>
    </cfRule>
    <cfRule type="containsText" dxfId="801" priority="1587" operator="containsText" text="Met">
      <formula>NOT(ISERROR(SEARCH("Met",AB204)))</formula>
    </cfRule>
    <cfRule type="containsText" dxfId="800" priority="1588" operator="containsText" text="Not Met">
      <formula>NOT(ISERROR(SEARCH("Not Met",AB204)))</formula>
    </cfRule>
    <cfRule type="containsText" dxfId="799" priority="1589" operator="containsText" text="Met">
      <formula>NOT(ISERROR(SEARCH("Met",AB204)))</formula>
    </cfRule>
    <cfRule type="containsText" dxfId="798" priority="1590" operator="containsText" text="Not Met">
      <formula>NOT(ISERROR(SEARCH("Not Met",AB204)))</formula>
    </cfRule>
    <cfRule type="containsText" dxfId="797" priority="1591" operator="containsText" text="Met">
      <formula>NOT(ISERROR(SEARCH("Met",AB204)))</formula>
    </cfRule>
    <cfRule type="containsText" dxfId="796" priority="1592" operator="containsText" text="Not Met">
      <formula>NOT(ISERROR(SEARCH("Not Met",AB204)))</formula>
    </cfRule>
    <cfRule type="containsText" dxfId="795" priority="1593" operator="containsText" text="Met">
      <formula>NOT(ISERROR(SEARCH("Met",AB204)))</formula>
    </cfRule>
  </conditionalFormatting>
  <conditionalFormatting sqref="AB204:AB225">
    <cfRule type="containsText" dxfId="794" priority="1578" operator="containsText" text="Not Met">
      <formula>NOT(ISERROR(SEARCH("Not Met",AB204)))</formula>
    </cfRule>
    <cfRule type="containsText" dxfId="793" priority="1579" operator="containsText" text="Met">
      <formula>NOT(ISERROR(SEARCH("Met",AB204)))</formula>
    </cfRule>
  </conditionalFormatting>
  <conditionalFormatting sqref="AB205">
    <cfRule type="containsText" dxfId="792" priority="1564" operator="containsText" text="Not Met">
      <formula>NOT(ISERROR(SEARCH("Not Met",AB205)))</formula>
    </cfRule>
    <cfRule type="containsText" dxfId="791" priority="1565" operator="containsText" text="Met">
      <formula>NOT(ISERROR(SEARCH("Met",AB205)))</formula>
    </cfRule>
    <cfRule type="containsText" dxfId="790" priority="1566" operator="containsText" text="Not Met">
      <formula>NOT(ISERROR(SEARCH("Not Met",AB205)))</formula>
    </cfRule>
    <cfRule type="containsText" dxfId="789" priority="1567" operator="containsText" text="Met">
      <formula>NOT(ISERROR(SEARCH("Met",AB205)))</formula>
    </cfRule>
    <cfRule type="containsText" dxfId="788" priority="1568" operator="containsText" text="Not Met">
      <formula>NOT(ISERROR(SEARCH("Not Met",AB205)))</formula>
    </cfRule>
    <cfRule type="containsText" dxfId="787" priority="1569" operator="containsText" text="Met">
      <formula>NOT(ISERROR(SEARCH("Met",AB205)))</formula>
    </cfRule>
    <cfRule type="containsText" dxfId="786" priority="1570" operator="containsText" text="Not Met">
      <formula>NOT(ISERROR(SEARCH("Not Met",AB205)))</formula>
    </cfRule>
    <cfRule type="containsText" dxfId="785" priority="1571" operator="containsText" text="Met">
      <formula>NOT(ISERROR(SEARCH("Met",AB205)))</formula>
    </cfRule>
    <cfRule type="containsText" dxfId="784" priority="1572" operator="containsText" text="Not Met">
      <formula>NOT(ISERROR(SEARCH("Not Met",AB205)))</formula>
    </cfRule>
    <cfRule type="containsText" dxfId="783" priority="1573" operator="containsText" text="Met">
      <formula>NOT(ISERROR(SEARCH("Met",AB205)))</formula>
    </cfRule>
    <cfRule type="containsText" dxfId="782" priority="1574" operator="containsText" text="Not Met">
      <formula>NOT(ISERROR(SEARCH("Not Met",AB205)))</formula>
    </cfRule>
    <cfRule type="containsText" dxfId="781" priority="1575" operator="containsText" text="Met">
      <formula>NOT(ISERROR(SEARCH("Met",AB205)))</formula>
    </cfRule>
    <cfRule type="containsText" dxfId="780" priority="1576" operator="containsText" text="Not Met">
      <formula>NOT(ISERROR(SEARCH("Not Met",AB205)))</formula>
    </cfRule>
    <cfRule type="containsText" dxfId="779" priority="1577" operator="containsText" text="Met">
      <formula>NOT(ISERROR(SEARCH("Met",AB205)))</formula>
    </cfRule>
  </conditionalFormatting>
  <conditionalFormatting sqref="AB206:AB225">
    <cfRule type="containsText" dxfId="778" priority="1598" operator="containsText" text="Not Met">
      <formula>NOT(ISERROR(SEARCH("Not Met",AB206)))</formula>
    </cfRule>
    <cfRule type="containsText" dxfId="777" priority="1599" operator="containsText" text="Met">
      <formula>NOT(ISERROR(SEARCH("Met",AB206)))</formula>
    </cfRule>
  </conditionalFormatting>
  <conditionalFormatting sqref="AB226:AB230 AB236:AB242">
    <cfRule type="containsText" dxfId="776" priority="1540" operator="containsText" text="Not Met">
      <formula>NOT(ISERROR(SEARCH("Not Met",AB226)))</formula>
    </cfRule>
    <cfRule type="containsText" dxfId="775" priority="1541" operator="containsText" text="Met">
      <formula>NOT(ISERROR(SEARCH("Met",AB226)))</formula>
    </cfRule>
  </conditionalFormatting>
  <conditionalFormatting sqref="AB226:AB242">
    <cfRule type="containsText" dxfId="774" priority="1536" operator="containsText" text="Not Met">
      <formula>NOT(ISERROR(SEARCH("Not Met",AB226)))</formula>
    </cfRule>
    <cfRule type="containsText" dxfId="773" priority="1537" operator="containsText" text="Met">
      <formula>NOT(ISERROR(SEARCH("Met",AB226)))</formula>
    </cfRule>
  </conditionalFormatting>
  <conditionalFormatting sqref="AB231:AB235">
    <cfRule type="containsText" dxfId="772" priority="1534" operator="containsText" text="Not Met">
      <formula>NOT(ISERROR(SEARCH("Not Met",AB231)))</formula>
    </cfRule>
    <cfRule type="containsText" dxfId="771" priority="1535" operator="containsText" text="Met">
      <formula>NOT(ISERROR(SEARCH("Met",AB231)))</formula>
    </cfRule>
  </conditionalFormatting>
  <conditionalFormatting sqref="AB243:AB249">
    <cfRule type="containsText" dxfId="770" priority="1526" operator="containsText" text="Not Met">
      <formula>NOT(ISERROR(SEARCH("Not Met",AB243)))</formula>
    </cfRule>
    <cfRule type="containsText" dxfId="769" priority="1527" operator="containsText" text="Met">
      <formula>NOT(ISERROR(SEARCH("Met",AB243)))</formula>
    </cfRule>
  </conditionalFormatting>
  <conditionalFormatting sqref="AB245:AB249">
    <cfRule type="containsText" dxfId="768" priority="1524" operator="containsText" text="Not Met">
      <formula>NOT(ISERROR(SEARCH("Not Met",AB245)))</formula>
    </cfRule>
    <cfRule type="containsText" dxfId="767" priority="1525" operator="containsText" text="Met">
      <formula>NOT(ISERROR(SEARCH("Met",AB245)))</formula>
    </cfRule>
  </conditionalFormatting>
  <conditionalFormatting sqref="AB245:AB256">
    <cfRule type="containsText" dxfId="766" priority="1518" operator="containsText" text="Not Met">
      <formula>NOT(ISERROR(SEARCH("Not Met",AB245)))</formula>
    </cfRule>
    <cfRule type="containsText" dxfId="765" priority="1519" operator="containsText" text="Met">
      <formula>NOT(ISERROR(SEARCH("Met",AB245)))</formula>
    </cfRule>
  </conditionalFormatting>
  <conditionalFormatting sqref="AB246 AB248:AB249">
    <cfRule type="containsText" dxfId="764" priority="1528" operator="containsText" text="Not Met">
      <formula>NOT(ISERROR(SEARCH("Not Met",AB246)))</formula>
    </cfRule>
    <cfRule type="containsText" dxfId="763" priority="1529" operator="containsText" text="Met">
      <formula>NOT(ISERROR(SEARCH("Met",AB246)))</formula>
    </cfRule>
  </conditionalFormatting>
  <conditionalFormatting sqref="AB250:AB256">
    <cfRule type="containsText" dxfId="762" priority="1516" operator="containsText" text="Not Met">
      <formula>NOT(ISERROR(SEARCH("Not Met",AB250)))</formula>
    </cfRule>
    <cfRule type="containsText" dxfId="761" priority="1517" operator="containsText" text="Met">
      <formula>NOT(ISERROR(SEARCH("Met",AB250)))</formula>
    </cfRule>
  </conditionalFormatting>
  <conditionalFormatting sqref="AB250:AB270">
    <cfRule type="containsText" dxfId="760" priority="1512" operator="containsText" text="Not Met">
      <formula>NOT(ISERROR(SEARCH("Not Met",AB250)))</formula>
    </cfRule>
    <cfRule type="containsText" dxfId="759" priority="1513" operator="containsText" text="Met">
      <formula>NOT(ISERROR(SEARCH("Met",AB250)))</formula>
    </cfRule>
  </conditionalFormatting>
  <conditionalFormatting sqref="AB257:AB273">
    <cfRule type="containsText" dxfId="758" priority="1504" operator="containsText" text="Not Met">
      <formula>NOT(ISERROR(SEARCH("Not Met",AB257)))</formula>
    </cfRule>
    <cfRule type="containsText" dxfId="757" priority="1505" operator="containsText" text="Met">
      <formula>NOT(ISERROR(SEARCH("Met",AB257)))</formula>
    </cfRule>
  </conditionalFormatting>
  <conditionalFormatting sqref="AB273:AB275 AB277:AB286">
    <cfRule type="containsText" dxfId="756" priority="1502" operator="containsText" text="Not Met">
      <formula>NOT(ISERROR(SEARCH("Not Met",AB273)))</formula>
    </cfRule>
    <cfRule type="containsText" dxfId="755" priority="1503" operator="containsText" text="Met">
      <formula>NOT(ISERROR(SEARCH("Met",AB273)))</formula>
    </cfRule>
  </conditionalFormatting>
  <conditionalFormatting sqref="AB275:AB278">
    <cfRule type="containsText" dxfId="754" priority="1498" operator="containsText" text="Not Met">
      <formula>NOT(ISERROR(SEARCH("Not Met",AB275)))</formula>
    </cfRule>
    <cfRule type="containsText" dxfId="753" priority="1499" operator="containsText" text="Met">
      <formula>NOT(ISERROR(SEARCH("Met",AB275)))</formula>
    </cfRule>
  </conditionalFormatting>
  <conditionalFormatting sqref="AB280:AB286">
    <cfRule type="containsText" dxfId="752" priority="1680" operator="containsText" text="Not Met">
      <formula>NOT(ISERROR(SEARCH("Not Met",AB280)))</formula>
    </cfRule>
    <cfRule type="containsText" dxfId="751" priority="1681" operator="containsText" text="Met">
      <formula>NOT(ISERROR(SEARCH("Met",AB280)))</formula>
    </cfRule>
    <cfRule type="containsText" dxfId="750" priority="1682" operator="containsText" text="Not Met">
      <formula>NOT(ISERROR(SEARCH("Not Met",AB280)))</formula>
    </cfRule>
    <cfRule type="containsText" dxfId="749" priority="1683" operator="containsText" text="Met">
      <formula>NOT(ISERROR(SEARCH("Met",AB280)))</formula>
    </cfRule>
  </conditionalFormatting>
  <conditionalFormatting sqref="AB287:AB293">
    <cfRule type="containsText" dxfId="748" priority="1494" operator="containsText" text="Not Met">
      <formula>NOT(ISERROR(SEARCH("Not Met",AB287)))</formula>
    </cfRule>
    <cfRule type="containsText" dxfId="747" priority="1495" operator="containsText" text="Met">
      <formula>NOT(ISERROR(SEARCH("Met",AB287)))</formula>
    </cfRule>
  </conditionalFormatting>
  <conditionalFormatting sqref="AB287:AB300">
    <cfRule type="containsText" dxfId="746" priority="1488" operator="containsText" text="Not Met">
      <formula>NOT(ISERROR(SEARCH("Not Met",AB287)))</formula>
    </cfRule>
    <cfRule type="containsText" dxfId="745" priority="1489" operator="containsText" text="Met">
      <formula>NOT(ISERROR(SEARCH("Met",AB287)))</formula>
    </cfRule>
  </conditionalFormatting>
  <conditionalFormatting sqref="AB298 AB300">
    <cfRule type="containsText" dxfId="744" priority="1484" operator="containsText" text="Not Met">
      <formula>NOT(ISERROR(SEARCH("Not Met",AB298)))</formula>
    </cfRule>
    <cfRule type="containsText" dxfId="743" priority="1485" operator="containsText" text="Met">
      <formula>NOT(ISERROR(SEARCH("Met",AB298)))</formula>
    </cfRule>
  </conditionalFormatting>
  <conditionalFormatting sqref="AB317:AB324">
    <cfRule type="containsText" dxfId="742" priority="1476" operator="containsText" text="Not Met">
      <formula>NOT(ISERROR(SEARCH("Not Met",AB317)))</formula>
    </cfRule>
    <cfRule type="containsText" dxfId="741" priority="1477" operator="containsText" text="Met">
      <formula>NOT(ISERROR(SEARCH("Met",AB317)))</formula>
    </cfRule>
  </conditionalFormatting>
  <conditionalFormatting sqref="AB319">
    <cfRule type="containsText" dxfId="740" priority="1472" operator="containsText" text="Not Met">
      <formula>NOT(ISERROR(SEARCH("Not Met",AB319)))</formula>
    </cfRule>
    <cfRule type="containsText" dxfId="739" priority="1473" operator="containsText" text="Met">
      <formula>NOT(ISERROR(SEARCH("Met",AB319)))</formula>
    </cfRule>
  </conditionalFormatting>
  <conditionalFormatting sqref="AB324:AB326">
    <cfRule type="containsText" dxfId="738" priority="1470" operator="containsText" text="Not Met">
      <formula>NOT(ISERROR(SEARCH("Not Met",AB324)))</formula>
    </cfRule>
    <cfRule type="containsText" dxfId="737" priority="1471" operator="containsText" text="Met">
      <formula>NOT(ISERROR(SEARCH("Met",AB324)))</formula>
    </cfRule>
  </conditionalFormatting>
  <conditionalFormatting sqref="AB325:AB326">
    <cfRule type="containsText" dxfId="736" priority="1466" operator="containsText" text="Not Met">
      <formula>NOT(ISERROR(SEARCH("Not Met",AB325)))</formula>
    </cfRule>
    <cfRule type="containsText" dxfId="735" priority="1467" operator="containsText" text="Met">
      <formula>NOT(ISERROR(SEARCH("Met",AB325)))</formula>
    </cfRule>
    <cfRule type="containsText" dxfId="734" priority="1468" operator="containsText" text="Not Met">
      <formula>NOT(ISERROR(SEARCH("Not Met",AB325)))</formula>
    </cfRule>
    <cfRule type="containsText" dxfId="733" priority="1469" operator="containsText" text="Met">
      <formula>NOT(ISERROR(SEARCH("Met",AB325)))</formula>
    </cfRule>
  </conditionalFormatting>
  <conditionalFormatting sqref="AB328">
    <cfRule type="containsText" dxfId="732" priority="1460" operator="containsText" text="Not Met">
      <formula>NOT(ISERROR(SEARCH("Not Met",AB328)))</formula>
    </cfRule>
    <cfRule type="containsText" dxfId="731" priority="1461" operator="containsText" text="Met">
      <formula>NOT(ISERROR(SEARCH("Met",AB328)))</formula>
    </cfRule>
    <cfRule type="containsText" dxfId="730" priority="1462" operator="containsText" text="Not Met">
      <formula>NOT(ISERROR(SEARCH("Not Met",AB328)))</formula>
    </cfRule>
    <cfRule type="containsText" dxfId="729" priority="1463" operator="containsText" text="Met">
      <formula>NOT(ISERROR(SEARCH("Met",AB328)))</formula>
    </cfRule>
    <cfRule type="containsText" dxfId="728" priority="1464" operator="containsText" text="Not Met">
      <formula>NOT(ISERROR(SEARCH("Not Met",AB328)))</formula>
    </cfRule>
    <cfRule type="containsText" dxfId="727" priority="1465" operator="containsText" text="Met">
      <formula>NOT(ISERROR(SEARCH("Met",AB328)))</formula>
    </cfRule>
  </conditionalFormatting>
  <conditionalFormatting sqref="AB337:AB343">
    <cfRule type="containsText" dxfId="726" priority="1444" operator="containsText" text="Not Met">
      <formula>NOT(ISERROR(SEARCH("Not Met",AB337)))</formula>
    </cfRule>
    <cfRule type="containsText" dxfId="725" priority="1445" operator="containsText" text="Met">
      <formula>NOT(ISERROR(SEARCH("Met",AB337)))</formula>
    </cfRule>
    <cfRule type="containsText" dxfId="724" priority="1446" operator="containsText" text="Not Met">
      <formula>NOT(ISERROR(SEARCH("Not Met",AB337)))</formula>
    </cfRule>
    <cfRule type="containsText" dxfId="723" priority="1447" operator="containsText" text="Met">
      <formula>NOT(ISERROR(SEARCH("Met",AB337)))</formula>
    </cfRule>
  </conditionalFormatting>
  <conditionalFormatting sqref="AB352:AB354">
    <cfRule type="containsText" dxfId="722" priority="1434" operator="containsText" text="Not Met">
      <formula>NOT(ISERROR(SEARCH("Not Met",AB352)))</formula>
    </cfRule>
    <cfRule type="containsText" dxfId="721" priority="1435" operator="containsText" text="Met">
      <formula>NOT(ISERROR(SEARCH("Met",AB352)))</formula>
    </cfRule>
  </conditionalFormatting>
  <conditionalFormatting sqref="AB352:AB357">
    <cfRule type="containsText" dxfId="720" priority="1436" operator="containsText" text="Not Met">
      <formula>NOT(ISERROR(SEARCH("Not Met",AB352)))</formula>
    </cfRule>
    <cfRule type="containsText" dxfId="719" priority="1437" operator="containsText" text="Met">
      <formula>NOT(ISERROR(SEARCH("Met",AB352)))</formula>
    </cfRule>
  </conditionalFormatting>
  <conditionalFormatting sqref="AB358">
    <cfRule type="containsText" dxfId="718" priority="1428" operator="containsText" text="Not Met">
      <formula>NOT(ISERROR(SEARCH("Not Met",AB358)))</formula>
    </cfRule>
    <cfRule type="containsText" dxfId="717" priority="1429" operator="containsText" text="Met">
      <formula>NOT(ISERROR(SEARCH("Met",AB358)))</formula>
    </cfRule>
    <cfRule type="containsText" dxfId="716" priority="1430" operator="containsText" text="Not Met">
      <formula>NOT(ISERROR(SEARCH("Not Met",AB358)))</formula>
    </cfRule>
    <cfRule type="containsText" dxfId="715" priority="1431" operator="containsText" text="Met">
      <formula>NOT(ISERROR(SEARCH("Met",AB358)))</formula>
    </cfRule>
  </conditionalFormatting>
  <conditionalFormatting sqref="AB367:AB378">
    <cfRule type="containsText" dxfId="714" priority="1408" operator="containsText" text="Not Met">
      <formula>NOT(ISERROR(SEARCH("Not Met",AB367)))</formula>
    </cfRule>
    <cfRule type="containsText" dxfId="713" priority="1409" operator="containsText" text="Met">
      <formula>NOT(ISERROR(SEARCH("Met",AB367)))</formula>
    </cfRule>
  </conditionalFormatting>
  <conditionalFormatting sqref="AB374:AB377">
    <cfRule type="containsText" dxfId="712" priority="1404" operator="containsText" text="Not Met">
      <formula>NOT(ISERROR(SEARCH("Not Met",AB374)))</formula>
    </cfRule>
    <cfRule type="containsText" dxfId="711" priority="1405" operator="containsText" text="Met">
      <formula>NOT(ISERROR(SEARCH("Met",AB374)))</formula>
    </cfRule>
  </conditionalFormatting>
  <conditionalFormatting sqref="AB378">
    <cfRule type="containsText" dxfId="710" priority="1672" operator="containsText" text="Not Met">
      <formula>NOT(ISERROR(SEARCH("Not Met",AB378)))</formula>
    </cfRule>
    <cfRule type="containsText" dxfId="709" priority="1673" operator="containsText" text="Met">
      <formula>NOT(ISERROR(SEARCH("Met",AB378)))</formula>
    </cfRule>
    <cfRule type="containsText" dxfId="708" priority="1674" operator="containsText" text="Not Met">
      <formula>NOT(ISERROR(SEARCH("Not Met",AB378)))</formula>
    </cfRule>
    <cfRule type="containsText" dxfId="707" priority="1675" operator="containsText" text="Met">
      <formula>NOT(ISERROR(SEARCH("Met",AB378)))</formula>
    </cfRule>
  </conditionalFormatting>
  <conditionalFormatting sqref="AB380:AB381">
    <cfRule type="containsText" dxfId="706" priority="1666" operator="containsText" text="Not Met">
      <formula>NOT(ISERROR(SEARCH("Not Met",AB380)))</formula>
    </cfRule>
    <cfRule type="containsText" dxfId="705" priority="1667" operator="containsText" text="Met">
      <formula>NOT(ISERROR(SEARCH("Met",AB380)))</formula>
    </cfRule>
    <cfRule type="containsText" dxfId="704" priority="1668" operator="containsText" text="Not Met">
      <formula>NOT(ISERROR(SEARCH("Not Met",AB380)))</formula>
    </cfRule>
    <cfRule type="containsText" dxfId="703" priority="1669" operator="containsText" text="Met">
      <formula>NOT(ISERROR(SEARCH("Met",AB380)))</formula>
    </cfRule>
  </conditionalFormatting>
  <conditionalFormatting sqref="AB380:AB391 AB396:AB397 AB399:AB411 AB413:AB414 AB417 AB419 AB424:AB425">
    <cfRule type="containsText" dxfId="702" priority="1662" operator="containsText" text="Not Met">
      <formula>NOT(ISERROR(SEARCH("Not Met",AB380)))</formula>
    </cfRule>
    <cfRule type="containsText" dxfId="701" priority="1663" operator="containsText" text="Met">
      <formula>NOT(ISERROR(SEARCH("Met",AB380)))</formula>
    </cfRule>
  </conditionalFormatting>
  <conditionalFormatting sqref="AB430">
    <cfRule type="containsText" dxfId="700" priority="1400" operator="containsText" text="Not Met">
      <formula>NOT(ISERROR(SEARCH("Not Met",AB430)))</formula>
    </cfRule>
    <cfRule type="containsText" dxfId="699" priority="1401" operator="containsText" text="Met">
      <formula>NOT(ISERROR(SEARCH("Met",AB430)))</formula>
    </cfRule>
  </conditionalFormatting>
  <conditionalFormatting sqref="AB458:AB466 AB468:AB471">
    <cfRule type="containsText" dxfId="698" priority="1394" operator="containsText" text="Not Met">
      <formula>NOT(ISERROR(SEARCH("Not Met",AB458)))</formula>
    </cfRule>
    <cfRule type="containsText" dxfId="697" priority="1395" operator="containsText" text="Met">
      <formula>NOT(ISERROR(SEARCH("Met",AB458)))</formula>
    </cfRule>
  </conditionalFormatting>
  <conditionalFormatting sqref="AB467:AB468">
    <cfRule type="containsText" dxfId="696" priority="1388" operator="containsText" text="Not Met">
      <formula>NOT(ISERROR(SEARCH("Not Met",AB467)))</formula>
    </cfRule>
    <cfRule type="containsText" dxfId="695" priority="1389" operator="containsText" text="Met">
      <formula>NOT(ISERROR(SEARCH("Met",AB467)))</formula>
    </cfRule>
  </conditionalFormatting>
  <conditionalFormatting sqref="AB472:AB473">
    <cfRule type="containsText" dxfId="694" priority="1380" operator="containsText" text="Not Met">
      <formula>NOT(ISERROR(SEARCH("Not Met",AB472)))</formula>
    </cfRule>
    <cfRule type="containsText" dxfId="693" priority="1381" operator="containsText" text="Met">
      <formula>NOT(ISERROR(SEARCH("Met",AB472)))</formula>
    </cfRule>
  </conditionalFormatting>
  <conditionalFormatting sqref="AB472:AB480 AA482:AB482">
    <cfRule type="containsText" dxfId="692" priority="1384" operator="containsText" text="Not Met">
      <formula>NOT(ISERROR(SEARCH("Not Met",AA472)))</formula>
    </cfRule>
    <cfRule type="containsText" dxfId="691" priority="1385" operator="containsText" text="Met">
      <formula>NOT(ISERROR(SEARCH("Met",AA472)))</formula>
    </cfRule>
  </conditionalFormatting>
  <conditionalFormatting sqref="AB481:AB482">
    <cfRule type="containsText" dxfId="690" priority="1378" operator="containsText" text="Not Met">
      <formula>NOT(ISERROR(SEARCH("Not Met",AB481)))</formula>
    </cfRule>
    <cfRule type="containsText" dxfId="689" priority="1379" operator="containsText" text="Met">
      <formula>NOT(ISERROR(SEARCH("Met",AB481)))</formula>
    </cfRule>
  </conditionalFormatting>
  <conditionalFormatting sqref="AB484:AB485">
    <cfRule type="containsText" dxfId="688" priority="1386" operator="containsText" text="Not Met">
      <formula>NOT(ISERROR(SEARCH("Not Met",AB484)))</formula>
    </cfRule>
    <cfRule type="containsText" dxfId="687" priority="1387" operator="containsText" text="Met">
      <formula>NOT(ISERROR(SEARCH("Met",AB484)))</formula>
    </cfRule>
  </conditionalFormatting>
  <conditionalFormatting sqref="AC2:AC4 AC6:AC10 AC12:AC14 AC49:AC50 AC52:AC53 AC78 AC177:AC183 AA327:AC327 AC390 AC392:AC395 AC397:AC402 AC418">
    <cfRule type="containsText" dxfId="686" priority="1354" operator="containsText" text="Not Met">
      <formula>NOT(ISERROR(SEARCH("Not Met",AA2)))</formula>
    </cfRule>
    <cfRule type="containsText" dxfId="685" priority="1355" operator="containsText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dxfId="684" priority="1352" operator="containsText" text="Not Met">
      <formula>NOT(ISERROR(SEARCH("Not Met",AC70)))</formula>
    </cfRule>
    <cfRule type="containsText" dxfId="683" priority="1353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2 AC495:AC497">
    <cfRule type="containsText" dxfId="682" priority="1351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C359 AC373 AC375 AC379 AC387:AC388 AC407:AC409 AC412:AC414 AC420:AC421 AC426:AC427 AC429:AC431 AC433:AC434 AC437 AC450 AB459:AC459 AC463 AC468 AC473 AB477:AC477 AB479:AC479 AC482 AC484 AC495:AC497 AC492">
    <cfRule type="containsText" dxfId="681" priority="1350" operator="containsText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dxfId="680" priority="1348" operator="containsText" text="Not Met">
      <formula>NOT(ISERROR(SEARCH("Not Met",AC70)))</formula>
    </cfRule>
    <cfRule type="containsText" dxfId="679" priority="1349" operator="containsText" text="Met">
      <formula>NOT(ISERROR(SEARCH("Met",AC70)))</formula>
    </cfRule>
  </conditionalFormatting>
  <conditionalFormatting sqref="AC492:AD492">
    <cfRule type="containsText" dxfId="678" priority="1254" operator="containsText" text="Not Met">
      <formula>NOT(ISERROR(SEARCH("Not Met",AC492)))</formula>
    </cfRule>
    <cfRule type="containsText" dxfId="677" priority="1255" operator="containsText" text="Met">
      <formula>NOT(ISERROR(SEARCH("Met",AC492)))</formula>
    </cfRule>
  </conditionalFormatting>
  <conditionalFormatting sqref="AD2:AD5">
    <cfRule type="containsText" dxfId="676" priority="1200" operator="containsText" text="Not Met">
      <formula>NOT(ISERROR(SEARCH("Not Met",AD2)))</formula>
    </cfRule>
    <cfRule type="containsText" dxfId="675" priority="1201" operator="containsText" text="Met">
      <formula>NOT(ISERROR(SEARCH("Met",AD2)))</formula>
    </cfRule>
  </conditionalFormatting>
  <conditionalFormatting sqref="AD5:AD6">
    <cfRule type="containsText" dxfId="674" priority="1202" operator="containsText" text="Not Met">
      <formula>NOT(ISERROR(SEARCH("Not Met",AD5)))</formula>
    </cfRule>
    <cfRule type="containsText" dxfId="673" priority="1203" operator="containsText" text="Met">
      <formula>NOT(ISERROR(SEARCH("Met",AD5)))</formula>
    </cfRule>
  </conditionalFormatting>
  <conditionalFormatting sqref="AD7">
    <cfRule type="containsText" dxfId="672" priority="1234" operator="containsText" text="Met">
      <formula>NOT(ISERROR(SEARCH("Met",AD7)))</formula>
    </cfRule>
    <cfRule type="containsText" dxfId="671" priority="1235" operator="containsText" text="Not Met">
      <formula>NOT(ISERROR(SEARCH("Not Met",AD7)))</formula>
    </cfRule>
    <cfRule type="containsText" dxfId="670" priority="1236" operator="containsText" text="Met">
      <formula>NOT(ISERROR(SEARCH("Met",AD7)))</formula>
    </cfRule>
  </conditionalFormatting>
  <conditionalFormatting sqref="AD7:AD8">
    <cfRule type="containsText" dxfId="669" priority="1232" operator="containsText" text="Not Met">
      <formula>NOT(ISERROR(SEARCH("Not Met",AD7)))</formula>
    </cfRule>
    <cfRule type="containsText" dxfId="668" priority="1237" operator="containsText" text="Not Met">
      <formula>NOT(ISERROR(SEARCH("Not Met",AD7)))</formula>
    </cfRule>
    <cfRule type="containsText" dxfId="667" priority="1239" operator="containsText" text="Met">
      <formula>NOT(ISERROR(SEARCH("Met",AD7)))</formula>
    </cfRule>
  </conditionalFormatting>
  <conditionalFormatting sqref="AD8">
    <cfRule type="containsText" dxfId="666" priority="1230" operator="containsText" text="Not Met">
      <formula>NOT(ISERROR(SEARCH("Not Met",AD8)))</formula>
    </cfRule>
    <cfRule type="containsText" dxfId="665" priority="1231" operator="containsText" text="Met">
      <formula>NOT(ISERROR(SEARCH("Met",AD8)))</formula>
    </cfRule>
  </conditionalFormatting>
  <conditionalFormatting sqref="AD10">
    <cfRule type="containsText" dxfId="664" priority="1216" operator="containsText" text="Not Met">
      <formula>NOT(ISERROR(SEARCH("Not Met",AD10)))</formula>
    </cfRule>
    <cfRule type="containsText" dxfId="663" priority="1217" operator="containsText" text="Met">
      <formula>NOT(ISERROR(SEARCH("Met",AD10)))</formula>
    </cfRule>
  </conditionalFormatting>
  <conditionalFormatting sqref="AD12">
    <cfRule type="containsText" dxfId="662" priority="1218" operator="containsText" text="Not Met">
      <formula>NOT(ISERROR(SEARCH("Not Met",AD12)))</formula>
    </cfRule>
    <cfRule type="containsText" dxfId="661" priority="1219" operator="containsText" text="Met">
      <formula>NOT(ISERROR(SEARCH("Met",AD12)))</formula>
    </cfRule>
    <cfRule type="containsText" dxfId="660" priority="1220" operator="containsText" text="Not Met">
      <formula>NOT(ISERROR(SEARCH("Not Met",AD12)))</formula>
    </cfRule>
    <cfRule type="containsText" dxfId="659" priority="1221" operator="containsText" text="Met">
      <formula>NOT(ISERROR(SEARCH("Met",AD12)))</formula>
    </cfRule>
    <cfRule type="containsText" dxfId="658" priority="1222" operator="containsText" text="Not Met">
      <formula>NOT(ISERROR(SEARCH("Not Met",AD12)))</formula>
    </cfRule>
    <cfRule type="containsText" dxfId="657" priority="1223" operator="containsText" text="Met">
      <formula>NOT(ISERROR(SEARCH("Met",AD12)))</formula>
    </cfRule>
  </conditionalFormatting>
  <conditionalFormatting sqref="AD15:AD19">
    <cfRule type="containsText" dxfId="656" priority="1224" operator="containsText" text="Not Met">
      <formula>NOT(ISERROR(SEARCH("Not Met",AD15)))</formula>
    </cfRule>
    <cfRule type="containsText" dxfId="655" priority="1225" operator="containsText" text="Met">
      <formula>NOT(ISERROR(SEARCH("Met",AD15)))</formula>
    </cfRule>
    <cfRule type="containsText" dxfId="654" priority="1226" operator="containsText" text="Not Met">
      <formula>NOT(ISERROR(SEARCH("Not Met",AD15)))</formula>
    </cfRule>
    <cfRule type="containsText" dxfId="653" priority="1227" operator="containsText" text="Met">
      <formula>NOT(ISERROR(SEARCH("Met",AD15)))</formula>
    </cfRule>
  </conditionalFormatting>
  <conditionalFormatting sqref="AD49:AD53">
    <cfRule type="containsText" dxfId="652" priority="1204" operator="containsText" text="Not Met">
      <formula>NOT(ISERROR(SEARCH("Not Met",AD49)))</formula>
    </cfRule>
    <cfRule type="containsText" dxfId="651" priority="1205" operator="containsText" text="Met">
      <formula>NOT(ISERROR(SEARCH("Met",AD49)))</formula>
    </cfRule>
  </conditionalFormatting>
  <conditionalFormatting sqref="AD51">
    <cfRule type="containsText" dxfId="650" priority="1208" operator="containsText" text="Not Met">
      <formula>NOT(ISERROR(SEARCH("Not Met",AD51)))</formula>
    </cfRule>
    <cfRule type="containsText" dxfId="649" priority="1209" operator="containsText" text="Met">
      <formula>NOT(ISERROR(SEARCH("Met",AD51)))</formula>
    </cfRule>
  </conditionalFormatting>
  <conditionalFormatting sqref="AD184:AD185">
    <cfRule type="containsText" dxfId="648" priority="1214" operator="containsText" text="Not Met">
      <formula>NOT(ISERROR(SEARCH("Not Met",AD184)))</formula>
    </cfRule>
    <cfRule type="containsText" dxfId="647" priority="1215" operator="containsText" text="Met">
      <formula>NOT(ISERROR(SEARCH("Met",AD184)))</formula>
    </cfRule>
  </conditionalFormatting>
  <conditionalFormatting sqref="AD192:AD211">
    <cfRule type="containsText" dxfId="646" priority="1210" operator="containsText" text="Not Met">
      <formula>NOT(ISERROR(SEARCH("Not Met",AD192)))</formula>
    </cfRule>
    <cfRule type="containsText" dxfId="645" priority="1211" operator="containsText" text="Met">
      <formula>NOT(ISERROR(SEARCH("Met",AD192)))</formula>
    </cfRule>
    <cfRule type="containsText" dxfId="644" priority="1212" operator="containsText" text="Not Met">
      <formula>NOT(ISERROR(SEARCH("Not Met",AD192)))</formula>
    </cfRule>
    <cfRule type="containsText" dxfId="643" priority="1213" operator="containsText" text="Met">
      <formula>NOT(ISERROR(SEARCH("Met",AD192)))</formula>
    </cfRule>
  </conditionalFormatting>
  <conditionalFormatting sqref="AD261">
    <cfRule type="containsText" dxfId="642" priority="1244" operator="containsText" text="Not Met">
      <formula>NOT(ISERROR(SEARCH("Not Met",AD261)))</formula>
    </cfRule>
    <cfRule type="containsText" dxfId="641" priority="1245" operator="containsText" text="Met">
      <formula>NOT(ISERROR(SEARCH("Met",AD261)))</formula>
    </cfRule>
  </conditionalFormatting>
  <conditionalFormatting sqref="AD263:AD264">
    <cfRule type="containsText" dxfId="640" priority="1240" operator="containsText" text="Not Met">
      <formula>NOT(ISERROR(SEARCH("Not Met",AD263)))</formula>
    </cfRule>
    <cfRule type="containsText" dxfId="639" priority="1241" operator="containsText" text="Met">
      <formula>NOT(ISERROR(SEARCH("Met",AD263)))</formula>
    </cfRule>
  </conditionalFormatting>
  <conditionalFormatting sqref="AD263:AD265">
    <cfRule type="containsText" dxfId="638" priority="1242" operator="containsText" text="Not Met">
      <formula>NOT(ISERROR(SEARCH("Not Met",AD263)))</formula>
    </cfRule>
    <cfRule type="containsText" dxfId="637" priority="1243" operator="containsText" text="Met">
      <formula>NOT(ISERROR(SEARCH("Met",AD263)))</formula>
    </cfRule>
  </conditionalFormatting>
  <conditionalFormatting sqref="AD280:AD286">
    <cfRule type="containsText" dxfId="636" priority="1338" operator="containsText" text="Not Met">
      <formula>NOT(ISERROR(SEARCH("Not Met",AD280)))</formula>
    </cfRule>
    <cfRule type="containsText" dxfId="635" priority="1339" operator="containsText" text="Met">
      <formula>NOT(ISERROR(SEARCH("Met",AD280)))</formula>
    </cfRule>
  </conditionalFormatting>
  <conditionalFormatting sqref="AD284 AD286">
    <cfRule type="containsText" dxfId="634" priority="1332" operator="containsText" text="Not Met">
      <formula>NOT(ISERROR(SEARCH("Not Met",AD284)))</formula>
    </cfRule>
    <cfRule type="containsText" dxfId="633" priority="1333" operator="containsText" text="Met">
      <formula>NOT(ISERROR(SEARCH("Met",AD284)))</formula>
    </cfRule>
    <cfRule type="containsText" dxfId="632" priority="1334" operator="containsText" text="Not Met">
      <formula>NOT(ISERROR(SEARCH("Not Met",AD284)))</formula>
    </cfRule>
    <cfRule type="containsText" dxfId="631" priority="1335" operator="containsText" text="Met">
      <formula>NOT(ISERROR(SEARCH("Met",AD284)))</formula>
    </cfRule>
    <cfRule type="containsText" dxfId="630" priority="1336" operator="containsText" text="Not Met">
      <formula>NOT(ISERROR(SEARCH("Not Met",AD284)))</formula>
    </cfRule>
    <cfRule type="containsText" dxfId="629" priority="1337" operator="containsText" text="Met">
      <formula>NOT(ISERROR(SEARCH("Met",AD284)))</formula>
    </cfRule>
  </conditionalFormatting>
  <conditionalFormatting sqref="AD303:AD304">
    <cfRule type="containsText" dxfId="628" priority="1330" operator="containsText" text="Not Met">
      <formula>NOT(ISERROR(SEARCH("Not Met",AD303)))</formula>
    </cfRule>
    <cfRule type="containsText" dxfId="627" priority="1331" operator="containsText" text="Met">
      <formula>NOT(ISERROR(SEARCH("Met",AD303)))</formula>
    </cfRule>
  </conditionalFormatting>
  <conditionalFormatting sqref="AD310">
    <cfRule type="containsText" dxfId="626" priority="1326" operator="containsText" text="Not Met">
      <formula>NOT(ISERROR(SEARCH("Not Met",AD310)))</formula>
    </cfRule>
    <cfRule type="containsText" dxfId="625" priority="1327" operator="containsText" text="Met">
      <formula>NOT(ISERROR(SEARCH("Met",AD310)))</formula>
    </cfRule>
    <cfRule type="containsText" dxfId="624" priority="1328" operator="containsText" text="Not Met">
      <formula>NOT(ISERROR(SEARCH("Not Met",AD310)))</formula>
    </cfRule>
    <cfRule type="containsText" dxfId="623" priority="1329" operator="containsText" text="Met">
      <formula>NOT(ISERROR(SEARCH("Met",AD310)))</formula>
    </cfRule>
  </conditionalFormatting>
  <conditionalFormatting sqref="AD310:AD313">
    <cfRule type="containsText" dxfId="622" priority="1322" operator="containsText" text="Not Met">
      <formula>NOT(ISERROR(SEARCH("Not Met",AD310)))</formula>
    </cfRule>
    <cfRule type="containsText" dxfId="621" priority="1323" operator="containsText" text="Met">
      <formula>NOT(ISERROR(SEARCH("Met",AD310)))</formula>
    </cfRule>
  </conditionalFormatting>
  <conditionalFormatting sqref="AD311:AD312">
    <cfRule type="containsText" dxfId="620" priority="1318" operator="containsText" text="Not Met">
      <formula>NOT(ISERROR(SEARCH("Not Met",AD311)))</formula>
    </cfRule>
    <cfRule type="containsText" dxfId="619" priority="1319" operator="containsText" text="Met">
      <formula>NOT(ISERROR(SEARCH("Met",AD311)))</formula>
    </cfRule>
    <cfRule type="containsText" dxfId="618" priority="1320" operator="containsText" text="Not Met">
      <formula>NOT(ISERROR(SEARCH("Not Met",AD311)))</formula>
    </cfRule>
    <cfRule type="containsText" dxfId="617" priority="1321" operator="containsText" text="Met">
      <formula>NOT(ISERROR(SEARCH("Met",AD311)))</formula>
    </cfRule>
  </conditionalFormatting>
  <conditionalFormatting sqref="AD314">
    <cfRule type="containsText" dxfId="616" priority="1312" operator="containsText" text="Not Met">
      <formula>NOT(ISERROR(SEARCH("Not Met",AD314)))</formula>
    </cfRule>
    <cfRule type="containsText" dxfId="615" priority="1313" operator="containsText" text="Met">
      <formula>NOT(ISERROR(SEARCH("Met",AD314)))</formula>
    </cfRule>
    <cfRule type="containsText" dxfId="614" priority="1314" operator="containsText" text="Not Met">
      <formula>NOT(ISERROR(SEARCH("Not Met",AD314)))</formula>
    </cfRule>
    <cfRule type="containsText" dxfId="613" priority="1315" operator="containsText" text="Met">
      <formula>NOT(ISERROR(SEARCH("Met",AD314)))</formula>
    </cfRule>
    <cfRule type="containsText" dxfId="612" priority="1316" operator="containsText" text="Not Met">
      <formula>NOT(ISERROR(SEARCH("Not Met",AD314)))</formula>
    </cfRule>
    <cfRule type="containsText" dxfId="611" priority="1317" operator="containsText" text="Met">
      <formula>NOT(ISERROR(SEARCH("Met",AD314)))</formula>
    </cfRule>
  </conditionalFormatting>
  <conditionalFormatting sqref="AD338:AD343">
    <cfRule type="containsText" dxfId="610" priority="1302" operator="containsText" text="Not Met">
      <formula>NOT(ISERROR(SEARCH("Not Met",AD338)))</formula>
    </cfRule>
    <cfRule type="containsText" dxfId="609" priority="1303" operator="containsText" text="Met">
      <formula>NOT(ISERROR(SEARCH("Met",AD338)))</formula>
    </cfRule>
  </conditionalFormatting>
  <conditionalFormatting sqref="AD341:AD343 AD345">
    <cfRule type="containsText" dxfId="608" priority="1310" operator="containsText" text="Not Met">
      <formula>NOT(ISERROR(SEARCH("Not Met",AD341)))</formula>
    </cfRule>
    <cfRule type="containsText" dxfId="607" priority="1311" operator="containsText" text="Met">
      <formula>NOT(ISERROR(SEARCH("Met",AD341)))</formula>
    </cfRule>
  </conditionalFormatting>
  <conditionalFormatting sqref="AD341:AD343">
    <cfRule type="containsText" dxfId="606" priority="1306" operator="containsText" text="Not Met">
      <formula>NOT(ISERROR(SEARCH("Not Met",AD341)))</formula>
    </cfRule>
    <cfRule type="containsText" dxfId="605" priority="1307" operator="containsText" text="Met">
      <formula>NOT(ISERROR(SEARCH("Met",AD341)))</formula>
    </cfRule>
    <cfRule type="containsText" dxfId="604" priority="1308" operator="containsText" text="Not Met">
      <formula>NOT(ISERROR(SEARCH("Not Met",AD341)))</formula>
    </cfRule>
    <cfRule type="containsText" dxfId="603" priority="1309" operator="containsText" text="Met">
      <formula>NOT(ISERROR(SEARCH("Met",AD341)))</formula>
    </cfRule>
  </conditionalFormatting>
  <conditionalFormatting sqref="AD416">
    <cfRule type="containsText" dxfId="602" priority="1300" operator="containsText" text="Not Met">
      <formula>NOT(ISERROR(SEARCH("Not Met",AD416)))</formula>
    </cfRule>
    <cfRule type="containsText" dxfId="601" priority="1301" operator="containsText" text="Met">
      <formula>NOT(ISERROR(SEARCH("Met",AD416)))</formula>
    </cfRule>
  </conditionalFormatting>
  <conditionalFormatting sqref="AD458:AD466">
    <cfRule type="containsText" dxfId="600" priority="1248" operator="containsText" text="Not Met">
      <formula>NOT(ISERROR(SEARCH("Not Met",AD458)))</formula>
    </cfRule>
    <cfRule type="containsText" dxfId="599" priority="1249" operator="containsText" text="Met">
      <formula>NOT(ISERROR(SEARCH("Met",AD458)))</formula>
    </cfRule>
  </conditionalFormatting>
  <conditionalFormatting sqref="AD468:AD480">
    <cfRule type="containsText" dxfId="598" priority="1246" operator="containsText" text="Not Met">
      <formula>NOT(ISERROR(SEARCH("Not Met",AD468)))</formula>
    </cfRule>
    <cfRule type="containsText" dxfId="597" priority="1247" operator="containsText" text="Met">
      <formula>NOT(ISERROR(SEARCH("Met",AD468)))</formula>
    </cfRule>
  </conditionalFormatting>
  <conditionalFormatting sqref="AD482:AD486">
    <cfRule type="containsText" dxfId="596" priority="1296" operator="containsText" text="Not Met">
      <formula>NOT(ISERROR(SEARCH("Not Met",AD482)))</formula>
    </cfRule>
    <cfRule type="containsText" dxfId="595" priority="1297" operator="containsText" text="Met">
      <formula>NOT(ISERROR(SEARCH("Met",AD482)))</formula>
    </cfRule>
  </conditionalFormatting>
  <conditionalFormatting sqref="AD486">
    <cfRule type="containsText" dxfId="594" priority="1292" operator="containsText" text="Not Met">
      <formula>NOT(ISERROR(SEARCH("Not Met",AD486)))</formula>
    </cfRule>
    <cfRule type="containsText" dxfId="593" priority="1293" operator="containsText" text="Met">
      <formula>NOT(ISERROR(SEARCH("Met",AD486)))</formula>
    </cfRule>
    <cfRule type="containsText" dxfId="592" priority="1294" operator="containsText" text="Not Met">
      <formula>NOT(ISERROR(SEARCH("Not Met",AD486)))</formula>
    </cfRule>
    <cfRule type="containsText" dxfId="591" priority="1295" operator="containsText" text="Met">
      <formula>NOT(ISERROR(SEARCH("Met",AD486)))</formula>
    </cfRule>
  </conditionalFormatting>
  <conditionalFormatting sqref="AD486:AD487">
    <cfRule type="containsText" dxfId="590" priority="1288" operator="containsText" text="Not Met">
      <formula>NOT(ISERROR(SEARCH("Not Met",AD486)))</formula>
    </cfRule>
    <cfRule type="containsText" dxfId="589" priority="1289" operator="containsText" text="Met">
      <formula>NOT(ISERROR(SEARCH("Met",AD486)))</formula>
    </cfRule>
  </conditionalFormatting>
  <conditionalFormatting sqref="AD487">
    <cfRule type="containsText" dxfId="588" priority="1284" operator="containsText" text="Not Met">
      <formula>NOT(ISERROR(SEARCH("Not Met",AD487)))</formula>
    </cfRule>
    <cfRule type="containsText" dxfId="587" priority="1285" operator="containsText" text="Met">
      <formula>NOT(ISERROR(SEARCH("Met",AD487)))</formula>
    </cfRule>
    <cfRule type="containsText" dxfId="586" priority="1286" operator="containsText" text="Not Met">
      <formula>NOT(ISERROR(SEARCH("Not Met",AD487)))</formula>
    </cfRule>
    <cfRule type="containsText" dxfId="585" priority="1287" operator="containsText" text="Met">
      <formula>NOT(ISERROR(SEARCH("Met",AD487)))</formula>
    </cfRule>
  </conditionalFormatting>
  <conditionalFormatting sqref="AD487:AD488">
    <cfRule type="containsText" dxfId="584" priority="1280" operator="containsText" text="Not Met">
      <formula>NOT(ISERROR(SEARCH("Not Met",AD487)))</formula>
    </cfRule>
    <cfRule type="containsText" dxfId="583" priority="1281" operator="containsText" text="Met">
      <formula>NOT(ISERROR(SEARCH("Met",AD487)))</formula>
    </cfRule>
  </conditionalFormatting>
  <conditionalFormatting sqref="AD488">
    <cfRule type="containsText" dxfId="582" priority="1276" operator="containsText" text="Not Met">
      <formula>NOT(ISERROR(SEARCH("Not Met",AD488)))</formula>
    </cfRule>
    <cfRule type="containsText" dxfId="581" priority="1277" operator="containsText" text="Met">
      <formula>NOT(ISERROR(SEARCH("Met",AD488)))</formula>
    </cfRule>
    <cfRule type="containsText" dxfId="580" priority="1278" operator="containsText" text="Not Met">
      <formula>NOT(ISERROR(SEARCH("Not Met",AD488)))</formula>
    </cfRule>
    <cfRule type="containsText" dxfId="579" priority="1279" operator="containsText" text="Met">
      <formula>NOT(ISERROR(SEARCH("Met",AD488)))</formula>
    </cfRule>
  </conditionalFormatting>
  <conditionalFormatting sqref="AD488:AD489">
    <cfRule type="containsText" dxfId="578" priority="1272" operator="containsText" text="Not Met">
      <formula>NOT(ISERROR(SEARCH("Not Met",AD488)))</formula>
    </cfRule>
    <cfRule type="containsText" dxfId="577" priority="1273" operator="containsText" text="Met">
      <formula>NOT(ISERROR(SEARCH("Met",AD488)))</formula>
    </cfRule>
  </conditionalFormatting>
  <conditionalFormatting sqref="AD489">
    <cfRule type="containsText" dxfId="576" priority="1268" operator="containsText" text="Not Met">
      <formula>NOT(ISERROR(SEARCH("Not Met",AD489)))</formula>
    </cfRule>
    <cfRule type="containsText" dxfId="575" priority="1269" operator="containsText" text="Met">
      <formula>NOT(ISERROR(SEARCH("Met",AD489)))</formula>
    </cfRule>
    <cfRule type="containsText" dxfId="574" priority="1270" operator="containsText" text="Not Met">
      <formula>NOT(ISERROR(SEARCH("Not Met",AD489)))</formula>
    </cfRule>
    <cfRule type="containsText" dxfId="573" priority="1271" operator="containsText" text="Met">
      <formula>NOT(ISERROR(SEARCH("Met",AD489)))</formula>
    </cfRule>
  </conditionalFormatting>
  <conditionalFormatting sqref="AD491">
    <cfRule type="containsText" dxfId="572" priority="1260" operator="containsText" text="Not Met">
      <formula>NOT(ISERROR(SEARCH("Not Met",AD491)))</formula>
    </cfRule>
    <cfRule type="containsText" dxfId="571" priority="1261" operator="containsText" text="Met">
      <formula>NOT(ISERROR(SEARCH("Met",AD491)))</formula>
    </cfRule>
    <cfRule type="containsText" dxfId="570" priority="1262" operator="containsText" text="Not Met">
      <formula>NOT(ISERROR(SEARCH("Not Met",AD491)))</formula>
    </cfRule>
    <cfRule type="containsText" dxfId="569" priority="1263" operator="containsText" text="Met">
      <formula>NOT(ISERROR(SEARCH("Met",AD491)))</formula>
    </cfRule>
    <cfRule type="containsText" dxfId="568" priority="1264" operator="containsText" text="Not Met">
      <formula>NOT(ISERROR(SEARCH("Not Met",AD491)))</formula>
    </cfRule>
    <cfRule type="containsText" dxfId="567" priority="1265" operator="containsText" text="Met">
      <formula>NOT(ISERROR(SEARCH("Met",AD491)))</formula>
    </cfRule>
  </conditionalFormatting>
  <conditionalFormatting sqref="AD491:AD492">
    <cfRule type="containsText" dxfId="566" priority="1256" operator="containsText" text="Not Met">
      <formula>NOT(ISERROR(SEARCH("Not Met",AD491)))</formula>
    </cfRule>
    <cfRule type="containsText" dxfId="565" priority="1257" operator="containsText" text="Met">
      <formula>NOT(ISERROR(SEARCH("Met",AD491)))</formula>
    </cfRule>
  </conditionalFormatting>
  <conditionalFormatting sqref="AD492">
    <cfRule type="containsText" dxfId="564" priority="1250" operator="containsText" text="Not Met">
      <formula>NOT(ISERROR(SEARCH("Not Met",AD492)))</formula>
    </cfRule>
    <cfRule type="containsText" dxfId="563" priority="1251" operator="containsText" text="Met">
      <formula>NOT(ISERROR(SEARCH("Met",AD492)))</formula>
    </cfRule>
    <cfRule type="containsText" dxfId="562" priority="1252" operator="containsText" text="Not Met">
      <formula>NOT(ISERROR(SEARCH("Not Met",AD492)))</formula>
    </cfRule>
    <cfRule type="containsText" dxfId="561" priority="1253" operator="containsText" text="Met">
      <formula>NOT(ISERROR(SEARCH("Met",AD492)))</formula>
    </cfRule>
  </conditionalFormatting>
  <conditionalFormatting sqref="AE2:AE3 AE5:AE6 AD8:AE8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 AD489:AE489">
    <cfRule type="containsText" dxfId="560" priority="1041" operator="containsText" text="Met">
      <formula>NOT(ISERROR(SEARCH("Met",AD2)))</formula>
    </cfRule>
  </conditionalFormatting>
  <conditionalFormatting sqref="AE2:AE3 AE5:AE6 AD8: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D489:AE489 AE65:AE69 AE256 AE48 AE89">
    <cfRule type="containsText" dxfId="559" priority="1040" operator="containsText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dxfId="558" priority="1038" operator="containsText" text="Not Met">
      <formula>NOT(ISERROR(SEARCH("Not Met",AE2)))</formula>
    </cfRule>
    <cfRule type="containsText" dxfId="557" priority="1039" operator="containsText" text="Met">
      <formula>NOT(ISERROR(SEARCH("Met",AE2)))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dxfId="556" priority="1042" operator="containsText" text="Not Met">
      <formula>NOT(ISERROR(SEARCH("Not Met",AE2)))</formula>
    </cfRule>
    <cfRule type="containsText" dxfId="555" priority="1043" operator="containsText" text="Met">
      <formula>NOT(ISERROR(SEARCH("Met",AE2)))</formula>
    </cfRule>
  </conditionalFormatting>
  <conditionalFormatting sqref="AE65:AE69">
    <cfRule type="containsText" dxfId="554" priority="1010" operator="containsText" text="Not Met">
      <formula>NOT(ISERROR(SEARCH("Not Met",AE65)))</formula>
    </cfRule>
    <cfRule type="containsText" dxfId="553" priority="1011" operator="containsText" text="Met">
      <formula>NOT(ISERROR(SEARCH("Met",AE65)))</formula>
    </cfRule>
  </conditionalFormatting>
  <conditionalFormatting sqref="AE122:AE124 AE235:AE236 AE426:AE428">
    <cfRule type="containsText" dxfId="552" priority="1044" operator="containsText" text="Not Met">
      <formula>NOT(ISERROR(SEARCH("Not Met",AE122)))</formula>
    </cfRule>
    <cfRule type="containsText" dxfId="551" priority="1045" operator="containsText" text="Met">
      <formula>NOT(ISERROR(SEARCH("Met",AE122)))</formula>
    </cfRule>
  </conditionalFormatting>
  <conditionalFormatting sqref="AE256">
    <cfRule type="containsText" dxfId="550" priority="966" operator="containsText" text="Not Met">
      <formula>NOT(ISERROR(SEARCH("Not Met",AE256)))</formula>
    </cfRule>
    <cfRule type="containsText" dxfId="549" priority="967" operator="containsText" text="Met">
      <formula>NOT(ISERROR(SEARCH("Met",AE256)))</formula>
    </cfRule>
  </conditionalFormatting>
  <conditionalFormatting sqref="AE309">
    <cfRule type="containsText" dxfId="548" priority="700" operator="containsText" text="Not Met">
      <formula>NOT(ISERROR(SEARCH("Not Met",AE309)))</formula>
    </cfRule>
    <cfRule type="containsText" dxfId="547" priority="701" operator="containsText" text="Met">
      <formula>NOT(ISERROR(SEARCH("Met",AE309)))</formula>
    </cfRule>
  </conditionalFormatting>
  <conditionalFormatting sqref="AE48:AF48">
    <cfRule type="containsText" dxfId="546" priority="656" operator="containsText" text="Not Met">
      <formula>NOT(ISERROR(SEARCH("Not Met",AE48)))</formula>
    </cfRule>
    <cfRule type="containsText" dxfId="545" priority="657" operator="containsText" text="Met">
      <formula>NOT(ISERROR(SEARCH("Met",AE48)))</formula>
    </cfRule>
  </conditionalFormatting>
  <conditionalFormatting sqref="AE89:AF89">
    <cfRule type="containsText" dxfId="544" priority="654" operator="containsText" text="Not Met">
      <formula>NOT(ISERROR(SEARCH("Not Met",AE89)))</formula>
    </cfRule>
    <cfRule type="containsText" dxfId="543" priority="655" operator="containsText" text="Met">
      <formula>NOT(ISERROR(SEARCH("Met",AE89)))</formula>
    </cfRule>
  </conditionalFormatting>
  <conditionalFormatting sqref="AF2:AF5">
    <cfRule type="containsText" dxfId="542" priority="677" operator="containsText" text="Met">
      <formula>NOT(ISERROR(SEARCH("Met",AF2)))</formula>
    </cfRule>
  </conditionalFormatting>
  <conditionalFormatting sqref="AF5:AF10">
    <cfRule type="containsText" dxfId="541" priority="678" operator="containsText" text="Not Met">
      <formula>NOT(ISERROR(SEARCH("Not Met",AF5)))</formula>
    </cfRule>
    <cfRule type="containsText" dxfId="540" priority="679" operator="containsText" text="Met">
      <formula>NOT(ISERROR(SEARCH("Met",AF5)))</formula>
    </cfRule>
  </conditionalFormatting>
  <conditionalFormatting sqref="AF12:AF25">
    <cfRule type="containsText" dxfId="539" priority="360" operator="containsText" text="Not Met">
      <formula>NOT(ISERROR(SEARCH("Not Met",AF12)))</formula>
    </cfRule>
    <cfRule type="containsText" dxfId="538" priority="361" operator="containsText" text="Met">
      <formula>NOT(ISERROR(SEARCH("Met",AF12)))</formula>
    </cfRule>
  </conditionalFormatting>
  <conditionalFormatting sqref="AF16:AF19">
    <cfRule type="containsText" dxfId="537" priority="358" operator="containsText" text="Not Met">
      <formula>NOT(ISERROR(SEARCH("Not Met",AF16)))</formula>
    </cfRule>
    <cfRule type="containsText" dxfId="536" priority="359" operator="containsText" text="Met">
      <formula>NOT(ISERROR(SEARCH("Met",AF16)))</formula>
    </cfRule>
  </conditionalFormatting>
  <conditionalFormatting sqref="AF27:AF41">
    <cfRule type="containsText" dxfId="535" priority="674" operator="containsText" text="Not Met">
      <formula>NOT(ISERROR(SEARCH("Not Met",AF27)))</formula>
    </cfRule>
    <cfRule type="containsText" dxfId="534" priority="675" operator="containsText" text="Met">
      <formula>NOT(ISERROR(SEARCH("Met",AF27)))</formula>
    </cfRule>
  </conditionalFormatting>
  <conditionalFormatting sqref="AF34:AF47">
    <cfRule type="containsText" dxfId="533" priority="662" operator="containsText" text="Not Met">
      <formula>NOT(ISERROR(SEARCH("Not Met",AF34)))</formula>
    </cfRule>
    <cfRule type="containsText" dxfId="532" priority="663" operator="containsText" text="Met">
      <formula>NOT(ISERROR(SEARCH("Met",AF34)))</formula>
    </cfRule>
  </conditionalFormatting>
  <conditionalFormatting sqref="AF42:AF48">
    <cfRule type="containsText" dxfId="531" priority="658" operator="containsText" text="Not Met">
      <formula>NOT(ISERROR(SEARCH("Not Met",AF42)))</formula>
    </cfRule>
    <cfRule type="containsText" dxfId="530" priority="659" operator="containsText" text="Met">
      <formula>NOT(ISERROR(SEARCH("Met",AF42)))</formula>
    </cfRule>
  </conditionalFormatting>
  <conditionalFormatting sqref="AF49:AF89">
    <cfRule type="containsText" dxfId="529" priority="666" operator="containsText" text="Not Met">
      <formula>NOT(ISERROR(SEARCH("Not Met",AF49)))</formula>
    </cfRule>
    <cfRule type="containsText" dxfId="528" priority="667" operator="containsText" text="Met">
      <formula>NOT(ISERROR(SEARCH("Met",AF49)))</formula>
    </cfRule>
  </conditionalFormatting>
  <conditionalFormatting sqref="AF54:AF69 AF72:AF89">
    <cfRule type="containsText" dxfId="527" priority="665" operator="containsText" text="Met">
      <formula>NOT(ISERROR(SEARCH("Met",AF54)))</formula>
    </cfRule>
  </conditionalFormatting>
  <conditionalFormatting sqref="AF72:AF89 AF54:AF69">
    <cfRule type="containsText" dxfId="526" priority="664" operator="containsText" text="Not Met">
      <formula>NOT(ISERROR(SEARCH("Not Met",AF54)))</formula>
    </cfRule>
  </conditionalFormatting>
  <conditionalFormatting sqref="AF89:AF96">
    <cfRule type="containsText" dxfId="525" priority="650" operator="containsText" text="Not Met">
      <formula>NOT(ISERROR(SEARCH("Not Met",AF89)))</formula>
    </cfRule>
    <cfRule type="containsText" dxfId="524" priority="651" operator="containsText" text="Met">
      <formula>NOT(ISERROR(SEARCH("Met",AF89)))</formula>
    </cfRule>
  </conditionalFormatting>
  <conditionalFormatting sqref="AF90:AF104">
    <cfRule type="containsText" dxfId="523" priority="646" operator="containsText" text="Not Met">
      <formula>NOT(ISERROR(SEARCH("Not Met",AF90)))</formula>
    </cfRule>
    <cfRule type="containsText" dxfId="522" priority="647" operator="containsText" text="Met">
      <formula>NOT(ISERROR(SEARCH("Met",AF90)))</formula>
    </cfRule>
  </conditionalFormatting>
  <conditionalFormatting sqref="AF113:AF146">
    <cfRule type="containsText" dxfId="521" priority="614" operator="containsText" text="Not Met">
      <formula>NOT(ISERROR(SEARCH("Not Met",AF113)))</formula>
    </cfRule>
    <cfRule type="containsText" dxfId="520" priority="615" operator="containsText" text="Met">
      <formula>NOT(ISERROR(SEARCH("Met",AF113)))</formula>
    </cfRule>
  </conditionalFormatting>
  <conditionalFormatting sqref="AF135:AF141">
    <cfRule type="containsText" dxfId="519" priority="612" operator="containsText" text="Not Met">
      <formula>NOT(ISERROR(SEARCH("Not Met",AF135)))</formula>
    </cfRule>
    <cfRule type="containsText" dxfId="518" priority="613" operator="containsText" text="Met">
      <formula>NOT(ISERROR(SEARCH("Met",AF135)))</formula>
    </cfRule>
  </conditionalFormatting>
  <conditionalFormatting sqref="AF142:AF154">
    <cfRule type="containsText" dxfId="517" priority="618" operator="containsText" text="Not Met">
      <formula>NOT(ISERROR(SEARCH("Not Met",AF142)))</formula>
    </cfRule>
    <cfRule type="containsText" dxfId="516" priority="619" operator="containsText" text="Met">
      <formula>NOT(ISERROR(SEARCH("Met",AF142)))</formula>
    </cfRule>
  </conditionalFormatting>
  <conditionalFormatting sqref="AF155:AF162">
    <cfRule type="containsText" dxfId="515" priority="610" operator="containsText" text="Not Met">
      <formula>NOT(ISERROR(SEARCH("Not Met",AF155)))</formula>
    </cfRule>
    <cfRule type="containsText" dxfId="514" priority="611" operator="containsText" text="Met">
      <formula>NOT(ISERROR(SEARCH("Met",AF155)))</formula>
    </cfRule>
  </conditionalFormatting>
  <conditionalFormatting sqref="AF171:AF191">
    <cfRule type="containsText" dxfId="513" priority="630" operator="containsText" text="Not Met">
      <formula>NOT(ISERROR(SEARCH("Not Met",AF171)))</formula>
    </cfRule>
    <cfRule type="containsText" dxfId="512" priority="631" operator="containsText" text="Met">
      <formula>NOT(ISERROR(SEARCH("Met",AF171)))</formula>
    </cfRule>
  </conditionalFormatting>
  <conditionalFormatting sqref="AF212:AF228">
    <cfRule type="containsText" dxfId="511" priority="624" operator="containsText" text="Not Met">
      <formula>NOT(ISERROR(SEARCH("Not Met",AF212)))</formula>
    </cfRule>
    <cfRule type="containsText" dxfId="510" priority="625" operator="containsText" text="Met">
      <formula>NOT(ISERROR(SEARCH("Met",AF212)))</formula>
    </cfRule>
  </conditionalFormatting>
  <conditionalFormatting sqref="AF212:AF242">
    <cfRule type="containsText" dxfId="509" priority="626" operator="containsText" text="Not Met">
      <formula>NOT(ISERROR(SEARCH("Not Met",AF212)))</formula>
    </cfRule>
    <cfRule type="containsText" dxfId="508" priority="627" operator="containsText" text="Met">
      <formula>NOT(ISERROR(SEARCH("Met",AF212)))</formula>
    </cfRule>
  </conditionalFormatting>
  <conditionalFormatting sqref="AF243:AF256">
    <cfRule type="containsText" dxfId="507" priority="622" operator="containsText" text="Not Met">
      <formula>NOT(ISERROR(SEARCH("Not Met",AF243)))</formula>
    </cfRule>
    <cfRule type="containsText" dxfId="506" priority="623" operator="containsText" text="Met">
      <formula>NOT(ISERROR(SEARCH("Met",AF243)))</formula>
    </cfRule>
  </conditionalFormatting>
  <conditionalFormatting sqref="AF243:AF272">
    <cfRule type="containsText" dxfId="505" priority="586" operator="containsText" text="Not Met">
      <formula>NOT(ISERROR(SEARCH("Not Met",AF243)))</formula>
    </cfRule>
    <cfRule type="containsText" dxfId="504" priority="587" operator="containsText" text="Met">
      <formula>NOT(ISERROR(SEARCH("Met",AF243)))</formula>
    </cfRule>
  </conditionalFormatting>
  <conditionalFormatting sqref="AF262">
    <cfRule type="containsText" dxfId="503" priority="580" operator="containsText" text="Not Met">
      <formula>NOT(ISERROR(SEARCH("Not Met",AF262)))</formula>
    </cfRule>
    <cfRule type="containsText" dxfId="502" priority="581" operator="containsText" text="Met">
      <formula>NOT(ISERROR(SEARCH("Met",AF262)))</formula>
    </cfRule>
    <cfRule type="containsText" dxfId="501" priority="582" operator="containsText" text="Not Met">
      <formula>NOT(ISERROR(SEARCH("Not Met",AF262)))</formula>
    </cfRule>
    <cfRule type="containsText" dxfId="500" priority="583" operator="containsText" text="Met">
      <formula>NOT(ISERROR(SEARCH("Met",AF262)))</formula>
    </cfRule>
    <cfRule type="containsText" dxfId="499" priority="584" operator="containsText" text="Not Met">
      <formula>NOT(ISERROR(SEARCH("Not Met",AF262)))</formula>
    </cfRule>
    <cfRule type="containsText" dxfId="498" priority="585" operator="containsText" text="Met">
      <formula>NOT(ISERROR(SEARCH("Met",AF262)))</formula>
    </cfRule>
  </conditionalFormatting>
  <conditionalFormatting sqref="AF273:AF279 AF288:AF294">
    <cfRule type="containsText" dxfId="497" priority="576" operator="containsText" text="Not Met">
      <formula>NOT(ISERROR(SEARCH("Not Met",AF273)))</formula>
    </cfRule>
    <cfRule type="containsText" dxfId="496" priority="577" operator="containsText" text="Met">
      <formula>NOT(ISERROR(SEARCH("Met",AF273)))</formula>
    </cfRule>
  </conditionalFormatting>
  <conditionalFormatting sqref="AF273:AF286 AF288:AF302">
    <cfRule type="containsText" dxfId="495" priority="578" operator="containsText" text="Not Met">
      <formula>NOT(ISERROR(SEARCH("Not Met",AF273)))</formula>
    </cfRule>
    <cfRule type="containsText" dxfId="494" priority="579" operator="containsText" text="Met">
      <formula>NOT(ISERROR(SEARCH("Met",AF273)))</formula>
    </cfRule>
  </conditionalFormatting>
  <conditionalFormatting sqref="AF303:AF313">
    <cfRule type="containsText" dxfId="493" priority="600" operator="containsText" text="Not Met">
      <formula>NOT(ISERROR(SEARCH("Not Met",AF303)))</formula>
    </cfRule>
    <cfRule type="containsText" dxfId="492" priority="601" operator="containsText" text="Met">
      <formula>NOT(ISERROR(SEARCH("Met",AF303)))</formula>
    </cfRule>
  </conditionalFormatting>
  <conditionalFormatting sqref="AF311:AF312">
    <cfRule type="containsText" dxfId="491" priority="598" operator="containsText" text="Not Met">
      <formula>NOT(ISERROR(SEARCH("Not Met",AF311)))</formula>
    </cfRule>
    <cfRule type="containsText" dxfId="490" priority="599" operator="containsText" text="Met">
      <formula>NOT(ISERROR(SEARCH("Met",AF311)))</formula>
    </cfRule>
  </conditionalFormatting>
  <conditionalFormatting sqref="AF314">
    <cfRule type="containsText" dxfId="489" priority="594" operator="containsText" text="Not Met">
      <formula>NOT(ISERROR(SEARCH("Not Met",AF314)))</formula>
    </cfRule>
    <cfRule type="containsText" dxfId="488" priority="595" operator="containsText" text="Met">
      <formula>NOT(ISERROR(SEARCH("Met",AF314)))</formula>
    </cfRule>
    <cfRule type="containsText" dxfId="487" priority="596" operator="containsText" text="Not Met">
      <formula>NOT(ISERROR(SEARCH("Not Met",AF314)))</formula>
    </cfRule>
    <cfRule type="containsText" dxfId="486" priority="597" operator="containsText" text="Met">
      <formula>NOT(ISERROR(SEARCH("Met",AF314)))</formula>
    </cfRule>
  </conditionalFormatting>
  <conditionalFormatting sqref="AF323:AF329">
    <cfRule type="containsText" dxfId="485" priority="591" operator="containsText" text="Met">
      <formula>NOT(ISERROR(SEARCH("Met",AF323)))</formula>
    </cfRule>
    <cfRule type="containsText" dxfId="484" priority="592" operator="containsText" text="Not Met">
      <formula>NOT(ISERROR(SEARCH("Not Met",AF323)))</formula>
    </cfRule>
    <cfRule type="containsText" dxfId="483" priority="593" operator="containsText" text="Met">
      <formula>NOT(ISERROR(SEARCH("Met",AF323)))</formula>
    </cfRule>
  </conditionalFormatting>
  <conditionalFormatting sqref="AF323:AF344">
    <cfRule type="containsText" dxfId="482" priority="575" operator="containsText" text="Not Met">
      <formula>NOT(ISERROR(SEARCH("Not Met",AF323)))</formula>
    </cfRule>
  </conditionalFormatting>
  <conditionalFormatting sqref="AF330:AF337">
    <cfRule type="containsText" dxfId="481" priority="574" operator="containsText" text="Met">
      <formula>NOT(ISERROR(SEARCH("Met",AF330)))</formula>
    </cfRule>
  </conditionalFormatting>
  <conditionalFormatting sqref="AF338:AF344">
    <cfRule type="containsText" dxfId="480" priority="605" operator="containsText" text="Met">
      <formula>NOT(ISERROR(SEARCH("Met",AF338)))</formula>
    </cfRule>
  </conditionalFormatting>
  <conditionalFormatting sqref="AF364:AF412">
    <cfRule type="containsText" dxfId="479" priority="570" operator="containsText" text="Not Met">
      <formula>NOT(ISERROR(SEARCH("Not Met",AF364)))</formula>
    </cfRule>
    <cfRule type="containsText" dxfId="478" priority="571" operator="containsText" text="Met">
      <formula>NOT(ISERROR(SEARCH("Met",AF364)))</formula>
    </cfRule>
  </conditionalFormatting>
  <conditionalFormatting sqref="AF416">
    <cfRule type="containsText" dxfId="477" priority="568" operator="containsText" text="Not Met">
      <formula>NOT(ISERROR(SEARCH("Not Met",AF416)))</formula>
    </cfRule>
    <cfRule type="containsText" dxfId="476" priority="569" operator="containsText" text="Met">
      <formula>NOT(ISERROR(SEARCH("Met",AF416)))</formula>
    </cfRule>
  </conditionalFormatting>
  <conditionalFormatting sqref="AF444:AF466">
    <cfRule type="containsText" dxfId="475" priority="544" operator="containsText" text="Not Met">
      <formula>NOT(ISERROR(SEARCH("Not Met",AF444)))</formula>
    </cfRule>
    <cfRule type="containsText" dxfId="474" priority="545" operator="containsText" text="Met">
      <formula>NOT(ISERROR(SEARCH("Met",AF444)))</formula>
    </cfRule>
  </conditionalFormatting>
  <conditionalFormatting sqref="AF468:AF482">
    <cfRule type="containsText" dxfId="473" priority="542" operator="containsText" text="Not Met">
      <formula>NOT(ISERROR(SEARCH("Not Met",AF468)))</formula>
    </cfRule>
    <cfRule type="containsText" dxfId="472" priority="543" operator="containsText" text="Met">
      <formula>NOT(ISERROR(SEARCH("Met",AF468)))</formula>
    </cfRule>
  </conditionalFormatting>
  <conditionalFormatting sqref="AF484:AF485">
    <cfRule type="containsText" dxfId="471" priority="546" operator="containsText" text="Not Met">
      <formula>NOT(ISERROR(SEARCH("Not Met",AF484)))</formula>
    </cfRule>
    <cfRule type="containsText" dxfId="470" priority="547" operator="containsText" text="Met">
      <formula>NOT(ISERROR(SEARCH("Met",AF484)))</formula>
    </cfRule>
  </conditionalFormatting>
  <conditionalFormatting sqref="AG2:AG3 AG38 AG69 AG122:AG125 AG309 AF346:AG352">
    <cfRule type="containsText" dxfId="469" priority="356" operator="containsText" text="Not Met">
      <formula>NOT(ISERROR(SEARCH("Not Met",AF2)))</formula>
    </cfRule>
    <cfRule type="containsText" dxfId="468" priority="357" operator="containsText" text="Met">
      <formula>NOT(ISERROR(SEARCH("Met",AF2)))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dxfId="467" priority="353" operator="containsText" text="Met">
      <formula>NOT(ISERROR(SEARCH("Met",AG5)))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 AG176:AG177 AG208 AG210 AG227:AG229 AG256 AG427:AG428 AG430:AG432">
    <cfRule type="containsText" dxfId="466" priority="352" operator="containsText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">
    <cfRule type="containsText" dxfId="465" priority="350" operator="containsText" text="Not Met">
      <formula>NOT(ISERROR(SEARCH("Not Met",AG5)))</formula>
    </cfRule>
    <cfRule type="containsText" dxfId="464" priority="351" operator="containsText" text="Met">
      <formula>NOT(ISERROR(SEARCH("Met",AG5)))</formula>
    </cfRule>
  </conditionalFormatting>
  <conditionalFormatting sqref="AG5:AG6 AG8:AG9 AG33:AG36 AG40:AG42 AG44:AG56 AG58:AG63 AG65:AG68 AG71:AG78 AG80 AG82:AG92 AG103:AG109 AG117:AG120 AG130:AG139 AG176:AG190 AG192:AG203 AG205:AG208 AG210:AG211 AG227:AG233 AG240:AG247 AG256:AG257 AG299:AG303 AG306 AG324:AG345 AG353:AG356 AG371:AG411 AG413:AG428 AG430:AG432 AG483:AG489">
    <cfRule type="containsText" dxfId="463" priority="354" operator="containsText" text="Not Met">
      <formula>NOT(ISERROR(SEARCH("Not Met",AG5)))</formula>
    </cfRule>
    <cfRule type="containsText" dxfId="462" priority="355" operator="containsText" text="Met">
      <formula>NOT(ISERROR(SEARCH("Met",AG5)))</formula>
    </cfRule>
  </conditionalFormatting>
  <conditionalFormatting sqref="AG24:AG32 AG94:AG102 AG160:AG177 AG208:AG210 AG219:AG229 AG235:AG239 AG248:AG256 AG258:AG283 AG291:AG298 AG311:AG318 AG427:AG439 AG475:AG482">
    <cfRule type="containsText" dxfId="461" priority="348" operator="containsText" text="Not Met">
      <formula>NOT(ISERROR(SEARCH("Not Met",AG24)))</formula>
    </cfRule>
    <cfRule type="containsText" dxfId="460" priority="349" operator="containsText" text="Met">
      <formula>NOT(ISERROR(SEARCH("Met",AG24)))</formula>
    </cfRule>
  </conditionalFormatting>
  <conditionalFormatting sqref="AF2:AF5">
    <cfRule type="containsText" dxfId="351" priority="676" operator="containsText" text="Not Met">
      <formula>NOT(ISERROR(SEARCH("Not Met",AF2)))</formula>
    </cfRule>
  </conditionalFormatting>
  <conditionalFormatting sqref="AH2:AH5">
    <cfRule type="containsText" dxfId="337" priority="55" operator="containsText" text="Not Met">
      <formula>NOT(ISERROR(SEARCH("Not Met",AH2)))</formula>
    </cfRule>
    <cfRule type="containsText" dxfId="338" priority="56" operator="containsText" text="Met">
      <formula>NOT(ISERROR(SEARCH("Met",AH2)))</formula>
    </cfRule>
  </conditionalFormatting>
  <conditionalFormatting sqref="AH5:AH6">
    <cfRule type="containsText" dxfId="336" priority="57" operator="containsText" text="Not Met">
      <formula>NOT(ISERROR(SEARCH("Not Met",AH5)))</formula>
    </cfRule>
    <cfRule type="containsText" dxfId="335" priority="58" operator="containsText" text="Met">
      <formula>NOT(ISERROR(SEARCH("Met",AH5)))</formula>
    </cfRule>
  </conditionalFormatting>
  <conditionalFormatting sqref="AH7">
    <cfRule type="containsText" dxfId="334" priority="109" operator="containsText" text="Not Met">
      <formula>NOT(ISERROR(SEARCH("Not Met",AH7)))</formula>
    </cfRule>
    <cfRule type="containsText" dxfId="333" priority="110" operator="containsText" text="Met">
      <formula>NOT(ISERROR(SEARCH("Met",AH7)))</formula>
    </cfRule>
  </conditionalFormatting>
  <conditionalFormatting sqref="AH8">
    <cfRule type="containsText" dxfId="332" priority="107" operator="containsText" text="Not Met">
      <formula>NOT(ISERROR(SEARCH("Not Met",AH8)))</formula>
    </cfRule>
    <cfRule type="containsText" dxfId="331" priority="108" operator="containsText" text="Met">
      <formula>NOT(ISERROR(SEARCH("Met",AH8)))</formula>
    </cfRule>
  </conditionalFormatting>
  <conditionalFormatting sqref="AH14">
    <cfRule type="containsText" dxfId="330" priority="115" operator="containsText" text="Not Met">
      <formula>NOT(ISERROR(SEARCH("Not Met",AH14)))</formula>
    </cfRule>
    <cfRule type="containsText" dxfId="329" priority="116" operator="containsText" text="Met">
      <formula>NOT(ISERROR(SEARCH("Met",AH14)))</formula>
    </cfRule>
  </conditionalFormatting>
  <conditionalFormatting sqref="AH16:AH19">
    <cfRule type="containsText" dxfId="328" priority="111" operator="containsText" text="Not Met">
      <formula>NOT(ISERROR(SEARCH("Not Met",AH16)))</formula>
    </cfRule>
    <cfRule type="containsText" dxfId="327" priority="112" operator="containsText" text="Met">
      <formula>NOT(ISERROR(SEARCH("Met",AH16)))</formula>
    </cfRule>
    <cfRule type="containsText" dxfId="326" priority="113" operator="containsText" text="Not Met">
      <formula>NOT(ISERROR(SEARCH("Not Met",AH16)))</formula>
    </cfRule>
    <cfRule type="containsText" dxfId="325" priority="114" operator="containsText" text="Met">
      <formula>NOT(ISERROR(SEARCH("Met",AH16)))</formula>
    </cfRule>
  </conditionalFormatting>
  <conditionalFormatting sqref="AH34:AH41">
    <cfRule type="containsText" dxfId="323" priority="35" operator="containsText" text="Not Met">
      <formula>NOT(ISERROR(SEARCH("Not Met",AH34)))</formula>
    </cfRule>
    <cfRule type="containsText" dxfId="322" priority="36" operator="containsText" text="Met">
      <formula>NOT(ISERROR(SEARCH("Met",AH34)))</formula>
    </cfRule>
    <cfRule type="containsText" dxfId="321" priority="37" operator="containsText" text="Not Met">
      <formula>NOT(ISERROR(SEARCH("Not Met",AH34)))</formula>
    </cfRule>
    <cfRule type="containsText" dxfId="324" priority="38" operator="containsText" text="Met">
      <formula>NOT(ISERROR(SEARCH("Met",AH34)))</formula>
    </cfRule>
  </conditionalFormatting>
  <conditionalFormatting sqref="AH42:AH48">
    <cfRule type="containsText" dxfId="320" priority="39" operator="containsText" text="Not Met">
      <formula>NOT(ISERROR(SEARCH("Not Met",AH42)))</formula>
    </cfRule>
    <cfRule type="containsText" dxfId="318" priority="40" operator="containsText" text="Met">
      <formula>NOT(ISERROR(SEARCH("Met",AH42)))</formula>
    </cfRule>
    <cfRule type="containsText" dxfId="317" priority="41" operator="containsText" text="Not Met">
      <formula>NOT(ISERROR(SEARCH("Not Met",AH42)))</formula>
    </cfRule>
    <cfRule type="containsText" dxfId="319" priority="42" operator="containsText" text="Met">
      <formula>NOT(ISERROR(SEARCH("Met",AH42)))</formula>
    </cfRule>
  </conditionalFormatting>
  <conditionalFormatting sqref="AH49:AH53">
    <cfRule type="containsText" dxfId="316" priority="33" operator="containsText" text="Not Met">
      <formula>NOT(ISERROR(SEARCH("Not Met",AH49)))</formula>
    </cfRule>
    <cfRule type="containsText" dxfId="315" priority="34" operator="containsText" text="Met">
      <formula>NOT(ISERROR(SEARCH("Met",AH49)))</formula>
    </cfRule>
  </conditionalFormatting>
  <conditionalFormatting sqref="AH54:AH69 AH72:AH77">
    <cfRule type="containsText" dxfId="312" priority="21" operator="containsText" text="Not Met">
      <formula>NOT(ISERROR(SEARCH("Not Met",AH54)))</formula>
    </cfRule>
    <cfRule type="containsText" dxfId="313" priority="22" operator="containsText" text="Met">
      <formula>NOT(ISERROR(SEARCH("Met",AH54)))</formula>
    </cfRule>
    <cfRule type="containsText" dxfId="314" priority="23" operator="containsText" text="Not Met">
      <formula>NOT(ISERROR(SEARCH("Not Met",AH54)))</formula>
    </cfRule>
    <cfRule type="containsText" dxfId="311" priority="24" operator="containsText" text="Met">
      <formula>NOT(ISERROR(SEARCH("Met",AH54)))</formula>
    </cfRule>
  </conditionalFormatting>
  <conditionalFormatting sqref="AH78:AH89">
    <cfRule type="containsText" dxfId="307" priority="27" operator="containsText" text="Not Met">
      <formula>NOT(ISERROR(SEARCH("Not Met",AH78)))</formula>
    </cfRule>
    <cfRule type="containsText" dxfId="310" priority="28" operator="containsText" text="Met">
      <formula>NOT(ISERROR(SEARCH("Met",AH78)))</formula>
    </cfRule>
    <cfRule type="containsText" dxfId="309" priority="29" operator="containsText" text="Not Met">
      <formula>NOT(ISERROR(SEARCH("Not Met",AH78)))</formula>
    </cfRule>
    <cfRule type="containsText" dxfId="308" priority="30" operator="containsText" text="Met">
      <formula>NOT(ISERROR(SEARCH("Met",AH78)))</formula>
    </cfRule>
  </conditionalFormatting>
  <conditionalFormatting sqref="AH90:AH96 AH288:AH294">
    <cfRule type="containsText" dxfId="305" priority="210" operator="containsText" text="Met">
      <formula>NOT(ISERROR(SEARCH("Met",AH90)))</formula>
    </cfRule>
    <cfRule type="containsText" dxfId="306" priority="212" operator="containsText" text="Met">
      <formula>NOT(ISERROR(SEARCH("Met",AH90)))</formula>
    </cfRule>
  </conditionalFormatting>
  <conditionalFormatting sqref="AH113">
    <cfRule type="containsText" dxfId="304" priority="71" operator="containsText" text="Not Met">
      <formula>NOT(ISERROR(SEARCH("Not Met",AH113)))</formula>
    </cfRule>
    <cfRule type="containsText" dxfId="303" priority="72" operator="containsText" text="Met">
      <formula>NOT(ISERROR(SEARCH("Met",AH113)))</formula>
    </cfRule>
  </conditionalFormatting>
  <conditionalFormatting sqref="AH118:AH123">
    <cfRule type="containsText" dxfId="301" priority="69" operator="containsText" text="Not Met">
      <formula>NOT(ISERROR(SEARCH("Not Met",AH118)))</formula>
    </cfRule>
    <cfRule type="containsText" dxfId="302" priority="70" operator="containsText" text="Met">
      <formula>NOT(ISERROR(SEARCH("Met",AH118)))</formula>
    </cfRule>
  </conditionalFormatting>
  <conditionalFormatting sqref="AH124">
    <cfRule type="containsText" dxfId="300" priority="89" operator="containsText" text="Not Met">
      <formula>NOT(ISERROR(SEARCH("Not Met",AH124)))</formula>
    </cfRule>
  </conditionalFormatting>
  <conditionalFormatting sqref="AH124:AH126">
    <cfRule type="containsText" dxfId="299" priority="90" operator="containsText" text="Met">
      <formula>NOT(ISERROR(SEARCH("Met",AH124)))</formula>
    </cfRule>
  </conditionalFormatting>
  <conditionalFormatting sqref="AH125:AH126">
    <cfRule type="containsText" dxfId="298" priority="91" operator="containsText" text="Not Met">
      <formula>NOT(ISERROR(SEARCH("Not Met",AH125)))</formula>
    </cfRule>
  </conditionalFormatting>
  <conditionalFormatting sqref="AH128">
    <cfRule type="containsText" dxfId="296" priority="92" operator="containsText" text="Not Met">
      <formula>NOT(ISERROR(SEARCH("Not Met",AH128)))</formula>
    </cfRule>
    <cfRule type="containsText" dxfId="297" priority="93" operator="containsText" text="Met">
      <formula>NOT(ISERROR(SEARCH("Met",AH128)))</formula>
    </cfRule>
  </conditionalFormatting>
  <conditionalFormatting sqref="AH129:AH134">
    <cfRule type="containsText" dxfId="294" priority="94" operator="containsText" text="Not Met">
      <formula>NOT(ISERROR(SEARCH("Not Met",AH129)))</formula>
    </cfRule>
    <cfRule type="containsText" dxfId="295" priority="95" operator="containsText" text="Met">
      <formula>NOT(ISERROR(SEARCH("Met",AH129)))</formula>
    </cfRule>
  </conditionalFormatting>
  <conditionalFormatting sqref="AH135:AH141">
    <cfRule type="containsText" dxfId="293" priority="201" operator="containsText" text="Not Met">
      <formula>NOT(ISERROR(SEARCH("Not Met",AH135)))</formula>
    </cfRule>
    <cfRule type="containsText" dxfId="292" priority="202" operator="containsText" text="Met">
      <formula>NOT(ISERROR(SEARCH("Met",AH135)))</formula>
    </cfRule>
    <cfRule type="containsText" dxfId="291" priority="203" operator="containsText" text="Not Met">
      <formula>NOT(ISERROR(SEARCH("Not Met",AH135)))</formula>
    </cfRule>
    <cfRule type="containsText" dxfId="290" priority="204" operator="containsText" text="Met">
      <formula>NOT(ISERROR(SEARCH("Met",AH135)))</formula>
    </cfRule>
  </conditionalFormatting>
  <conditionalFormatting sqref="AH142:AH146">
    <cfRule type="containsText" dxfId="289" priority="197" operator="containsText" text="Not Met">
      <formula>NOT(ISERROR(SEARCH("Not Met",AH142)))</formula>
    </cfRule>
    <cfRule type="containsText" dxfId="287" priority="198" operator="containsText" text="Met">
      <formula>NOT(ISERROR(SEARCH("Met",AH142)))</formula>
    </cfRule>
    <cfRule type="containsText" dxfId="288" priority="199" operator="containsText" text="Not Met">
      <formula>NOT(ISERROR(SEARCH("Not Met",AH142)))</formula>
    </cfRule>
    <cfRule type="containsText" dxfId="286" priority="200" operator="containsText" text="Met">
      <formula>NOT(ISERROR(SEARCH("Met",AH142)))</formula>
    </cfRule>
  </conditionalFormatting>
  <conditionalFormatting sqref="AH147:AH154">
    <cfRule type="containsText" dxfId="285" priority="43" operator="containsText" text="Not Met">
      <formula>NOT(ISERROR(SEARCH("Not Met",AH147)))</formula>
    </cfRule>
    <cfRule type="containsText" dxfId="284" priority="44" operator="containsText" text="Met">
      <formula>NOT(ISERROR(SEARCH("Met",AH147)))</formula>
    </cfRule>
  </conditionalFormatting>
  <conditionalFormatting sqref="AH155:AH162">
    <cfRule type="containsText" dxfId="282" priority="25" operator="containsText" text="Not Met">
      <formula>NOT(ISERROR(SEARCH("Not Met",AH155)))</formula>
    </cfRule>
    <cfRule type="containsText" dxfId="283" priority="26" operator="containsText" text="Met">
      <formula>NOT(ISERROR(SEARCH("Met",AH155)))</formula>
    </cfRule>
  </conditionalFormatting>
  <conditionalFormatting sqref="AH173">
    <cfRule type="containsText" dxfId="281" priority="77" operator="containsText" text="Not Met">
      <formula>NOT(ISERROR(SEARCH("Not Met",AH173)))</formula>
    </cfRule>
    <cfRule type="containsText" dxfId="280" priority="78" operator="containsText" text="Met">
      <formula>NOT(ISERROR(SEARCH("Met",AH173)))</formula>
    </cfRule>
  </conditionalFormatting>
  <conditionalFormatting sqref="AH176:AH181">
    <cfRule type="containsText" dxfId="278" priority="79" operator="containsText" text="Not Met">
      <formula>NOT(ISERROR(SEARCH("Not Met",AH176)))</formula>
    </cfRule>
    <cfRule type="containsText" dxfId="279" priority="80" operator="containsText" text="Met">
      <formula>NOT(ISERROR(SEARCH("Met",AH176)))</formula>
    </cfRule>
  </conditionalFormatting>
  <conditionalFormatting sqref="AH184:AH191">
    <cfRule type="containsText" dxfId="276" priority="19" operator="containsText" text="Not Met">
      <formula>NOT(ISERROR(SEARCH("Not Met",AH184)))</formula>
    </cfRule>
    <cfRule type="containsText" dxfId="277" priority="20" operator="containsText" text="Met">
      <formula>NOT(ISERROR(SEARCH("Met",AH184)))</formula>
    </cfRule>
  </conditionalFormatting>
  <conditionalFormatting sqref="AH212:AH228">
    <cfRule type="containsText" dxfId="274" priority="221" operator="containsText" text="Not Met">
      <formula>NOT(ISERROR(SEARCH("Not Met",AH212)))</formula>
    </cfRule>
    <cfRule type="containsText" dxfId="275" priority="222" operator="containsText" text="Met">
      <formula>NOT(ISERROR(SEARCH("Met",AH212)))</formula>
    </cfRule>
    <cfRule type="containsText" dxfId="272" priority="223" operator="containsText" text="Not Met">
      <formula>NOT(ISERROR(SEARCH("Not Met",AH212)))</formula>
    </cfRule>
    <cfRule type="containsText" dxfId="273" priority="224" operator="containsText" text="Met">
      <formula>NOT(ISERROR(SEARCH("Met",AH212)))</formula>
    </cfRule>
  </conditionalFormatting>
  <conditionalFormatting sqref="AH236:AH242">
    <cfRule type="containsText" dxfId="270" priority="207" operator="containsText" text="Not Met">
      <formula>NOT(ISERROR(SEARCH("Not Met",AH236)))</formula>
    </cfRule>
    <cfRule type="containsText" dxfId="271" priority="208" operator="containsText" text="Met">
      <formula>NOT(ISERROR(SEARCH("Met",AH236)))</formula>
    </cfRule>
  </conditionalFormatting>
  <conditionalFormatting sqref="AH243:AH256">
    <cfRule type="containsText" dxfId="266" priority="213" operator="containsText" text="Not Met">
      <formula>NOT(ISERROR(SEARCH("Not Met",AH243)))</formula>
    </cfRule>
    <cfRule type="containsText" dxfId="267" priority="214" operator="containsText" text="Met">
      <formula>NOT(ISERROR(SEARCH("Met",AH243)))</formula>
    </cfRule>
    <cfRule type="containsText" dxfId="269" priority="215" operator="containsText" text="Not Met">
      <formula>NOT(ISERROR(SEARCH("Not Met",AH243)))</formula>
    </cfRule>
    <cfRule type="containsText" dxfId="268" priority="216" operator="containsText" text="Met">
      <formula>NOT(ISERROR(SEARCH("Met",AH243)))</formula>
    </cfRule>
  </conditionalFormatting>
  <conditionalFormatting sqref="AH257:AH265">
    <cfRule type="containsText" dxfId="261" priority="45" operator="containsText" text="Not Met">
      <formula>NOT(ISERROR(SEARCH("Not Met",AH257)))</formula>
    </cfRule>
    <cfRule type="containsText" dxfId="262" priority="46" operator="containsText" text="Met">
      <formula>NOT(ISERROR(SEARCH("Met",AH257)))</formula>
    </cfRule>
    <cfRule type="containsText" dxfId="260" priority="47" operator="containsText" text="Not Met">
      <formula>NOT(ISERROR(SEARCH("Not Met",AH257)))</formula>
    </cfRule>
    <cfRule type="containsText" dxfId="263" priority="48" operator="containsText" text="Met">
      <formula>NOT(ISERROR(SEARCH("Met",AH257)))</formula>
    </cfRule>
    <cfRule type="containsText" dxfId="264" priority="49" operator="containsText" text="Not Met">
      <formula>NOT(ISERROR(SEARCH("Not Met",AH257)))</formula>
    </cfRule>
    <cfRule type="containsText" dxfId="265" priority="50" operator="containsText" text="Met">
      <formula>NOT(ISERROR(SEARCH("Met",AH257)))</formula>
    </cfRule>
  </conditionalFormatting>
  <conditionalFormatting sqref="AH266:AH272">
    <cfRule type="containsText" dxfId="258" priority="63" operator="containsText" text="Not Met">
      <formula>NOT(ISERROR(SEARCH("Not Met",AH266)))</formula>
    </cfRule>
    <cfRule type="containsText" dxfId="259" priority="64" operator="containsText" text="Met">
      <formula>NOT(ISERROR(SEARCH("Met",AH266)))</formula>
    </cfRule>
  </conditionalFormatting>
  <conditionalFormatting sqref="AH273:AH279">
    <cfRule type="containsText" dxfId="256" priority="217" operator="containsText" text="Not Met">
      <formula>NOT(ISERROR(SEARCH("Not Met",AH273)))</formula>
    </cfRule>
    <cfRule type="containsText" dxfId="255" priority="218" operator="containsText" text="Met">
      <formula>NOT(ISERROR(SEARCH("Met",AH273)))</formula>
    </cfRule>
    <cfRule type="containsText" dxfId="254" priority="219" operator="containsText" text="Not Met">
      <formula>NOT(ISERROR(SEARCH("Not Met",AH273)))</formula>
    </cfRule>
    <cfRule type="containsText" dxfId="257" priority="220" operator="containsText" text="Met">
      <formula>NOT(ISERROR(SEARCH("Met",AH273)))</formula>
    </cfRule>
  </conditionalFormatting>
  <conditionalFormatting sqref="AH280:AH286">
    <cfRule type="containsText" dxfId="253" priority="195" operator="containsText" text="Met">
      <formula>NOT(ISERROR(SEARCH("Met",AH280)))</formula>
    </cfRule>
    <cfRule type="containsText" dxfId="252" priority="196" operator="containsText" text="Not Met">
      <formula>NOT(ISERROR(SEARCH("Not Met",AH280)))</formula>
    </cfRule>
  </conditionalFormatting>
  <conditionalFormatting sqref="AH288:AH294 AH90:AH96">
    <cfRule type="containsText" dxfId="250" priority="209" operator="containsText" text="Not Met">
      <formula>NOT(ISERROR(SEARCH("Not Met",AH90)))</formula>
    </cfRule>
    <cfRule type="containsText" dxfId="251" priority="211" operator="containsText" text="Not Met">
      <formula>NOT(ISERROR(SEARCH("Not Met",AH90)))</formula>
    </cfRule>
  </conditionalFormatting>
  <conditionalFormatting sqref="AH295:AH302">
    <cfRule type="containsText" dxfId="249" priority="31" operator="containsText" text="Not Met">
      <formula>NOT(ISERROR(SEARCH("Not Met",AH295)))</formula>
    </cfRule>
    <cfRule type="containsText" dxfId="248" priority="32" operator="containsText" text="Met">
      <formula>NOT(ISERROR(SEARCH("Met",AH295)))</formula>
    </cfRule>
  </conditionalFormatting>
  <conditionalFormatting sqref="AH303">
    <cfRule type="containsText" dxfId="247" priority="161" operator="containsText" text="Not Met">
      <formula>NOT(ISERROR(SEARCH("Not Met",AH303)))</formula>
    </cfRule>
    <cfRule type="containsText" dxfId="246" priority="162" operator="containsText" text="Met">
      <formula>NOT(ISERROR(SEARCH("Met",AH303)))</formula>
    </cfRule>
  </conditionalFormatting>
  <conditionalFormatting sqref="AH304:AH309 AH313">
    <cfRule type="containsText" dxfId="245" priority="163" operator="containsText" text="Not Met">
      <formula>NOT(ISERROR(SEARCH("Not Met",AH304)))</formula>
    </cfRule>
  </conditionalFormatting>
  <conditionalFormatting sqref="AH304:AH310">
    <cfRule type="containsText" dxfId="244" priority="152" operator="containsText" text="Met">
      <formula>NOT(ISERROR(SEARCH("Met",AH304)))</formula>
    </cfRule>
  </conditionalFormatting>
  <conditionalFormatting sqref="AH310">
    <cfRule type="containsText" dxfId="243" priority="151" operator="containsText" text="Not Met">
      <formula>NOT(ISERROR(SEARCH("Not Met",AH310)))</formula>
    </cfRule>
  </conditionalFormatting>
  <conditionalFormatting sqref="AH311:AH312">
    <cfRule type="containsText" dxfId="240" priority="155" operator="containsText" text="Not Met">
      <formula>NOT(ISERROR(SEARCH("Not Met",AH311)))</formula>
    </cfRule>
    <cfRule type="containsText" dxfId="242" priority="156" operator="containsText" text="Met">
      <formula>NOT(ISERROR(SEARCH("Met",AH311)))</formula>
    </cfRule>
    <cfRule type="containsText" dxfId="241" priority="157" operator="containsText" text="Not Met">
      <formula>NOT(ISERROR(SEARCH("Not Met",AH311)))</formula>
    </cfRule>
  </conditionalFormatting>
  <conditionalFormatting sqref="AH311:AH313">
    <cfRule type="containsText" dxfId="239" priority="158" operator="containsText" text="Met">
      <formula>NOT(ISERROR(SEARCH("Met",AH311)))</formula>
    </cfRule>
  </conditionalFormatting>
  <conditionalFormatting sqref="AH314">
    <cfRule type="containsText" dxfId="236" priority="153" operator="containsText" text="Not Met">
      <formula>NOT(ISERROR(SEARCH("Not Met",AH314)))</formula>
    </cfRule>
    <cfRule type="containsText" dxfId="235" priority="154" operator="containsText" text="Met">
      <formula>NOT(ISERROR(SEARCH("Met",AH314)))</formula>
    </cfRule>
    <cfRule type="containsText" dxfId="237" priority="159" operator="containsText" text="Not Met">
      <formula>NOT(ISERROR(SEARCH("Not Met",AH314)))</formula>
    </cfRule>
    <cfRule type="containsText" dxfId="238" priority="160" operator="containsText" text="Met">
      <formula>NOT(ISERROR(SEARCH("Met",AH314)))</formula>
    </cfRule>
  </conditionalFormatting>
  <conditionalFormatting sqref="AH323:AH329">
    <cfRule type="containsText" dxfId="232" priority="59" operator="containsText" text="Not Met">
      <formula>NOT(ISERROR(SEARCH("Not Met",AH323)))</formula>
    </cfRule>
    <cfRule type="containsText" dxfId="233" priority="60" operator="containsText" text="Met">
      <formula>NOT(ISERROR(SEARCH("Met",AH323)))</formula>
    </cfRule>
    <cfRule type="containsText" dxfId="234" priority="61" operator="containsText" text="Not Met">
      <formula>NOT(ISERROR(SEARCH("Not Met",AH323)))</formula>
    </cfRule>
  </conditionalFormatting>
  <conditionalFormatting sqref="AH323:AH344">
    <cfRule type="containsText" dxfId="231" priority="62" operator="containsText" text="Met">
      <formula>NOT(ISERROR(SEARCH("Met",AH323)))</formula>
    </cfRule>
  </conditionalFormatting>
  <conditionalFormatting sqref="AH330:AH337">
    <cfRule type="containsText" dxfId="230" priority="98" operator="containsText" text="Not Met">
      <formula>NOT(ISERROR(SEARCH("Not Met",AH330)))</formula>
    </cfRule>
  </conditionalFormatting>
  <conditionalFormatting sqref="AH338:AH344">
    <cfRule type="containsText" dxfId="229" priority="190" operator="containsText" text="Not Met">
      <formula>NOT(ISERROR(SEARCH("Not Met",AH338)))</formula>
    </cfRule>
  </conditionalFormatting>
  <conditionalFormatting sqref="AH346:AH352">
    <cfRule type="containsText" dxfId="228" priority="51" operator="containsText" text="Not Met">
      <formula>NOT(ISERROR(SEARCH("Not Met",AH346)))</formula>
    </cfRule>
    <cfRule type="containsText" dxfId="227" priority="52" operator="containsText" text="Met">
      <formula>NOT(ISERROR(SEARCH("Met",AH346)))</formula>
    </cfRule>
  </conditionalFormatting>
  <conditionalFormatting sqref="AH378:AH412">
    <cfRule type="containsText" dxfId="226" priority="17" operator="containsText" text="Not Met">
      <formula>NOT(ISERROR(SEARCH("Not Met",AH378)))</formula>
    </cfRule>
    <cfRule type="containsText" dxfId="225" priority="18" operator="containsText" text="Met">
      <formula>NOT(ISERROR(SEARCH("Met",AH378)))</formula>
    </cfRule>
  </conditionalFormatting>
  <conditionalFormatting sqref="AH416">
    <cfRule type="containsText" dxfId="223" priority="119" operator="containsText" text="Not Met">
      <formula>NOT(ISERROR(SEARCH("Not Met",AH416)))</formula>
    </cfRule>
    <cfRule type="containsText" dxfId="224" priority="120" operator="containsText" text="Met">
      <formula>NOT(ISERROR(SEARCH("Met",AH416)))</formula>
    </cfRule>
  </conditionalFormatting>
  <conditionalFormatting sqref="AH444:AH457">
    <cfRule type="containsText" dxfId="221" priority="205" operator="containsText" text="Not Met">
      <formula>NOT(ISERROR(SEARCH("Not Met",AH444)))</formula>
    </cfRule>
    <cfRule type="containsText" dxfId="222" priority="206" operator="containsText" text="Met">
      <formula>NOT(ISERROR(SEARCH("Met",AH444)))</formula>
    </cfRule>
  </conditionalFormatting>
  <conditionalFormatting sqref="AH458:AH466">
    <cfRule type="containsText" dxfId="219" priority="135" operator="containsText" text="Not Met">
      <formula>NOT(ISERROR(SEARCH("Not Met",AH458)))</formula>
    </cfRule>
    <cfRule type="containsText" dxfId="220" priority="136" operator="containsText" text="Met">
      <formula>NOT(ISERROR(SEARCH("Met",AH458)))</formula>
    </cfRule>
  </conditionalFormatting>
  <conditionalFormatting sqref="AH467:AH470">
    <cfRule type="containsText" dxfId="217" priority="137" operator="containsText" text="Not Met">
      <formula>NOT(ISERROR(SEARCH("Not Met",AH467)))</formula>
    </cfRule>
    <cfRule type="containsText" dxfId="218" priority="138" operator="containsText" text="Met">
      <formula>NOT(ISERROR(SEARCH("Met",AH467)))</formula>
    </cfRule>
  </conditionalFormatting>
  <conditionalFormatting sqref="AH472:AH480">
    <cfRule type="containsText" dxfId="215" priority="127" operator="containsText" text="Not Met">
      <formula>NOT(ISERROR(SEARCH("Not Met",AH472)))</formula>
    </cfRule>
    <cfRule type="containsText" dxfId="216" priority="128" operator="containsText" text="Met">
      <formula>NOT(ISERROR(SEARCH("Met",AH472)))</formula>
    </cfRule>
  </conditionalFormatting>
  <conditionalFormatting sqref="AH481:AH482">
    <cfRule type="containsText" dxfId="214" priority="130" operator="containsText" text="Not Met">
      <formula>NOT(ISERROR(SEARCH("Not Met",AH481)))</formula>
    </cfRule>
    <cfRule type="containsText" dxfId="213" priority="131" operator="containsText" text="Met">
      <formula>NOT(ISERROR(SEARCH("Met",AH481)))</formula>
    </cfRule>
  </conditionalFormatting>
  <conditionalFormatting sqref="AH483:AH485">
    <cfRule type="containsText" dxfId="211" priority="129" operator="containsText" text="Met">
      <formula>NOT(ISERROR(SEARCH("Met",AH483)))</formula>
    </cfRule>
    <cfRule type="containsText" dxfId="212" priority="132" operator="containsText" text="Not Met">
      <formula>NOT(ISERROR(SEARCH("Not Met",AH483)))</formula>
    </cfRule>
  </conditionalFormatting>
  <conditionalFormatting sqref="AH486:AH487 AH489">
    <cfRule type="containsText" dxfId="203" priority="164" operator="containsText" text="Not Met">
      <formula>NOT(ISERROR(SEARCH("Not Met",AH486)))</formula>
    </cfRule>
    <cfRule type="containsText" dxfId="204" priority="165" operator="containsText" text="Met">
      <formula>NOT(ISERROR(SEARCH("Met",AH486)))</formula>
    </cfRule>
    <cfRule type="containsText" dxfId="209" priority="166" operator="containsText" text="Not Met">
      <formula>NOT(ISERROR(SEARCH("Not Met",AH486)))</formula>
    </cfRule>
    <cfRule type="containsText" dxfId="208" priority="167" operator="containsText" text="Met">
      <formula>NOT(ISERROR(SEARCH("Met",AH486)))</formula>
    </cfRule>
    <cfRule type="containsText" dxfId="207" priority="168" operator="containsText" text="Not Met">
      <formula>NOT(ISERROR(SEARCH("Not Met",AH486)))</formula>
    </cfRule>
    <cfRule type="containsText" dxfId="206" priority="169" operator="containsText" text="Met">
      <formula>NOT(ISERROR(SEARCH("Met",AH486)))</formula>
    </cfRule>
    <cfRule type="containsText" dxfId="205" priority="170" operator="containsText" text="Not Met">
      <formula>NOT(ISERROR(SEARCH("Not Met",AH486)))</formula>
    </cfRule>
    <cfRule type="containsText" dxfId="210" priority="171" operator="containsText" text="Met">
      <formula>NOT(ISERROR(SEARCH("Met",AH486)))</formula>
    </cfRule>
  </conditionalFormatting>
  <conditionalFormatting sqref="AH490:AH492">
    <cfRule type="containsText" dxfId="202" priority="172" operator="containsText" text="Not Met">
      <formula>NOT(ISERROR(SEARCH("Not Met",AH490)))</formula>
    </cfRule>
    <cfRule type="containsText" dxfId="201" priority="173" operator="containsText" text="Met">
      <formula>NOT(ISERROR(SEARCH("Met",AH490)))</formula>
    </cfRule>
  </conditionalFormatting>
  <conditionalFormatting sqref="AJ2:AJ5">
    <cfRule type="containsText" dxfId="200" priority="336" operator="containsText" text="Not Met">
      <formula>NOT(ISERROR(SEARCH("Not Met",AJ2)))</formula>
    </cfRule>
    <cfRule type="containsText" dxfId="199" priority="337" operator="containsText" text="Met">
      <formula>NOT(ISERROR(SEARCH("Met",AJ2)))</formula>
    </cfRule>
  </conditionalFormatting>
  <conditionalFormatting sqref="AJ5:AJ6 AJ51">
    <cfRule type="containsText" dxfId="197" priority="338" operator="containsText" text="Not Met">
      <formula>NOT(ISERROR(SEARCH("Not Met",AJ5)))</formula>
    </cfRule>
    <cfRule type="containsText" dxfId="198" priority="339" operator="containsText" text="Met">
      <formula>NOT(ISERROR(SEARCH("Met",AJ5)))</formula>
    </cfRule>
  </conditionalFormatting>
  <conditionalFormatting sqref="AJ7:AJ10 AJ12:AJ15">
    <cfRule type="containsText" dxfId="196" priority="100" operator="containsText" text="Met">
      <formula>NOT(ISERROR(SEARCH("Met",AJ7)))</formula>
    </cfRule>
  </conditionalFormatting>
  <conditionalFormatting sqref="AJ11 AJ16:AJ19">
    <cfRule type="containsText" dxfId="195" priority="103" operator="containsText" text="Not Met">
      <formula>NOT(ISERROR(SEARCH("Not Met",AJ11)))</formula>
    </cfRule>
    <cfRule type="containsText" dxfId="194" priority="104" operator="containsText" text="Met">
      <formula>NOT(ISERROR(SEARCH("Met",AJ11)))</formula>
    </cfRule>
  </conditionalFormatting>
  <conditionalFormatting sqref="AJ11">
    <cfRule type="containsText" dxfId="192" priority="105" operator="containsText" text="Not Met">
      <formula>NOT(ISERROR(SEARCH("Not Met",AJ11)))</formula>
    </cfRule>
    <cfRule type="containsText" dxfId="193" priority="106" operator="containsText" text="Met">
      <formula>NOT(ISERROR(SEARCH("Met",AJ11)))</formula>
    </cfRule>
  </conditionalFormatting>
  <conditionalFormatting sqref="AJ12:AJ15 AJ7:AJ10">
    <cfRule type="containsText" dxfId="191" priority="99" operator="containsText" text="Not Met">
      <formula>NOT(ISERROR(SEARCH("Not Met",AJ7)))</formula>
    </cfRule>
  </conditionalFormatting>
  <conditionalFormatting sqref="AJ16:AJ19">
    <cfRule type="containsText" dxfId="189" priority="101" operator="containsText" text="Not Met">
      <formula>NOT(ISERROR(SEARCH("Not Met",AJ16)))</formula>
    </cfRule>
    <cfRule type="containsText" dxfId="190" priority="102" operator="containsText" text="Met">
      <formula>NOT(ISERROR(SEARCH("Met",AJ16)))</formula>
    </cfRule>
  </conditionalFormatting>
  <conditionalFormatting sqref="AJ20:AJ25 AJ27:AJ41 AJ54:AJ59">
    <cfRule type="containsText" dxfId="188" priority="333" operator="containsText" text="Met">
      <formula>NOT(ISERROR(SEARCH("Met",AJ20)))</formula>
    </cfRule>
  </conditionalFormatting>
  <conditionalFormatting sqref="AJ31">
    <cfRule type="containsText" dxfId="186" priority="302" operator="containsText" text="Not Met">
      <formula>NOT(ISERROR(SEARCH("Not Met",AJ31)))</formula>
    </cfRule>
    <cfRule type="containsText" dxfId="187" priority="303" operator="containsText" text="Met">
      <formula>NOT(ISERROR(SEARCH("Met",AJ31)))</formula>
    </cfRule>
  </conditionalFormatting>
  <conditionalFormatting sqref="AJ33">
    <cfRule type="containsText" dxfId="185" priority="328" operator="containsText" text="Not Met">
      <formula>NOT(ISERROR(SEARCH("Not Met",AJ33)))</formula>
    </cfRule>
    <cfRule type="containsText" dxfId="184" priority="329" operator="containsText" text="Met">
      <formula>NOT(ISERROR(SEARCH("Met",AJ33)))</formula>
    </cfRule>
    <cfRule type="containsText" dxfId="183" priority="330" operator="containsText" text="Not Met">
      <formula>NOT(ISERROR(SEARCH("Not Met",AJ33)))</formula>
    </cfRule>
    <cfRule type="containsText" dxfId="182" priority="331" operator="containsText" text="Met">
      <formula>NOT(ISERROR(SEARCH("Met",AJ33)))</formula>
    </cfRule>
  </conditionalFormatting>
  <conditionalFormatting sqref="AJ42:AJ48">
    <cfRule type="containsText" dxfId="180" priority="304" operator="containsText" text="Not Met">
      <formula>NOT(ISERROR(SEARCH("Not Met",AJ42)))</formula>
    </cfRule>
    <cfRule type="containsText" dxfId="178" priority="305" operator="containsText" text="Met">
      <formula>NOT(ISERROR(SEARCH("Met",AJ42)))</formula>
    </cfRule>
    <cfRule type="containsText" dxfId="179" priority="306" operator="containsText" text="Not Met">
      <formula>NOT(ISERROR(SEARCH("Not Met",AJ42)))</formula>
    </cfRule>
    <cfRule type="containsText" dxfId="181" priority="307" operator="containsText" text="Met">
      <formula>NOT(ISERROR(SEARCH("Met",AJ42)))</formula>
    </cfRule>
  </conditionalFormatting>
  <conditionalFormatting sqref="AJ49:AJ50 AJ52:AJ53 AJ78:AJ89">
    <cfRule type="containsText" dxfId="177" priority="301" operator="containsText" text="Met">
      <formula>NOT(ISERROR(SEARCH("Met",AJ49)))</formula>
    </cfRule>
  </conditionalFormatting>
  <conditionalFormatting sqref="AJ51">
    <cfRule type="containsText" dxfId="176" priority="334" operator="containsText" text="Not Met">
      <formula>NOT(ISERROR(SEARCH("Not Met",AJ51)))</formula>
    </cfRule>
    <cfRule type="containsText" dxfId="175" priority="335" operator="containsText" text="Met">
      <formula>NOT(ISERROR(SEARCH("Met",AJ51)))</formula>
    </cfRule>
  </conditionalFormatting>
  <conditionalFormatting sqref="AJ54:AJ59 AJ27:AJ41 AJ20:AJ25">
    <cfRule type="containsText" dxfId="174" priority="332" operator="containsText" text="Not Met">
      <formula>NOT(ISERROR(SEARCH("Not Met",AJ20)))</formula>
    </cfRule>
  </conditionalFormatting>
  <conditionalFormatting sqref="AJ60:AJ61">
    <cfRule type="containsText" dxfId="172" priority="326" operator="containsText" text="Not Met">
      <formula>NOT(ISERROR(SEARCH("Not Met",AJ60)))</formula>
    </cfRule>
    <cfRule type="containsText" dxfId="173" priority="327" operator="containsText" text="Met">
      <formula>NOT(ISERROR(SEARCH("Met",AJ60)))</formula>
    </cfRule>
  </conditionalFormatting>
  <conditionalFormatting sqref="AJ62:AJ68">
    <cfRule type="containsText" dxfId="171" priority="314" operator="containsText" text="Not Met">
      <formula>NOT(ISERROR(SEARCH("Not Met",AJ62)))</formula>
    </cfRule>
    <cfRule type="containsText" dxfId="170" priority="315" operator="containsText" text="Met">
      <formula>NOT(ISERROR(SEARCH("Met",AJ62)))</formula>
    </cfRule>
  </conditionalFormatting>
  <conditionalFormatting sqref="AJ69">
    <cfRule type="containsText" dxfId="168" priority="308" operator="containsText" text="Not Met">
      <formula>NOT(ISERROR(SEARCH("Not Met",AJ69)))</formula>
    </cfRule>
    <cfRule type="containsText" dxfId="169" priority="309" operator="containsText" text="Met">
      <formula>NOT(ISERROR(SEARCH("Met",AJ69)))</formula>
    </cfRule>
    <cfRule type="containsText" dxfId="167" priority="310" operator="containsText" text="Not Met">
      <formula>NOT(ISERROR(SEARCH("Not Met",AJ69)))</formula>
    </cfRule>
    <cfRule type="containsText" dxfId="166" priority="311" operator="containsText" text="Met">
      <formula>NOT(ISERROR(SEARCH("Met",AJ69)))</formula>
    </cfRule>
    <cfRule type="containsText" dxfId="165" priority="312" operator="containsText" text="Not Met">
      <formula>NOT(ISERROR(SEARCH("Not Met",AJ69)))</formula>
    </cfRule>
    <cfRule type="containsText" dxfId="164" priority="313" operator="containsText" text="Met">
      <formula>NOT(ISERROR(SEARCH("Met",AJ69)))</formula>
    </cfRule>
  </conditionalFormatting>
  <conditionalFormatting sqref="AJ72:AJ74 AJ76:AJ77">
    <cfRule type="containsText" dxfId="163" priority="320" operator="containsText" text="Not Met">
      <formula>NOT(ISERROR(SEARCH("Not Met",AJ72)))</formula>
    </cfRule>
    <cfRule type="containsText" dxfId="162" priority="321" operator="containsText" text="Met">
      <formula>NOT(ISERROR(SEARCH("Met",AJ72)))</formula>
    </cfRule>
    <cfRule type="containsText" dxfId="161" priority="322" operator="containsText" text="Not Met">
      <formula>NOT(ISERROR(SEARCH("Not Met",AJ72)))</formula>
    </cfRule>
    <cfRule type="containsText" dxfId="160" priority="323" operator="containsText" text="Met">
      <formula>NOT(ISERROR(SEARCH("Met",AJ72)))</formula>
    </cfRule>
    <cfRule type="containsText" dxfId="159" priority="324" operator="containsText" text="Not Met">
      <formula>NOT(ISERROR(SEARCH("Not Met",AJ72)))</formula>
    </cfRule>
    <cfRule type="containsText" dxfId="158" priority="325" operator="containsText" text="Met">
      <formula>NOT(ISERROR(SEARCH("Met",AJ72)))</formula>
    </cfRule>
  </conditionalFormatting>
  <conditionalFormatting sqref="AJ75">
    <cfRule type="containsText" dxfId="155" priority="316" operator="containsText" text="Not Met">
      <formula>NOT(ISERROR(SEARCH("Not Met",AJ75)))</formula>
    </cfRule>
    <cfRule type="containsText" dxfId="154" priority="317" operator="containsText" text="Met">
      <formula>NOT(ISERROR(SEARCH("Met",AJ75)))</formula>
    </cfRule>
    <cfRule type="containsText" dxfId="157" priority="318" operator="containsText" text="Not Met">
      <formula>NOT(ISERROR(SEARCH("Not Met",AJ75)))</formula>
    </cfRule>
    <cfRule type="containsText" dxfId="156" priority="319" operator="containsText" text="Met">
      <formula>NOT(ISERROR(SEARCH("Met",AJ75)))</formula>
    </cfRule>
  </conditionalFormatting>
  <conditionalFormatting sqref="AJ78:AJ89 AJ52:AJ53 AJ49:AJ50">
    <cfRule type="containsText" dxfId="153" priority="300" operator="containsText" text="Not Met">
      <formula>NOT(ISERROR(SEARCH("Not Met",AJ49)))</formula>
    </cfRule>
  </conditionalFormatting>
  <conditionalFormatting sqref="AJ90:AJ96 AJ135:AJ146 AJ212:AJ228 AJ243:AJ256 AJ273:AJ279 AJ288:AJ302 AJ323:AJ329">
    <cfRule type="containsText" dxfId="152" priority="291" operator="containsText" text="Met">
      <formula>NOT(ISERROR(SEARCH("Met",AJ90)))</formula>
    </cfRule>
  </conditionalFormatting>
  <conditionalFormatting sqref="AJ90:AJ96 AJ288:AJ294">
    <cfRule type="containsText" dxfId="151" priority="288" operator="containsText" text="Not Met">
      <formula>NOT(ISERROR(SEARCH("Not Met",AJ90)))</formula>
    </cfRule>
    <cfRule type="containsText" dxfId="150" priority="289" operator="containsText" text="Met">
      <formula>NOT(ISERROR(SEARCH("Met",AJ90)))</formula>
    </cfRule>
  </conditionalFormatting>
  <conditionalFormatting sqref="AJ90:AJ96 AJ288:AJ302 AJ135:AJ146 AJ212:AJ228 AJ243:AJ256 AJ273:AJ279 AJ323:AJ329">
    <cfRule type="containsText" dxfId="149" priority="290" operator="containsText" text="Not Met">
      <formula>NOT(ISERROR(SEARCH("Not Met",AJ90)))</formula>
    </cfRule>
  </conditionalFormatting>
  <conditionalFormatting sqref="AJ97:AJ99 AJ101:AJ104">
    <cfRule type="containsText" dxfId="148" priority="96" operator="containsText" text="Not Met">
      <formula>NOT(ISERROR(SEARCH("Not Met",AJ97)))</formula>
    </cfRule>
    <cfRule type="containsText" dxfId="147" priority="97" operator="containsText" text="Met">
      <formula>NOT(ISERROR(SEARCH("Met",AJ97)))</formula>
    </cfRule>
  </conditionalFormatting>
  <conditionalFormatting sqref="AJ113">
    <cfRule type="containsText" dxfId="145" priority="67" operator="containsText" text="Not Met">
      <formula>NOT(ISERROR(SEARCH("Not Met",AJ113)))</formula>
    </cfRule>
    <cfRule type="containsText" dxfId="146" priority="68" operator="containsText" text="Met">
      <formula>NOT(ISERROR(SEARCH("Met",AJ113)))</formula>
    </cfRule>
  </conditionalFormatting>
  <conditionalFormatting sqref="AJ118:AJ123">
    <cfRule type="containsText" dxfId="144" priority="65" operator="containsText" text="Not Met">
      <formula>NOT(ISERROR(SEARCH("Not Met",AJ118)))</formula>
    </cfRule>
    <cfRule type="containsText" dxfId="143" priority="66" operator="containsText" text="Met">
      <formula>NOT(ISERROR(SEARCH("Met",AJ118)))</formula>
    </cfRule>
  </conditionalFormatting>
  <conditionalFormatting sqref="AJ124">
    <cfRule type="containsText" dxfId="142" priority="84" operator="containsText" text="Met">
      <formula>NOT(ISERROR(SEARCH("Met",AJ124)))</formula>
    </cfRule>
  </conditionalFormatting>
  <conditionalFormatting sqref="AJ124:AJ125">
    <cfRule type="containsText" dxfId="141" priority="82" operator="containsText" text="Not Met">
      <formula>NOT(ISERROR(SEARCH("Not Met",AJ124)))</formula>
    </cfRule>
  </conditionalFormatting>
  <conditionalFormatting sqref="AJ125:AJ126">
    <cfRule type="containsText" dxfId="140" priority="81" operator="containsText" text="Met">
      <formula>NOT(ISERROR(SEARCH("Met",AJ125)))</formula>
    </cfRule>
  </conditionalFormatting>
  <conditionalFormatting sqref="AJ126">
    <cfRule type="containsText" dxfId="139" priority="83" operator="containsText" text="Not Met">
      <formula>NOT(ISERROR(SEARCH("Not Met",AJ126)))</formula>
    </cfRule>
  </conditionalFormatting>
  <conditionalFormatting sqref="AJ128">
    <cfRule type="containsText" dxfId="137" priority="85" operator="containsText" text="Not Met">
      <formula>NOT(ISERROR(SEARCH("Not Met",AJ128)))</formula>
    </cfRule>
    <cfRule type="containsText" dxfId="138" priority="86" operator="containsText" text="Met">
      <formula>NOT(ISERROR(SEARCH("Met",AJ128)))</formula>
    </cfRule>
  </conditionalFormatting>
  <conditionalFormatting sqref="AJ129 AJ131:AJ134">
    <cfRule type="containsText" dxfId="135" priority="87" operator="containsText" text="Not Met">
      <formula>NOT(ISERROR(SEARCH("Not Met",AJ129)))</formula>
    </cfRule>
    <cfRule type="containsText" dxfId="136" priority="88" operator="containsText" text="Met">
      <formula>NOT(ISERROR(SEARCH("Met",AJ129)))</formula>
    </cfRule>
  </conditionalFormatting>
  <conditionalFormatting sqref="AJ135:AJ146">
    <cfRule type="containsText" dxfId="134" priority="279" operator="containsText" text="Not Met">
      <formula>NOT(ISERROR(SEARCH("Not Met",AJ135)))</formula>
    </cfRule>
    <cfRule type="containsText" dxfId="133" priority="280" operator="containsText" text="Met">
      <formula>NOT(ISERROR(SEARCH("Met",AJ135)))</formula>
    </cfRule>
  </conditionalFormatting>
  <conditionalFormatting sqref="AJ147:AJ148 AJ152">
    <cfRule type="containsText" dxfId="132" priority="292" operator="containsText" text="Not Met">
      <formula>NOT(ISERROR(SEARCH("Not Met",AJ147)))</formula>
    </cfRule>
  </conditionalFormatting>
  <conditionalFormatting sqref="AJ147:AJ148">
    <cfRule type="containsText" dxfId="131" priority="271" operator="containsText" text="Not Met">
      <formula>NOT(ISERROR(SEARCH("Not Met",AJ147)))</formula>
    </cfRule>
    <cfRule type="containsText" dxfId="130" priority="272" operator="containsText" text="Not Met">
      <formula>NOT(ISERROR(SEARCH("Not Met",AJ147)))</formula>
    </cfRule>
  </conditionalFormatting>
  <conditionalFormatting sqref="AJ149:AJ151 AJ153:AJ154 AJ346:AJ352">
    <cfRule type="containsText" dxfId="129" priority="277" operator="containsText" text="Not Met">
      <formula>NOT(ISERROR(SEARCH("Not Met",AJ149)))</formula>
    </cfRule>
  </conditionalFormatting>
  <conditionalFormatting sqref="AJ149:AJ154 AJ346:AJ352">
    <cfRule type="containsText" dxfId="128" priority="278" operator="containsText" text="Met">
      <formula>NOT(ISERROR(SEARCH("Met",AJ149)))</formula>
    </cfRule>
  </conditionalFormatting>
  <conditionalFormatting sqref="AJ150">
    <cfRule type="containsText" dxfId="127" priority="241" operator="containsText" text="Not Met">
      <formula>NOT(ISERROR(SEARCH("Not Met",AJ150)))</formula>
    </cfRule>
    <cfRule type="containsText" dxfId="126" priority="242" operator="containsText" text="Met">
      <formula>NOT(ISERROR(SEARCH("Met",AJ150)))</formula>
    </cfRule>
  </conditionalFormatting>
  <conditionalFormatting sqref="AJ151">
    <cfRule type="containsText" dxfId="124" priority="239" operator="containsText" text="Not Met">
      <formula>NOT(ISERROR(SEARCH("Not Met",AJ151)))</formula>
    </cfRule>
    <cfRule type="containsText" dxfId="125" priority="240" operator="containsText" text="Met">
      <formula>NOT(ISERROR(SEARCH("Met",AJ151)))</formula>
    </cfRule>
  </conditionalFormatting>
  <conditionalFormatting sqref="AJ152 AJ147:AJ148">
    <cfRule type="containsText" dxfId="123" priority="274" operator="containsText" text="Met">
      <formula>NOT(ISERROR(SEARCH("Met",AJ147)))</formula>
    </cfRule>
  </conditionalFormatting>
  <conditionalFormatting sqref="AJ152">
    <cfRule type="containsText" dxfId="120" priority="273" operator="containsText" text="Not Met">
      <formula>NOT(ISERROR(SEARCH("Not Met",AJ152)))</formula>
    </cfRule>
    <cfRule type="containsText" dxfId="121" priority="275" operator="containsText" text="Not Met">
      <formula>NOT(ISERROR(SEARCH("Not Met",AJ152)))</formula>
    </cfRule>
    <cfRule type="containsText" dxfId="122" priority="276" operator="containsText" text="Met">
      <formula>NOT(ISERROR(SEARCH("Met",AJ152)))</formula>
    </cfRule>
  </conditionalFormatting>
  <conditionalFormatting sqref="AJ155:AJ158">
    <cfRule type="containsText" dxfId="118" priority="247" operator="containsText" text="Not Met">
      <formula>NOT(ISERROR(SEARCH("Not Met",AJ155)))</formula>
    </cfRule>
    <cfRule type="containsText" dxfId="119" priority="248" operator="containsText" text="Met">
      <formula>NOT(ISERROR(SEARCH("Met",AJ155)))</formula>
    </cfRule>
  </conditionalFormatting>
  <conditionalFormatting sqref="AJ155:AJ162">
    <cfRule type="containsText" dxfId="116" priority="245" operator="containsText" text="Not Met">
      <formula>NOT(ISERROR(SEARCH("Not Met",AJ155)))</formula>
    </cfRule>
    <cfRule type="containsText" dxfId="117" priority="246" operator="containsText" text="Met">
      <formula>NOT(ISERROR(SEARCH("Met",AJ155)))</formula>
    </cfRule>
  </conditionalFormatting>
  <conditionalFormatting sqref="AJ173">
    <cfRule type="containsText" dxfId="114" priority="73" operator="containsText" text="Not Met">
      <formula>NOT(ISERROR(SEARCH("Not Met",AJ173)))</formula>
    </cfRule>
    <cfRule type="containsText" dxfId="115" priority="74" operator="containsText" text="Met">
      <formula>NOT(ISERROR(SEARCH("Met",AJ173)))</formula>
    </cfRule>
  </conditionalFormatting>
  <conditionalFormatting sqref="AJ176:AJ181">
    <cfRule type="containsText" dxfId="113" priority="75" operator="containsText" text="Not Met">
      <formula>NOT(ISERROR(SEARCH("Not Met",AJ176)))</formula>
    </cfRule>
    <cfRule type="containsText" dxfId="112" priority="76" operator="containsText" text="Met">
      <formula>NOT(ISERROR(SEARCH("Met",AJ176)))</formula>
    </cfRule>
  </conditionalFormatting>
  <conditionalFormatting sqref="AJ182:AJ183 AJ186:AJ191">
    <cfRule type="containsText" dxfId="101" priority="250" operator="containsText" text="Not Met">
      <formula>NOT(ISERROR(SEARCH("Not Met",AJ182)))</formula>
    </cfRule>
    <cfRule type="containsText" dxfId="102" priority="251" operator="containsText" text="Met">
      <formula>NOT(ISERROR(SEARCH("Met",AJ182)))</formula>
    </cfRule>
    <cfRule type="containsText" dxfId="109" priority="252" operator="containsText" text="Not Met">
      <formula>NOT(ISERROR(SEARCH("Not Met",AJ182)))</formula>
    </cfRule>
    <cfRule type="containsText" dxfId="110" priority="253" operator="containsText" text="Met">
      <formula>NOT(ISERROR(SEARCH("Met",AJ182)))</formula>
    </cfRule>
    <cfRule type="containsText" dxfId="100" priority="254" operator="containsText" text="Not Met">
      <formula>NOT(ISERROR(SEARCH("Not Met",AJ182)))</formula>
    </cfRule>
    <cfRule type="containsText" dxfId="104" priority="255" operator="containsText" text="Met">
      <formula>NOT(ISERROR(SEARCH("Met",AJ182)))</formula>
    </cfRule>
    <cfRule type="containsText" dxfId="97" priority="256" operator="containsText" text="Not Met">
      <formula>NOT(ISERROR(SEARCH("Not Met",AJ182)))</formula>
    </cfRule>
    <cfRule type="containsText" dxfId="96" priority="257" operator="containsText" text="Met">
      <formula>NOT(ISERROR(SEARCH("Met",AJ182)))</formula>
    </cfRule>
    <cfRule type="containsText" dxfId="111" priority="258" operator="containsText" text="Not Met">
      <formula>NOT(ISERROR(SEARCH("Not Met",AJ182)))</formula>
    </cfRule>
    <cfRule type="containsText" dxfId="103" priority="259" operator="containsText" text="Met">
      <formula>NOT(ISERROR(SEARCH("Met",AJ182)))</formula>
    </cfRule>
    <cfRule type="containsText" dxfId="99" priority="260" operator="containsText" text="Not Met">
      <formula>NOT(ISERROR(SEARCH("Not Met",AJ182)))</formula>
    </cfRule>
    <cfRule type="containsText" dxfId="98" priority="261" operator="containsText" text="Met">
      <formula>NOT(ISERROR(SEARCH("Met",AJ182)))</formula>
    </cfRule>
    <cfRule type="containsText" dxfId="108" priority="262" operator="containsText" text="Not Met">
      <formula>NOT(ISERROR(SEARCH("Not Met",AJ182)))</formula>
    </cfRule>
    <cfRule type="containsText" dxfId="107" priority="263" operator="containsText" text="Met">
      <formula>NOT(ISERROR(SEARCH("Met",AJ182)))</formula>
    </cfRule>
    <cfRule type="containsText" dxfId="106" priority="264" operator="containsText" text="Not Met">
      <formula>NOT(ISERROR(SEARCH("Not Met",AJ182)))</formula>
    </cfRule>
    <cfRule type="containsText" dxfId="105" priority="265" operator="containsText" text="Met">
      <formula>NOT(ISERROR(SEARCH("Met",AJ182)))</formula>
    </cfRule>
  </conditionalFormatting>
  <conditionalFormatting sqref="AJ184:AJ185">
    <cfRule type="containsText" dxfId="94" priority="243" operator="containsText" text="Met">
      <formula>NOT(ISERROR(SEARCH("Met",AJ184)))</formula>
    </cfRule>
    <cfRule type="containsText" dxfId="95" priority="244" operator="containsText" text="Not Met">
      <formula>NOT(ISERROR(SEARCH("Not Met",AJ184)))</formula>
    </cfRule>
  </conditionalFormatting>
  <conditionalFormatting sqref="AJ192:AJ211">
    <cfRule type="containsText" dxfId="92" priority="266" operator="containsText" text="Not Met">
      <formula>NOT(ISERROR(SEARCH("Not Met",AJ192)))</formula>
    </cfRule>
    <cfRule type="containsText" dxfId="91" priority="267" operator="containsText" text="Met">
      <formula>NOT(ISERROR(SEARCH("Met",AJ192)))</formula>
    </cfRule>
    <cfRule type="containsText" dxfId="90" priority="268" operator="containsText" text="Not Met">
      <formula>NOT(ISERROR(SEARCH("Not Met",AJ192)))</formula>
    </cfRule>
    <cfRule type="containsText" dxfId="93" priority="269" operator="containsText" text="Met">
      <formula>NOT(ISERROR(SEARCH("Met",AJ192)))</formula>
    </cfRule>
  </conditionalFormatting>
  <conditionalFormatting sqref="AJ212:AJ235">
    <cfRule type="containsText" dxfId="88" priority="283" operator="containsText" text="Not Met">
      <formula>NOT(ISERROR(SEARCH("Not Met",AJ212)))</formula>
    </cfRule>
    <cfRule type="containsText" dxfId="89" priority="284" operator="containsText" text="Met">
      <formula>NOT(ISERROR(SEARCH("Met",AJ212)))</formula>
    </cfRule>
  </conditionalFormatting>
  <conditionalFormatting sqref="AJ236:AJ242">
    <cfRule type="containsText" dxfId="86" priority="227" operator="containsText" text="Not Met">
      <formula>NOT(ISERROR(SEARCH("Not Met",AJ236)))</formula>
    </cfRule>
    <cfRule type="containsText" dxfId="87" priority="228" operator="containsText" text="Met">
      <formula>NOT(ISERROR(SEARCH("Met",AJ236)))</formula>
    </cfRule>
  </conditionalFormatting>
  <conditionalFormatting sqref="AJ243:AJ256 AJ266:AJ279">
    <cfRule type="containsText" dxfId="85" priority="285" operator="containsText" text="Not Met">
      <formula>NOT(ISERROR(SEARCH("Not Met",AJ243)))</formula>
    </cfRule>
  </conditionalFormatting>
  <conditionalFormatting sqref="AJ243:AJ256">
    <cfRule type="containsText" dxfId="84" priority="287" operator="containsText" text="Met">
      <formula>NOT(ISERROR(SEARCH("Met",AJ243)))</formula>
    </cfRule>
  </conditionalFormatting>
  <conditionalFormatting sqref="AJ257:AJ265">
    <cfRule type="containsText" dxfId="79" priority="229" operator="containsText" text="Not Met">
      <formula>NOT(ISERROR(SEARCH("Not Met",AJ257)))</formula>
    </cfRule>
    <cfRule type="containsText" dxfId="78" priority="230" operator="containsText" text="Met">
      <formula>NOT(ISERROR(SEARCH("Met",AJ257)))</formula>
    </cfRule>
    <cfRule type="containsText" dxfId="83" priority="231" operator="containsText" text="Not Met">
      <formula>NOT(ISERROR(SEARCH("Not Met",AJ257)))</formula>
    </cfRule>
    <cfRule type="containsText" dxfId="82" priority="232" operator="containsText" text="Met">
      <formula>NOT(ISERROR(SEARCH("Met",AJ257)))</formula>
    </cfRule>
    <cfRule type="containsText" dxfId="81" priority="233" operator="containsText" text="Not Met">
      <formula>NOT(ISERROR(SEARCH("Not Met",AJ257)))</formula>
    </cfRule>
    <cfRule type="containsText" dxfId="80" priority="234" operator="containsText" text="Met">
      <formula>NOT(ISERROR(SEARCH("Met",AJ257)))</formula>
    </cfRule>
  </conditionalFormatting>
  <conditionalFormatting sqref="AJ266:AJ279">
    <cfRule type="containsText" dxfId="77" priority="286" operator="containsText" text="Met">
      <formula>NOT(ISERROR(SEARCH("Met",AJ266)))</formula>
    </cfRule>
  </conditionalFormatting>
  <conditionalFormatting sqref="AJ280:AJ281 AJ283:AJ286">
    <cfRule type="containsText" dxfId="75" priority="193" operator="containsText" text="Not Met">
      <formula>NOT(ISERROR(SEARCH("Not Met",AJ280)))</formula>
    </cfRule>
    <cfRule type="containsText" dxfId="76" priority="194" operator="containsText" text="Met">
      <formula>NOT(ISERROR(SEARCH("Met",AJ280)))</formula>
    </cfRule>
  </conditionalFormatting>
  <conditionalFormatting sqref="AJ282">
    <cfRule type="containsText" dxfId="74" priority="191" operator="containsText" text="Not Met">
      <formula>NOT(ISERROR(SEARCH("Not Met",AJ282)))</formula>
    </cfRule>
    <cfRule type="containsText" dxfId="73" priority="192" operator="containsText" text="Met">
      <formula>NOT(ISERROR(SEARCH("Met",AJ282)))</formula>
    </cfRule>
  </conditionalFormatting>
  <conditionalFormatting sqref="AJ304">
    <cfRule type="containsText" dxfId="71" priority="143" operator="containsText" text="Not Met">
      <formula>NOT(ISERROR(SEARCH("Not Met",AJ304)))</formula>
    </cfRule>
    <cfRule type="containsText" dxfId="72" priority="144" operator="containsText" text="Met">
      <formula>NOT(ISERROR(SEARCH("Met",AJ304)))</formula>
    </cfRule>
  </conditionalFormatting>
  <conditionalFormatting sqref="AJ310">
    <cfRule type="containsText" dxfId="69" priority="139" operator="containsText" text="Not Met">
      <formula>NOT(ISERROR(SEARCH("Not Met",AJ310)))</formula>
    </cfRule>
    <cfRule type="containsText" dxfId="70" priority="140" operator="containsText" text="Met">
      <formula>NOT(ISERROR(SEARCH("Met",AJ310)))</formula>
    </cfRule>
  </conditionalFormatting>
  <conditionalFormatting sqref="AJ311:AJ312 AJ314">
    <cfRule type="containsText" dxfId="67" priority="149" operator="containsText" text="Not Met">
      <formula>NOT(ISERROR(SEARCH("Not Met",AJ311)))</formula>
    </cfRule>
    <cfRule type="containsText" dxfId="68" priority="150" operator="containsText" text="Met">
      <formula>NOT(ISERROR(SEARCH("Met",AJ311)))</formula>
    </cfRule>
  </conditionalFormatting>
  <conditionalFormatting sqref="AJ311:AJ312">
    <cfRule type="containsText" dxfId="65" priority="147" operator="containsText" text="Not Met">
      <formula>NOT(ISERROR(SEARCH("Not Met",AJ311)))</formula>
    </cfRule>
    <cfRule type="containsText" dxfId="66" priority="148" operator="containsText" text="Met">
      <formula>NOT(ISERROR(SEARCH("Met",AJ311)))</formula>
    </cfRule>
  </conditionalFormatting>
  <conditionalFormatting sqref="AJ313">
    <cfRule type="containsText" dxfId="63" priority="141" operator="containsText" text="Not Met">
      <formula>NOT(ISERROR(SEARCH("Not Met",AJ313)))</formula>
    </cfRule>
    <cfRule type="containsText" dxfId="64" priority="142" operator="containsText" text="Met">
      <formula>NOT(ISERROR(SEARCH("Met",AJ313)))</formula>
    </cfRule>
  </conditionalFormatting>
  <conditionalFormatting sqref="AJ314">
    <cfRule type="containsText" dxfId="61" priority="145" operator="containsText" text="Not Met">
      <formula>NOT(ISERROR(SEARCH("Not Met",AJ314)))</formula>
    </cfRule>
    <cfRule type="containsText" dxfId="62" priority="146" operator="containsText" text="Met">
      <formula>NOT(ISERROR(SEARCH("Met",AJ314)))</formula>
    </cfRule>
  </conditionalFormatting>
  <conditionalFormatting sqref="AJ323:AJ329">
    <cfRule type="containsText" dxfId="59" priority="281" operator="containsText" text="Not Met">
      <formula>NOT(ISERROR(SEARCH("Not Met",AJ323)))</formula>
    </cfRule>
    <cfRule type="containsText" dxfId="60" priority="282" operator="containsText" text="Met">
      <formula>NOT(ISERROR(SEARCH("Met",AJ323)))</formula>
    </cfRule>
  </conditionalFormatting>
  <conditionalFormatting sqref="AJ330:AJ337 AJ436:AJ443">
    <cfRule type="containsText" dxfId="58" priority="226" operator="containsText" text="Met">
      <formula>NOT(ISERROR(SEARCH("Met",AJ330)))</formula>
    </cfRule>
  </conditionalFormatting>
  <conditionalFormatting sqref="AJ332 AJ336">
    <cfRule type="containsText" dxfId="57" priority="249" operator="containsText" text="Not Met">
      <formula>NOT(ISERROR(SEARCH("Not Met",AJ332)))</formula>
    </cfRule>
  </conditionalFormatting>
  <conditionalFormatting sqref="AJ338:AJ339">
    <cfRule type="containsText" dxfId="55" priority="180" operator="containsText" text="Not Met">
      <formula>NOT(ISERROR(SEARCH("Not Met",AJ338)))</formula>
    </cfRule>
    <cfRule type="containsText" dxfId="56" priority="181" operator="containsText" text="Met">
      <formula>NOT(ISERROR(SEARCH("Met",AJ338)))</formula>
    </cfRule>
  </conditionalFormatting>
  <conditionalFormatting sqref="AJ340">
    <cfRule type="containsText" dxfId="54" priority="174" operator="containsText" text="Not Met">
      <formula>NOT(ISERROR(SEARCH("Not Met",AJ340)))</formula>
    </cfRule>
    <cfRule type="containsText" dxfId="53" priority="175" operator="containsText" text="Met">
      <formula>NOT(ISERROR(SEARCH("Met",AJ340)))</formula>
    </cfRule>
  </conditionalFormatting>
  <conditionalFormatting sqref="AJ341 AJ343:AJ344">
    <cfRule type="containsText" dxfId="51" priority="184" operator="containsText" text="Not Met">
      <formula>NOT(ISERROR(SEARCH("Not Met",AJ341)))</formula>
    </cfRule>
    <cfRule type="containsText" dxfId="52" priority="185" operator="containsText" text="Met">
      <formula>NOT(ISERROR(SEARCH("Met",AJ341)))</formula>
    </cfRule>
  </conditionalFormatting>
  <conditionalFormatting sqref="AJ344">
    <cfRule type="containsText" dxfId="45" priority="182" operator="containsText" text="Not Met">
      <formula>NOT(ISERROR(SEARCH("Not Met",AJ344)))</formula>
    </cfRule>
    <cfRule type="containsText" dxfId="49" priority="183" operator="containsText" text="Met">
      <formula>NOT(ISERROR(SEARCH("Met",AJ344)))</formula>
    </cfRule>
    <cfRule type="containsText" dxfId="47" priority="186" operator="containsText" text="Not Met">
      <formula>NOT(ISERROR(SEARCH("Not Met",AJ344)))</formula>
    </cfRule>
    <cfRule type="containsText" dxfId="46" priority="187" operator="containsText" text="Met">
      <formula>NOT(ISERROR(SEARCH("Met",AJ344)))</formula>
    </cfRule>
    <cfRule type="containsText" dxfId="48" priority="188" operator="containsText" text="Not Met">
      <formula>NOT(ISERROR(SEARCH("Not Met",AJ344)))</formula>
    </cfRule>
    <cfRule type="containsText" dxfId="50" priority="189" operator="containsText" text="Met">
      <formula>NOT(ISERROR(SEARCH("Met",AJ344)))</formula>
    </cfRule>
  </conditionalFormatting>
  <conditionalFormatting sqref="AJ345">
    <cfRule type="containsText" dxfId="44" priority="176" operator="containsText" text="Not Met">
      <formula>NOT(ISERROR(SEARCH("Not Met",AJ345)))</formula>
    </cfRule>
    <cfRule type="containsText" dxfId="43" priority="177" operator="containsText" text="Met">
      <formula>NOT(ISERROR(SEARCH("Met",AJ345)))</formula>
    </cfRule>
    <cfRule type="containsText" dxfId="42" priority="178" operator="containsText" text="Not Met">
      <formula>NOT(ISERROR(SEARCH("Not Met",AJ345)))</formula>
    </cfRule>
    <cfRule type="containsText" dxfId="41" priority="179" operator="containsText" text="Met">
      <formula>NOT(ISERROR(SEARCH("Met",AJ345)))</formula>
    </cfRule>
  </conditionalFormatting>
  <conditionalFormatting sqref="AJ353:AJ363">
    <cfRule type="containsText" dxfId="39" priority="53" operator="containsText" text="Not Met">
      <formula>NOT(ISERROR(SEARCH("Not Met",AJ353)))</formula>
    </cfRule>
    <cfRule type="containsText" dxfId="40" priority="54" operator="containsText" text="Met">
      <formula>NOT(ISERROR(SEARCH("Met",AJ353)))</formula>
    </cfRule>
  </conditionalFormatting>
  <conditionalFormatting sqref="AJ364:AJ377">
    <cfRule type="containsText" dxfId="37" priority="235" operator="containsText" text="Not Met">
      <formula>NOT(ISERROR(SEARCH("Not Met",AJ364)))</formula>
    </cfRule>
    <cfRule type="containsText" dxfId="38" priority="236" operator="containsText" text="Met">
      <formula>NOT(ISERROR(SEARCH("Met",AJ364)))</formula>
    </cfRule>
  </conditionalFormatting>
  <conditionalFormatting sqref="AJ382 AJ389 AJ396 AJ403">
    <cfRule type="containsText" dxfId="36" priority="237" operator="containsText" text="Not Met">
      <formula>NOT(ISERROR(SEARCH("Not Met",AJ382)))</formula>
    </cfRule>
    <cfRule type="containsText" dxfId="35" priority="238" operator="containsText" text="Met">
      <formula>NOT(ISERROR(SEARCH("Met",AJ382)))</formula>
    </cfRule>
  </conditionalFormatting>
  <conditionalFormatting sqref="AJ416">
    <cfRule type="containsText" dxfId="33" priority="117" operator="containsText" text="Not Met">
      <formula>NOT(ISERROR(SEARCH("Not Met",AJ416)))</formula>
    </cfRule>
    <cfRule type="containsText" dxfId="34" priority="118" operator="containsText" text="Met">
      <formula>NOT(ISERROR(SEARCH("Met",AJ416)))</formula>
    </cfRule>
  </conditionalFormatting>
  <conditionalFormatting sqref="AJ436:AJ441 AJ337 AJ333:AJ335 AJ330:AJ331">
    <cfRule type="containsText" dxfId="32" priority="225" operator="containsText" text="Not Met">
      <formula>NOT(ISERROR(SEARCH("Not Met",AJ330)))</formula>
    </cfRule>
  </conditionalFormatting>
  <conditionalFormatting sqref="AJ442:AJ443">
    <cfRule type="containsText" dxfId="31" priority="270" operator="containsText" text="Not Met">
      <formula>NOT(ISERROR(SEARCH("Not Met",AJ442)))</formula>
    </cfRule>
  </conditionalFormatting>
  <conditionalFormatting sqref="AJ444:AJ452">
    <cfRule type="containsText" dxfId="29" priority="296" operator="containsText" text="Not Met">
      <formula>NOT(ISERROR(SEARCH("Not Met",AJ444)))</formula>
    </cfRule>
    <cfRule type="containsText" dxfId="30" priority="297" operator="containsText" text="Met">
      <formula>NOT(ISERROR(SEARCH("Met",AJ444)))</formula>
    </cfRule>
  </conditionalFormatting>
  <conditionalFormatting sqref="AJ453">
    <cfRule type="containsText" dxfId="26" priority="293" operator="containsText" text="Not Met">
      <formula>NOT(ISERROR(SEARCH("Not Met",AJ453)))</formula>
    </cfRule>
    <cfRule type="containsText" dxfId="28" priority="294" operator="containsText" text="Not Met">
      <formula>NOT(ISERROR(SEARCH("Not Met",AJ453)))</formula>
    </cfRule>
    <cfRule type="containsText" dxfId="27" priority="295" operator="containsText" text="Met">
      <formula>NOT(ISERROR(SEARCH("Met",AJ453)))</formula>
    </cfRule>
  </conditionalFormatting>
  <conditionalFormatting sqref="AJ454:AJ457">
    <cfRule type="containsText" dxfId="24" priority="298" operator="containsText" text="Not Met">
      <formula>NOT(ISERROR(SEARCH("Not Met",AJ454)))</formula>
    </cfRule>
    <cfRule type="containsText" dxfId="25" priority="299" operator="containsText" text="Met">
      <formula>NOT(ISERROR(SEARCH("Met",AJ454)))</formula>
    </cfRule>
  </conditionalFormatting>
  <conditionalFormatting sqref="AJ458:AJ466">
    <cfRule type="containsText" dxfId="22" priority="133" operator="containsText" text="Not Met">
      <formula>NOT(ISERROR(SEARCH("Not Met",AJ458)))</formula>
    </cfRule>
    <cfRule type="containsText" dxfId="23" priority="134" operator="containsText" text="Met">
      <formula>NOT(ISERROR(SEARCH("Met",AJ458)))</formula>
    </cfRule>
  </conditionalFormatting>
  <conditionalFormatting sqref="AJ472:AJ480">
    <cfRule type="containsText" dxfId="21" priority="121" operator="containsText" text="Not Met">
      <formula>NOT(ISERROR(SEARCH("Not Met",AJ472)))</formula>
    </cfRule>
    <cfRule type="containsText" dxfId="20" priority="122" operator="containsText" text="Met">
      <formula>NOT(ISERROR(SEARCH("Met",AJ472)))</formula>
    </cfRule>
  </conditionalFormatting>
  <conditionalFormatting sqref="AJ481">
    <cfRule type="containsText" dxfId="19" priority="125" operator="containsText" text="Not Met">
      <formula>NOT(ISERROR(SEARCH("Not Met",AJ481)))</formula>
    </cfRule>
    <cfRule type="containsText" dxfId="18" priority="126" operator="containsText" text="Met">
      <formula>NOT(ISERROR(SEARCH("Met",AJ481)))</formula>
    </cfRule>
  </conditionalFormatting>
  <conditionalFormatting sqref="AJ484:AJ485">
    <cfRule type="containsText" dxfId="16" priority="123" operator="containsText" text="Not Met">
      <formula>NOT(ISERROR(SEARCH("Not Met",AJ484)))</formula>
    </cfRule>
    <cfRule type="containsText" dxfId="17" priority="124" operator="containsText" text="Met">
      <formula>NOT(ISERROR(SEARCH("Met",AJ484)))</formula>
    </cfRule>
  </conditionalFormatting>
  <conditionalFormatting sqref="AI483:AI488 AI422:AI423 AI413:AI420 AI410 AI406 AI404 AI396:AI402 AI388:AI393 AI382:AI386 AI373:AI379 AI354:AI356 AI351:AI352 AI348:AI349 AI346 AI343:AI344 AI335:AI340 AI332:AI333 AI324:AI329 AI309 AI306 AI299:AI300 AI257 AI240:AI244 AI232 AI230 AI195:AI197 AI192 AI186:AI189 AI183:AI184 AI178:AI181 AI136:AI139 AI130:AI131 AI122:AI125 AI120 AI117:AI118 AI94 AI90:AI92 AI87:AI88 AI85 AI79 AI77 AI75 AI72 AI68 AI64 AI60 AI57 AI54:AI55 AI51:AI52 AI47 AI41 AI39 AI37 AI33 AI9 AI7 AI4 AI2">
    <cfRule type="containsText" dxfId="15" priority="15" operator="containsText" text="Not Met">
      <formula>NOT(ISERROR(SEARCH("Not Met",AI2)))</formula>
    </cfRule>
    <cfRule type="containsText" dxfId="14" priority="16" operator="containsText" text="Met">
      <formula>NOT(ISERROR(SEARCH("Met",AI2)))</formula>
    </cfRule>
  </conditionalFormatting>
  <conditionalFormatting sqref="AI489 AI421 AI411 AI407:AI409 AI405 AI403 AI394:AI395 AI387 AI380:AI381 AI371:AI372 AI353 AI350 AI347 AI345 AI341:AI342 AI334 AI330:AI331 AI301:AI303 AI256 AI245:AI246 AI233 AI231 AI227:AI229 AI193:AI194 AI190 AI185 AI182 AI176:AI177 AI132:AI135 AI119 AI89 AI86 AI81:AI84 AI76 AI69 AI66:AI67 AI61:AI62 AI59 AI53 AI48 AI44 AI40 AI34:AI35 AI8 AI5:AI6 AI3">
    <cfRule type="containsText" dxfId="13" priority="12" operator="containsText" text="Met">
      <formula>NOT(ISERROR(SEARCH("Met",AI3)))</formula>
    </cfRule>
  </conditionalFormatting>
  <conditionalFormatting sqref="AI489 AI421 AI411 AI407:AI409 AI405 AI403 AI394:AI395 AI387 AI380:AI381 AI371:AI372 AI353 AI350 AI347 AI345 AI341:AI342 AI334 AI330:AI331 AI301:AI303 AI256 AI245:AI246 AI233 AI231 AI227:AI229 AI193:AI194 AI190 AI185 AI182 AI176:AI177 AI132:AI135 AI119 AI89 AI86 AI81:AI84 AI76 AI69 AI66:AI67 AI61:AI62 AI59 AI53 AI48 AI44 AI40 AI34:AI35 AI8 AI5:AI6 AI3">
    <cfRule type="containsText" dxfId="12" priority="11" operator="containsText" text="Not Met">
      <formula>NOT(ISERROR(SEARCH("Not Met",AI3)))</formula>
    </cfRule>
  </conditionalFormatting>
  <conditionalFormatting sqref="AI489 AI421 AI411 AI407:AI409 AI405 AI403 AI394:AI395 AI387 AI380:AI381 AI371:AI372 AI353 AI350 AI347 AI345 AI341:AI342 AI334 AI330:AI331 AI301:AI303 AI256 AI245:AI246 AI233 AI231 AI227:AI229 AI193:AI194 AI190 AI185 AI182 AI176:AI177 AI132:AI135 AI119 AI89 AI86 AI81:AI84 AI76 AI69 AI66:AI67 AI61:AI62 AI59 AI53 AI48 AI44 AI40 AI34:AI35 AI8 AI5:AI6 AI3">
    <cfRule type="containsText" dxfId="11" priority="9" operator="containsText" text="Not Met">
      <formula>NOT(ISERROR(SEARCH("Not Met",AI3)))</formula>
    </cfRule>
    <cfRule type="containsText" dxfId="10" priority="10" operator="containsText" text="Met">
      <formula>NOT(ISERROR(SEARCH("Met",AI3)))</formula>
    </cfRule>
  </conditionalFormatting>
  <conditionalFormatting sqref="AI489 AI421 AI411 AI407:AI409 AI405 AI403 AI394:AI395 AI387 AI380:AI381 AI371:AI372 AI353 AI350 AI347 AI345 AI341:AI342 AI334 AI330:AI331 AI301:AI303 AI256 AI245:AI246 AI233 AI231 AI227:AI229 AI193:AI194 AI190 AI185 AI182 AI176:AI177 AI132:AI135 AI119 AI89 AI86 AI81:AI84 AI76 AI69 AI66:AI67 AI61:AI62 AI59 AI53 AI48 AI44 AI40 AI34:AI35 AI8 AI5:AI6 AI3">
    <cfRule type="containsText" dxfId="9" priority="13" operator="containsText" text="Not Met">
      <formula>NOT(ISERROR(SEARCH("Not Met",AI3)))</formula>
    </cfRule>
    <cfRule type="containsText" dxfId="8" priority="14" operator="containsText" text="Met">
      <formula>NOT(ISERROR(SEARCH("Met",AI3)))</formula>
    </cfRule>
  </conditionalFormatting>
  <conditionalFormatting sqref="AK483:AK489 AK422 AK420 AK413:AK418 AK410 AK404:AK406 AK396:AK402 AK393 AK391 AK387:AK389 AK382:AK385 AK373:AK380 AK368:AK371 AK365:AK366 AK363 AK359:AK361 AK354:AK357 AK346:AK352 AK343:AK344 AK341 AK335:AK339 AK332:AK333 AK327:AK329 AK324:AK325 AK309 AK305:AK306 AK302:AK303 AK299:AK300 AK257 AK247 AK240:AK245 AK232 AK230 AK206:AK207 AK202 AK191 AK183:AK188 AK178:AK181 AK174:AK175 AK172 AK168:AK170 AK136:AK139 AK130:AK131 AK122:AK125 AK120 AK117:AK118 AK106:AK108 AK103:AK104 AK94 AK90:AK92 AK87:AK88 AK84:AK85 AK77:AK79 AK71:AK72 AK58:AK60 AK54:AK56 AK51:AK52 AK47 AK45 AK43 AK36:AK39 AK33 AK19:AK20 AK9 AK7 AK4:AK5 AK2">
    <cfRule type="containsText" dxfId="7" priority="7" operator="containsText" text="Not Met">
      <formula>NOT(ISERROR(SEARCH("Not Met",AK2)))</formula>
    </cfRule>
    <cfRule type="containsText" dxfId="6" priority="8" operator="containsText" text="Met">
      <formula>NOT(ISERROR(SEARCH("Met",AK2)))</formula>
    </cfRule>
  </conditionalFormatting>
  <conditionalFormatting sqref="AK423 AK421 AK419 AK411 AK407:AK409 AK403 AK394:AK395 AK392 AK390 AK386 AK381 AK372 AK367 AK364 AK362 AK358 AK353 AK345 AK342 AK340 AK334 AK330:AK331 AK326 AK304 AK301 AK256 AK246 AK233 AK231 AK227:AK229 AK210:AK211 AK208 AK205 AK203 AK198:AK201 AK189:AK190 AK182 AK176:AK177 AK173 AK171 AK132:AK135 AK119 AK109 AK105 AK89 AK86 AK80:AK83 AK73:AK76 AK61:AK70 AK57 AK53 AK48 AK46 AK44 AK40:AK42 AK34:AK35 AK21:AK23 AK17:AK18 AK8 AK6 AK3">
    <cfRule type="containsText" dxfId="5" priority="4" operator="containsText" text="Met">
      <formula>NOT(ISERROR(SEARCH("Met",AK3)))</formula>
    </cfRule>
  </conditionalFormatting>
  <conditionalFormatting sqref="AK423 AK421 AK419 AK411 AK407:AK409 AK403 AK394:AK395 AK392 AK390 AK386 AK381 AK372 AK367 AK364 AK362 AK358 AK353 AK345 AK342 AK340 AK334 AK330:AK331 AK326 AK304 AK301 AK256 AK246 AK233 AK231 AK227:AK229 AK210:AK211 AK208 AK205 AK203 AK198:AK201 AK189:AK190 AK182 AK176:AK177 AK173 AK171 AK132:AK135 AK119 AK109 AK105 AK89 AK86 AK80:AK83 AK73:AK76 AK61:AK70 AK57 AK53 AK48 AK46 AK44 AK40:AK42 AK34:AK35 AK21:AK23 AK17:AK18 AK8 AK6 AK3">
    <cfRule type="containsText" dxfId="4" priority="3" operator="containsText" text="Not Met">
      <formula>NOT(ISERROR(SEARCH("Not Met",AK3)))</formula>
    </cfRule>
  </conditionalFormatting>
  <conditionalFormatting sqref="AK423 AK421 AK419 AK411 AK407:AK409 AK403 AK394:AK395 AK392 AK390 AK386 AK381 AK372 AK367 AK364 AK362 AK358 AK353 AK345 AK342 AK340 AK334 AK330:AK331 AK326 AK304 AK301 AK256 AK246 AK233 AK231 AK227:AK229 AK210:AK211 AK208 AK205 AK203 AK198:AK201 AK189:AK190 AK182 AK176:AK177 AK173 AK171 AK132:AK135 AK119 AK109 AK105 AK89 AK86 AK80:AK83 AK73:AK76 AK61:AK70 AK57 AK53 AK48 AK46 AK44 AK40:AK42 AK34:AK35 AK21:AK23 AK17:AK18 AK8 AK6 AK3">
    <cfRule type="containsText" dxfId="3" priority="1" operator="containsText" text="Not Met">
      <formula>NOT(ISERROR(SEARCH("Not Met",AK3)))</formula>
    </cfRule>
    <cfRule type="containsText" dxfId="2" priority="2" operator="containsText" text="Met">
      <formula>NOT(ISERROR(SEARCH("Met",AK3)))</formula>
    </cfRule>
  </conditionalFormatting>
  <conditionalFormatting sqref="AK423 AK421 AK419 AK411 AK407:AK409 AK403 AK394:AK395 AK392 AK390 AK386 AK381 AK372 AK367 AK364 AK362 AK358 AK353 AK345 AK342 AK340 AK334 AK330:AK331 AK326 AK304 AK301 AK256 AK246 AK233 AK231 AK227:AK229 AK210:AK211 AK208 AK205 AK203 AK198:AK201 AK189:AK190 AK182 AK176:AK177 AK173 AK171 AK132:AK135 AK119 AK109 AK105 AK89 AK86 AK80:AK83 AK73:AK76 AK61:AK70 AK57 AK53 AK48 AK46 AK44 AK40:AK42 AK34:AK35 AK21:AK23 AK17:AK18 AK8 AK6 AK3">
    <cfRule type="containsText" dxfId="1" priority="5" operator="containsText" text="Not Met">
      <formula>NOT(ISERROR(SEARCH("Not Met",AK3)))</formula>
    </cfRule>
    <cfRule type="containsText" dxfId="0" priority="6" operator="containsText" text="Met">
      <formula>NOT(ISERROR(SEARCH("Met",AK3)))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C31" workbookViewId="0">
      <selection activeCell="E2" sqref="E2:E50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112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</row>
    <row r="2" spans="1:16" x14ac:dyDescent="0.25">
      <c r="A2" s="4" t="s">
        <v>22</v>
      </c>
      <c r="B2" s="4" t="s">
        <v>23</v>
      </c>
      <c r="C2" s="4" t="s">
        <v>24</v>
      </c>
      <c r="D2" s="263" t="s">
        <v>568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263" t="s">
        <v>568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111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111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263" t="s">
        <v>568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119</v>
      </c>
      <c r="B8" s="4" t="s">
        <v>31</v>
      </c>
      <c r="C8" s="4" t="s">
        <v>39</v>
      </c>
      <c r="D8" s="5" t="s">
        <v>111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90" t="s">
        <v>501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44</v>
      </c>
      <c r="B11" s="4" t="s">
        <v>31</v>
      </c>
      <c r="C11" s="4" t="s">
        <v>45</v>
      </c>
      <c r="D11" s="5" t="s">
        <v>111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47</v>
      </c>
      <c r="B12" s="4" t="s">
        <v>31</v>
      </c>
      <c r="C12" s="4" t="s">
        <v>35</v>
      </c>
      <c r="D12" s="5" t="s">
        <v>111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48</v>
      </c>
      <c r="B13" s="4" t="s">
        <v>27</v>
      </c>
      <c r="C13" s="90" t="s">
        <v>568</v>
      </c>
      <c r="D13" s="263" t="s">
        <v>568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49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51</v>
      </c>
      <c r="B15" s="4" t="s">
        <v>27</v>
      </c>
      <c r="C15" s="90" t="s">
        <v>568</v>
      </c>
      <c r="D15" s="263" t="s">
        <v>568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52</v>
      </c>
      <c r="B16" s="4" t="s">
        <v>27</v>
      </c>
      <c r="C16" s="90" t="s">
        <v>568</v>
      </c>
      <c r="D16" s="263" t="s">
        <v>568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53</v>
      </c>
      <c r="B17" s="4" t="s">
        <v>27</v>
      </c>
      <c r="C17" s="90" t="s">
        <v>568</v>
      </c>
      <c r="D17" s="263" t="s">
        <v>568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54</v>
      </c>
      <c r="B18" s="4" t="s">
        <v>31</v>
      </c>
      <c r="C18" s="4" t="s">
        <v>55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56</v>
      </c>
      <c r="B19" s="4" t="s">
        <v>31</v>
      </c>
      <c r="C19" s="4" t="s">
        <v>35</v>
      </c>
      <c r="D19" s="5" t="s">
        <v>111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57</v>
      </c>
      <c r="B20" s="4" t="s">
        <v>31</v>
      </c>
      <c r="C20" s="4" t="s">
        <v>39</v>
      </c>
      <c r="D20" s="5" t="s">
        <v>111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58</v>
      </c>
      <c r="B21" s="4" t="s">
        <v>27</v>
      </c>
      <c r="C21" s="90" t="s">
        <v>568</v>
      </c>
      <c r="D21" s="263" t="s">
        <v>568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59</v>
      </c>
      <c r="B22" s="4" t="s">
        <v>31</v>
      </c>
      <c r="C22" s="4" t="s">
        <v>45</v>
      </c>
      <c r="D22" s="5" t="s">
        <v>111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60</v>
      </c>
      <c r="B23" s="4" t="s">
        <v>27</v>
      </c>
      <c r="C23" s="90" t="s">
        <v>568</v>
      </c>
      <c r="D23" s="263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61</v>
      </c>
      <c r="B24" s="4" t="s">
        <v>27</v>
      </c>
      <c r="C24" s="4" t="s">
        <v>62</v>
      </c>
      <c r="D24" s="263" t="s">
        <v>568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63</v>
      </c>
      <c r="B25" s="4" t="s">
        <v>31</v>
      </c>
      <c r="C25" s="4" t="s">
        <v>45</v>
      </c>
      <c r="D25" s="5" t="s">
        <v>111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64</v>
      </c>
      <c r="B26" s="4" t="s">
        <v>31</v>
      </c>
      <c r="C26" s="4" t="s">
        <v>35</v>
      </c>
      <c r="D26" s="5" t="s">
        <v>111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65</v>
      </c>
      <c r="B27" s="4" t="s">
        <v>31</v>
      </c>
      <c r="C27" s="4" t="s">
        <v>35</v>
      </c>
      <c r="D27" s="5" t="s">
        <v>111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66</v>
      </c>
      <c r="B28" s="4" t="s">
        <v>31</v>
      </c>
      <c r="C28" s="4" t="s">
        <v>35</v>
      </c>
      <c r="D28" s="5" t="s">
        <v>111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67</v>
      </c>
      <c r="B29" s="4" t="s">
        <v>31</v>
      </c>
      <c r="C29" s="4" t="s">
        <v>39</v>
      </c>
      <c r="D29" s="5" t="s">
        <v>111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68</v>
      </c>
      <c r="B30" s="4" t="s">
        <v>31</v>
      </c>
      <c r="C30" s="4" t="s">
        <v>35</v>
      </c>
      <c r="D30" s="5" t="s">
        <v>111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69</v>
      </c>
      <c r="B31" s="4" t="s">
        <v>27</v>
      </c>
      <c r="C31" s="90" t="s">
        <v>568</v>
      </c>
      <c r="D31" s="263" t="s">
        <v>568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70</v>
      </c>
      <c r="B32" s="4" t="s">
        <v>50</v>
      </c>
      <c r="C32" s="4" t="s">
        <v>45</v>
      </c>
      <c r="D32" s="5" t="s">
        <v>111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71</v>
      </c>
      <c r="B33" s="4" t="s">
        <v>23</v>
      </c>
      <c r="C33" s="4" t="s">
        <v>24</v>
      </c>
      <c r="D33" s="263" t="s">
        <v>568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72</v>
      </c>
      <c r="B34" s="4" t="s">
        <v>31</v>
      </c>
      <c r="C34" s="4" t="s">
        <v>73</v>
      </c>
      <c r="D34" s="5" t="s">
        <v>111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74</v>
      </c>
      <c r="B35" s="4" t="s">
        <v>27</v>
      </c>
      <c r="C35" s="90" t="s">
        <v>568</v>
      </c>
      <c r="D35" s="263" t="s">
        <v>568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75</v>
      </c>
      <c r="B36" s="4" t="s">
        <v>42</v>
      </c>
      <c r="C36" s="90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76</v>
      </c>
      <c r="B37" s="4" t="s">
        <v>31</v>
      </c>
      <c r="C37" s="4" t="s">
        <v>35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77</v>
      </c>
      <c r="B38" s="4" t="s">
        <v>23</v>
      </c>
      <c r="C38" s="4" t="s">
        <v>55</v>
      </c>
      <c r="D38" s="263" t="s">
        <v>568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78</v>
      </c>
      <c r="B39" s="4" t="s">
        <v>23</v>
      </c>
      <c r="C39" s="4" t="s">
        <v>24</v>
      </c>
      <c r="D39" s="263" t="s">
        <v>568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79</v>
      </c>
      <c r="B40" s="4" t="s">
        <v>42</v>
      </c>
      <c r="C40" s="90" t="s">
        <v>501</v>
      </c>
      <c r="D40" s="5" t="s">
        <v>111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80</v>
      </c>
      <c r="B41" s="4" t="s">
        <v>50</v>
      </c>
      <c r="C41" s="4" t="s">
        <v>45</v>
      </c>
      <c r="D41" s="5" t="s">
        <v>111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81</v>
      </c>
      <c r="B42" s="4" t="s">
        <v>23</v>
      </c>
      <c r="C42" s="4" t="s">
        <v>24</v>
      </c>
      <c r="D42" s="263" t="s">
        <v>568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82</v>
      </c>
      <c r="B43" s="4" t="s">
        <v>50</v>
      </c>
      <c r="C43" s="4" t="s">
        <v>45</v>
      </c>
      <c r="D43" s="5" t="s">
        <v>111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83</v>
      </c>
      <c r="B44" s="4" t="s">
        <v>42</v>
      </c>
      <c r="C44" s="90" t="s">
        <v>501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84</v>
      </c>
      <c r="B45" s="4" t="s">
        <v>31</v>
      </c>
      <c r="C45" s="4" t="s">
        <v>39</v>
      </c>
      <c r="D45" s="5" t="s">
        <v>111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85</v>
      </c>
      <c r="B46" s="4" t="s">
        <v>31</v>
      </c>
      <c r="C46" s="4" t="s">
        <v>39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86</v>
      </c>
      <c r="B47" s="4" t="s">
        <v>31</v>
      </c>
      <c r="C47" s="4" t="s">
        <v>35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87</v>
      </c>
      <c r="B48" s="4" t="s">
        <v>42</v>
      </c>
      <c r="C48" s="90" t="s">
        <v>501</v>
      </c>
      <c r="D48" s="5" t="s">
        <v>111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88</v>
      </c>
      <c r="B49" s="4" t="s">
        <v>42</v>
      </c>
      <c r="C49" s="90" t="s">
        <v>501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89</v>
      </c>
      <c r="B50" s="4" t="s">
        <v>23</v>
      </c>
      <c r="C50" s="4" t="s">
        <v>24</v>
      </c>
      <c r="D50" s="263" t="s">
        <v>568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"/>
  <sheetViews>
    <sheetView tabSelected="1" topLeftCell="K1" workbookViewId="0">
      <selection activeCell="N5" sqref="N5"/>
    </sheetView>
  </sheetViews>
  <sheetFormatPr defaultRowHeight="15" x14ac:dyDescent="0.25"/>
  <cols>
    <col min="1" max="1" width="19" bestFit="1" customWidth="1"/>
    <col min="2" max="2" width="8" bestFit="1" customWidth="1"/>
    <col min="3" max="3" width="13.140625" bestFit="1" customWidth="1"/>
    <col min="4" max="4" width="14.28515625" bestFit="1" customWidth="1"/>
    <col min="5" max="5" width="31.28515625" bestFit="1" customWidth="1"/>
    <col min="6" max="6" width="32" bestFit="1" customWidth="1"/>
    <col min="7" max="7" width="31.140625" bestFit="1" customWidth="1"/>
    <col min="8" max="8" width="30.5703125" bestFit="1" customWidth="1"/>
    <col min="9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5" width="31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110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</row>
    <row r="2" spans="1:15" x14ac:dyDescent="0.25">
      <c r="A2" s="249" t="s">
        <v>561</v>
      </c>
      <c r="B2" s="4" t="s">
        <v>31</v>
      </c>
      <c r="C2" s="4" t="s">
        <v>35</v>
      </c>
      <c r="D2" s="5" t="s">
        <v>111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8</v>
      </c>
      <c r="M2" s="5">
        <v>0</v>
      </c>
      <c r="N2" s="5">
        <v>0</v>
      </c>
      <c r="O2" s="294">
        <v>0</v>
      </c>
    </row>
    <row r="3" spans="1:15" x14ac:dyDescent="0.25">
      <c r="A3" s="247" t="s">
        <v>69</v>
      </c>
      <c r="B3" s="4" t="s">
        <v>27</v>
      </c>
      <c r="C3" s="4" t="s">
        <v>568</v>
      </c>
      <c r="D3" s="4" t="s">
        <v>568</v>
      </c>
      <c r="E3" s="5">
        <v>7</v>
      </c>
      <c r="F3" s="5">
        <v>7</v>
      </c>
      <c r="G3" s="5">
        <v>7</v>
      </c>
      <c r="H3" s="5">
        <v>7</v>
      </c>
      <c r="I3" s="5">
        <v>7</v>
      </c>
      <c r="J3" s="5">
        <v>7</v>
      </c>
      <c r="K3" s="5">
        <v>0</v>
      </c>
      <c r="L3" s="5">
        <v>0</v>
      </c>
      <c r="M3" s="5">
        <v>0</v>
      </c>
      <c r="N3" s="5">
        <v>0</v>
      </c>
      <c r="O3" s="294">
        <v>0</v>
      </c>
    </row>
    <row r="4" spans="1:15" x14ac:dyDescent="0.25">
      <c r="A4" s="247" t="s">
        <v>72</v>
      </c>
      <c r="B4" s="4" t="s">
        <v>31</v>
      </c>
      <c r="C4" s="4" t="s">
        <v>92</v>
      </c>
      <c r="D4" s="5" t="s">
        <v>111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294">
        <v>0</v>
      </c>
    </row>
    <row r="5" spans="1:15" x14ac:dyDescent="0.25">
      <c r="A5" s="247" t="s">
        <v>89</v>
      </c>
      <c r="B5" s="4" t="s">
        <v>23</v>
      </c>
      <c r="C5" s="4" t="s">
        <v>24</v>
      </c>
      <c r="D5" s="4" t="s">
        <v>568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9</v>
      </c>
      <c r="K5" s="5">
        <v>9</v>
      </c>
      <c r="L5" s="5">
        <v>9</v>
      </c>
      <c r="M5" s="5">
        <v>9</v>
      </c>
      <c r="N5" s="5">
        <v>9</v>
      </c>
      <c r="O5" s="294">
        <v>9</v>
      </c>
    </row>
    <row r="6" spans="1:15" x14ac:dyDescent="0.25">
      <c r="A6" s="247" t="s">
        <v>86</v>
      </c>
      <c r="B6" s="4" t="s">
        <v>31</v>
      </c>
      <c r="C6" s="4" t="s">
        <v>90</v>
      </c>
      <c r="D6" s="5" t="s">
        <v>111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294">
        <v>0</v>
      </c>
    </row>
    <row r="7" spans="1:15" x14ac:dyDescent="0.25">
      <c r="A7" s="247" t="s">
        <v>56</v>
      </c>
      <c r="B7" s="4" t="s">
        <v>31</v>
      </c>
      <c r="C7" s="4" t="s">
        <v>90</v>
      </c>
      <c r="D7" s="5" t="s">
        <v>111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2</v>
      </c>
      <c r="L7" s="5">
        <v>0</v>
      </c>
      <c r="M7" s="5">
        <v>0</v>
      </c>
      <c r="N7" s="5">
        <v>0</v>
      </c>
      <c r="O7" s="294">
        <v>0</v>
      </c>
    </row>
    <row r="8" spans="1:15" x14ac:dyDescent="0.25">
      <c r="A8" s="247" t="s">
        <v>22</v>
      </c>
      <c r="B8" s="4" t="s">
        <v>23</v>
      </c>
      <c r="C8" s="4" t="s">
        <v>24</v>
      </c>
      <c r="D8" s="4" t="s">
        <v>568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294">
        <v>0</v>
      </c>
    </row>
    <row r="9" spans="1:15" x14ac:dyDescent="0.25">
      <c r="A9" s="247" t="s">
        <v>94</v>
      </c>
      <c r="B9" s="4" t="s">
        <v>50</v>
      </c>
      <c r="C9" s="4" t="s">
        <v>45</v>
      </c>
      <c r="D9" s="5" t="s">
        <v>111</v>
      </c>
      <c r="E9" s="5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8</v>
      </c>
      <c r="O9" s="294">
        <v>8</v>
      </c>
    </row>
    <row r="10" spans="1:15" x14ac:dyDescent="0.25">
      <c r="A10" s="247" t="s">
        <v>68</v>
      </c>
      <c r="B10" s="4" t="s">
        <v>31</v>
      </c>
      <c r="C10" s="4" t="s">
        <v>90</v>
      </c>
      <c r="D10" s="5" t="s">
        <v>111</v>
      </c>
      <c r="E10" s="5">
        <v>0</v>
      </c>
      <c r="F10" s="5">
        <v>0</v>
      </c>
      <c r="G10" s="5">
        <v>0</v>
      </c>
      <c r="H10" s="5">
        <v>0</v>
      </c>
      <c r="I10" s="5">
        <v>7</v>
      </c>
      <c r="J10" s="5">
        <v>7</v>
      </c>
      <c r="K10" s="5">
        <v>0</v>
      </c>
      <c r="L10" s="5">
        <v>0</v>
      </c>
      <c r="M10" s="5">
        <v>0</v>
      </c>
      <c r="N10" s="5">
        <v>0</v>
      </c>
      <c r="O10" s="294">
        <v>7</v>
      </c>
    </row>
    <row r="11" spans="1:15" x14ac:dyDescent="0.25">
      <c r="A11" s="247" t="s">
        <v>81</v>
      </c>
      <c r="B11" s="4" t="s">
        <v>23</v>
      </c>
      <c r="C11" s="4" t="s">
        <v>24</v>
      </c>
      <c r="D11" s="4" t="s">
        <v>568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294">
        <v>0</v>
      </c>
    </row>
    <row r="12" spans="1:15" x14ac:dyDescent="0.25">
      <c r="A12" s="247" t="s">
        <v>26</v>
      </c>
      <c r="B12" s="4" t="s">
        <v>27</v>
      </c>
      <c r="C12" s="4" t="s">
        <v>28</v>
      </c>
      <c r="D12" s="4" t="s">
        <v>568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294">
        <v>0</v>
      </c>
    </row>
    <row r="13" spans="1:15" x14ac:dyDescent="0.25">
      <c r="A13" s="247" t="s">
        <v>61</v>
      </c>
      <c r="B13" s="4" t="s">
        <v>27</v>
      </c>
      <c r="C13" s="4" t="s">
        <v>62</v>
      </c>
      <c r="D13" s="4" t="s">
        <v>568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294">
        <v>0</v>
      </c>
    </row>
    <row r="14" spans="1:15" x14ac:dyDescent="0.25">
      <c r="A14" s="247" t="s">
        <v>82</v>
      </c>
      <c r="B14" s="4" t="s">
        <v>50</v>
      </c>
      <c r="C14" s="4" t="s">
        <v>45</v>
      </c>
      <c r="D14" s="5" t="s">
        <v>111</v>
      </c>
      <c r="E14" s="5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8</v>
      </c>
      <c r="M14" s="5">
        <v>2</v>
      </c>
      <c r="N14" s="5">
        <v>8</v>
      </c>
      <c r="O14" s="294">
        <v>8</v>
      </c>
    </row>
    <row r="15" spans="1:15" x14ac:dyDescent="0.25">
      <c r="A15" s="247" t="s">
        <v>57</v>
      </c>
      <c r="B15" s="4" t="s">
        <v>31</v>
      </c>
      <c r="C15" s="4" t="s">
        <v>39</v>
      </c>
      <c r="D15" s="5" t="s">
        <v>111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8</v>
      </c>
      <c r="L15" s="5">
        <v>0</v>
      </c>
      <c r="M15" s="5">
        <v>8</v>
      </c>
      <c r="N15" s="5">
        <v>8</v>
      </c>
      <c r="O15" s="294">
        <v>8</v>
      </c>
    </row>
    <row r="16" spans="1:15" x14ac:dyDescent="0.25">
      <c r="A16" s="247" t="s">
        <v>48</v>
      </c>
      <c r="B16" s="4" t="s">
        <v>27</v>
      </c>
      <c r="C16" s="4" t="s">
        <v>568</v>
      </c>
      <c r="D16" s="4" t="s">
        <v>568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8</v>
      </c>
      <c r="L16" s="5">
        <v>8</v>
      </c>
      <c r="M16" s="5">
        <v>8</v>
      </c>
      <c r="N16" s="5">
        <v>0</v>
      </c>
      <c r="O16" s="294">
        <v>0</v>
      </c>
    </row>
    <row r="17" spans="1:15" x14ac:dyDescent="0.25">
      <c r="A17" s="247" t="s">
        <v>75</v>
      </c>
      <c r="B17" s="4" t="s">
        <v>42</v>
      </c>
      <c r="C17" s="5" t="s">
        <v>501</v>
      </c>
      <c r="D17" s="5" t="s">
        <v>111</v>
      </c>
      <c r="E17" s="5">
        <v>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294">
        <v>0</v>
      </c>
    </row>
    <row r="18" spans="1:15" x14ac:dyDescent="0.25">
      <c r="A18" s="248" t="s">
        <v>506</v>
      </c>
      <c r="B18" s="4" t="s">
        <v>31</v>
      </c>
      <c r="C18" s="4" t="s">
        <v>90</v>
      </c>
      <c r="D18" s="5" t="s">
        <v>111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6</v>
      </c>
      <c r="N18" s="5">
        <v>0</v>
      </c>
      <c r="O18" s="294">
        <v>0</v>
      </c>
    </row>
    <row r="19" spans="1:15" x14ac:dyDescent="0.25">
      <c r="A19" s="247" t="s">
        <v>30</v>
      </c>
      <c r="B19" s="4" t="s">
        <v>31</v>
      </c>
      <c r="C19" s="4" t="s">
        <v>32</v>
      </c>
      <c r="D19" s="5" t="s">
        <v>111</v>
      </c>
      <c r="E19" s="5">
        <v>0</v>
      </c>
      <c r="F19" s="5">
        <v>0</v>
      </c>
      <c r="G19" s="5">
        <v>14</v>
      </c>
      <c r="H19" s="5">
        <v>14</v>
      </c>
      <c r="I19" s="5">
        <v>14</v>
      </c>
      <c r="J19" s="5">
        <v>14</v>
      </c>
      <c r="K19" s="5">
        <v>14</v>
      </c>
      <c r="L19" s="5">
        <v>14</v>
      </c>
      <c r="M19" s="5">
        <v>14</v>
      </c>
      <c r="N19" s="5">
        <v>1</v>
      </c>
      <c r="O19" s="294">
        <v>14</v>
      </c>
    </row>
    <row r="20" spans="1:15" x14ac:dyDescent="0.25">
      <c r="A20" s="247" t="s">
        <v>37</v>
      </c>
      <c r="B20" s="4" t="s">
        <v>31</v>
      </c>
      <c r="C20" s="4" t="s">
        <v>90</v>
      </c>
      <c r="D20" s="5" t="s">
        <v>111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294">
        <v>0</v>
      </c>
    </row>
    <row r="21" spans="1:15" x14ac:dyDescent="0.25">
      <c r="A21" s="247" t="s">
        <v>34</v>
      </c>
      <c r="B21" s="4" t="s">
        <v>31</v>
      </c>
      <c r="C21" s="4" t="s">
        <v>90</v>
      </c>
      <c r="D21" s="5" t="s">
        <v>111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1</v>
      </c>
      <c r="N21" s="5">
        <v>8</v>
      </c>
      <c r="O21" s="294">
        <v>8</v>
      </c>
    </row>
    <row r="22" spans="1:15" x14ac:dyDescent="0.25">
      <c r="A22" s="247" t="s">
        <v>83</v>
      </c>
      <c r="B22" s="4" t="s">
        <v>42</v>
      </c>
      <c r="C22" s="5" t="s">
        <v>501</v>
      </c>
      <c r="D22" s="5" t="s">
        <v>111</v>
      </c>
      <c r="E22" s="5">
        <v>8</v>
      </c>
      <c r="F22" s="5">
        <v>1</v>
      </c>
      <c r="G22" s="5">
        <v>3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294">
        <v>0</v>
      </c>
    </row>
    <row r="23" spans="1:15" x14ac:dyDescent="0.25">
      <c r="A23" s="247" t="s">
        <v>38</v>
      </c>
      <c r="B23" s="4" t="s">
        <v>23</v>
      </c>
      <c r="C23" s="4" t="s">
        <v>24</v>
      </c>
      <c r="D23" s="4" t="s">
        <v>568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</v>
      </c>
      <c r="O23" s="294">
        <v>5</v>
      </c>
    </row>
    <row r="24" spans="1:15" x14ac:dyDescent="0.25">
      <c r="A24" s="248" t="s">
        <v>503</v>
      </c>
      <c r="B24" s="6" t="s">
        <v>42</v>
      </c>
      <c r="C24" s="5" t="s">
        <v>501</v>
      </c>
      <c r="D24" s="5" t="s">
        <v>111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294">
        <v>0</v>
      </c>
    </row>
    <row r="25" spans="1:15" x14ac:dyDescent="0.25">
      <c r="A25" s="247" t="s">
        <v>119</v>
      </c>
      <c r="B25" s="4" t="s">
        <v>31</v>
      </c>
      <c r="C25" s="4" t="s">
        <v>39</v>
      </c>
      <c r="D25" s="5" t="s">
        <v>111</v>
      </c>
      <c r="E25" s="5">
        <v>22</v>
      </c>
      <c r="F25" s="5">
        <v>22</v>
      </c>
      <c r="G25" s="5">
        <v>22</v>
      </c>
      <c r="H25" s="5">
        <v>21</v>
      </c>
      <c r="I25" s="5">
        <v>11</v>
      </c>
      <c r="J25" s="5">
        <v>0</v>
      </c>
      <c r="K25" s="5">
        <v>22</v>
      </c>
      <c r="L25" s="5">
        <v>22</v>
      </c>
      <c r="M25" s="5">
        <v>21</v>
      </c>
      <c r="N25" s="5">
        <v>22</v>
      </c>
      <c r="O25" s="294">
        <v>22</v>
      </c>
    </row>
    <row r="26" spans="1:15" x14ac:dyDescent="0.25">
      <c r="A26" s="247" t="s">
        <v>40</v>
      </c>
      <c r="B26" s="4" t="s">
        <v>31</v>
      </c>
      <c r="C26" s="4" t="s">
        <v>39</v>
      </c>
      <c r="D26" s="5" t="s">
        <v>111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12</v>
      </c>
      <c r="N26" s="5">
        <v>12</v>
      </c>
      <c r="O26" s="294">
        <v>12</v>
      </c>
    </row>
    <row r="27" spans="1:15" x14ac:dyDescent="0.25">
      <c r="A27" s="247" t="s">
        <v>53</v>
      </c>
      <c r="B27" s="4" t="s">
        <v>27</v>
      </c>
      <c r="C27" s="4" t="s">
        <v>568</v>
      </c>
      <c r="D27" s="4" t="s">
        <v>568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294">
        <v>0</v>
      </c>
    </row>
    <row r="28" spans="1:15" x14ac:dyDescent="0.25">
      <c r="A28" s="247" t="s">
        <v>78</v>
      </c>
      <c r="B28" s="4" t="s">
        <v>23</v>
      </c>
      <c r="C28" s="4" t="s">
        <v>24</v>
      </c>
      <c r="D28" s="4" t="s">
        <v>568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</v>
      </c>
      <c r="K28" s="5">
        <v>8</v>
      </c>
      <c r="L28" s="5">
        <v>8</v>
      </c>
      <c r="M28" s="5">
        <v>8</v>
      </c>
      <c r="N28" s="5">
        <v>8</v>
      </c>
      <c r="O28" s="294">
        <v>8</v>
      </c>
    </row>
    <row r="29" spans="1:15" x14ac:dyDescent="0.25">
      <c r="A29" s="247" t="s">
        <v>79</v>
      </c>
      <c r="B29" s="4" t="s">
        <v>42</v>
      </c>
      <c r="C29" s="5" t="s">
        <v>501</v>
      </c>
      <c r="D29" s="5" t="s">
        <v>111</v>
      </c>
      <c r="E29" s="5">
        <v>12</v>
      </c>
      <c r="F29" s="5">
        <v>0</v>
      </c>
      <c r="G29" s="5">
        <v>1</v>
      </c>
      <c r="H29" s="5">
        <v>1</v>
      </c>
      <c r="I29" s="5">
        <v>12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294">
        <v>0</v>
      </c>
    </row>
    <row r="30" spans="1:15" x14ac:dyDescent="0.25">
      <c r="A30" s="247" t="s">
        <v>80</v>
      </c>
      <c r="B30" s="4" t="s">
        <v>50</v>
      </c>
      <c r="C30" s="4" t="s">
        <v>45</v>
      </c>
      <c r="D30" s="5" t="s">
        <v>111</v>
      </c>
      <c r="E30" s="5">
        <v>0</v>
      </c>
      <c r="F30" s="5">
        <v>1</v>
      </c>
      <c r="G30" s="5">
        <v>2</v>
      </c>
      <c r="H30" s="5">
        <v>2</v>
      </c>
      <c r="I30" s="5">
        <v>1</v>
      </c>
      <c r="J30" s="5">
        <v>1</v>
      </c>
      <c r="K30" s="5">
        <v>3</v>
      </c>
      <c r="L30" s="5">
        <v>1</v>
      </c>
      <c r="M30" s="5">
        <v>8</v>
      </c>
      <c r="N30" s="5">
        <v>8</v>
      </c>
      <c r="O30" s="294">
        <v>8</v>
      </c>
    </row>
    <row r="31" spans="1:15" x14ac:dyDescent="0.25">
      <c r="A31" s="247" t="s">
        <v>54</v>
      </c>
      <c r="B31" s="4" t="s">
        <v>31</v>
      </c>
      <c r="C31" s="4" t="s">
        <v>55</v>
      </c>
      <c r="D31" s="5" t="s">
        <v>111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294">
        <v>0</v>
      </c>
    </row>
    <row r="32" spans="1:15" x14ac:dyDescent="0.25">
      <c r="A32" s="247" t="s">
        <v>52</v>
      </c>
      <c r="B32" s="4" t="s">
        <v>27</v>
      </c>
      <c r="C32" s="4" t="s">
        <v>568</v>
      </c>
      <c r="D32" s="4" t="s">
        <v>568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</v>
      </c>
      <c r="K32" s="5">
        <v>0</v>
      </c>
      <c r="L32" s="5">
        <v>0</v>
      </c>
      <c r="M32" s="5">
        <v>11</v>
      </c>
      <c r="N32" s="5">
        <v>0</v>
      </c>
      <c r="O32" s="294">
        <v>0</v>
      </c>
    </row>
    <row r="33" spans="1:15" x14ac:dyDescent="0.25">
      <c r="A33" s="247" t="s">
        <v>60</v>
      </c>
      <c r="B33" s="4" t="s">
        <v>27</v>
      </c>
      <c r="C33" s="4" t="s">
        <v>568</v>
      </c>
      <c r="D33" s="4" t="s">
        <v>568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11</v>
      </c>
      <c r="K33" s="5">
        <v>0</v>
      </c>
      <c r="L33" s="5">
        <v>0</v>
      </c>
      <c r="M33" s="5">
        <v>11</v>
      </c>
      <c r="N33" s="5">
        <v>0</v>
      </c>
      <c r="O33" s="294">
        <v>0</v>
      </c>
    </row>
    <row r="34" spans="1:15" x14ac:dyDescent="0.25">
      <c r="A34" s="247" t="s">
        <v>51</v>
      </c>
      <c r="B34" s="4" t="s">
        <v>27</v>
      </c>
      <c r="C34" s="4" t="s">
        <v>568</v>
      </c>
      <c r="D34" s="4" t="s">
        <v>568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</v>
      </c>
      <c r="K34" s="5">
        <v>0</v>
      </c>
      <c r="L34" s="5">
        <v>0</v>
      </c>
      <c r="M34" s="5">
        <v>11</v>
      </c>
      <c r="N34" s="5">
        <v>0</v>
      </c>
      <c r="O34" s="294">
        <v>0</v>
      </c>
    </row>
    <row r="35" spans="1:15" x14ac:dyDescent="0.25">
      <c r="A35" s="247" t="s">
        <v>41</v>
      </c>
      <c r="B35" s="4" t="s">
        <v>42</v>
      </c>
      <c r="C35" s="5" t="s">
        <v>501</v>
      </c>
      <c r="D35" s="5" t="s">
        <v>111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294">
        <v>0</v>
      </c>
    </row>
    <row r="36" spans="1:15" x14ac:dyDescent="0.25">
      <c r="A36" s="248" t="s">
        <v>108</v>
      </c>
      <c r="B36" s="6" t="s">
        <v>42</v>
      </c>
      <c r="C36" s="5" t="s">
        <v>501</v>
      </c>
      <c r="D36" s="5" t="s">
        <v>111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294">
        <v>0</v>
      </c>
    </row>
    <row r="37" spans="1:15" x14ac:dyDescent="0.25">
      <c r="A37" s="248" t="s">
        <v>109</v>
      </c>
      <c r="B37" s="6" t="s">
        <v>42</v>
      </c>
      <c r="C37" s="5" t="s">
        <v>501</v>
      </c>
      <c r="D37" s="5" t="s">
        <v>111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294">
        <v>0</v>
      </c>
    </row>
    <row r="38" spans="1:15" x14ac:dyDescent="0.25">
      <c r="A38" s="247" t="s">
        <v>88</v>
      </c>
      <c r="B38" s="4" t="s">
        <v>42</v>
      </c>
      <c r="C38" s="5" t="s">
        <v>501</v>
      </c>
      <c r="D38" s="5" t="s">
        <v>111</v>
      </c>
      <c r="E38" s="5">
        <v>6</v>
      </c>
      <c r="F38" s="5">
        <v>6</v>
      </c>
      <c r="G38" s="5">
        <v>6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294">
        <v>0</v>
      </c>
    </row>
    <row r="39" spans="1:15" x14ac:dyDescent="0.25">
      <c r="A39" s="247" t="s">
        <v>87</v>
      </c>
      <c r="B39" s="4" t="s">
        <v>42</v>
      </c>
      <c r="C39" s="5" t="s">
        <v>501</v>
      </c>
      <c r="D39" s="5" t="s">
        <v>111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294">
        <v>0</v>
      </c>
    </row>
    <row r="40" spans="1:15" x14ac:dyDescent="0.25">
      <c r="A40" s="247" t="s">
        <v>85</v>
      </c>
      <c r="B40" s="4" t="s">
        <v>31</v>
      </c>
      <c r="C40" s="4" t="s">
        <v>39</v>
      </c>
      <c r="D40" s="5" t="s">
        <v>111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294">
        <v>0</v>
      </c>
    </row>
    <row r="41" spans="1:15" x14ac:dyDescent="0.25">
      <c r="A41" s="247" t="s">
        <v>71</v>
      </c>
      <c r="B41" s="4" t="s">
        <v>23</v>
      </c>
      <c r="C41" s="4" t="s">
        <v>24</v>
      </c>
      <c r="D41" s="4" t="s">
        <v>568</v>
      </c>
      <c r="E41" s="5">
        <v>9</v>
      </c>
      <c r="F41" s="5">
        <v>5</v>
      </c>
      <c r="G41" s="5">
        <v>5</v>
      </c>
      <c r="H41" s="5">
        <v>0</v>
      </c>
      <c r="I41" s="5">
        <v>0</v>
      </c>
      <c r="J41" s="5">
        <v>9</v>
      </c>
      <c r="K41" s="5">
        <v>9</v>
      </c>
      <c r="L41" s="5">
        <v>0</v>
      </c>
      <c r="M41" s="5">
        <v>2</v>
      </c>
      <c r="N41" s="5">
        <v>1</v>
      </c>
      <c r="O41" s="294">
        <v>9</v>
      </c>
    </row>
    <row r="42" spans="1:15" x14ac:dyDescent="0.25">
      <c r="A42" s="247" t="s">
        <v>84</v>
      </c>
      <c r="B42" s="4" t="s">
        <v>31</v>
      </c>
      <c r="C42" s="4" t="s">
        <v>39</v>
      </c>
      <c r="D42" s="5" t="s">
        <v>111</v>
      </c>
      <c r="E42" s="5">
        <v>7</v>
      </c>
      <c r="F42" s="5">
        <v>7</v>
      </c>
      <c r="G42" s="5">
        <v>7</v>
      </c>
      <c r="H42" s="5">
        <v>7</v>
      </c>
      <c r="I42" s="5">
        <v>0</v>
      </c>
      <c r="J42" s="5">
        <v>7</v>
      </c>
      <c r="K42" s="5">
        <v>7</v>
      </c>
      <c r="L42" s="5">
        <v>7</v>
      </c>
      <c r="M42" s="5">
        <v>7</v>
      </c>
      <c r="N42" s="5">
        <v>7</v>
      </c>
      <c r="O42" s="294">
        <v>7</v>
      </c>
    </row>
    <row r="43" spans="1:15" x14ac:dyDescent="0.25">
      <c r="A43" s="247" t="s">
        <v>47</v>
      </c>
      <c r="B43" s="4" t="s">
        <v>31</v>
      </c>
      <c r="C43" s="4" t="s">
        <v>35</v>
      </c>
      <c r="D43" s="5" t="s">
        <v>111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294">
        <v>0</v>
      </c>
    </row>
    <row r="44" spans="1:15" x14ac:dyDescent="0.25">
      <c r="A44" s="247" t="s">
        <v>76</v>
      </c>
      <c r="B44" s="4" t="s">
        <v>31</v>
      </c>
      <c r="C44" s="4" t="s">
        <v>35</v>
      </c>
      <c r="D44" s="5" t="s">
        <v>111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294">
        <v>0</v>
      </c>
    </row>
    <row r="45" spans="1:15" x14ac:dyDescent="0.25">
      <c r="A45" s="247" t="s">
        <v>74</v>
      </c>
      <c r="B45" s="4" t="s">
        <v>27</v>
      </c>
      <c r="C45" s="4" t="s">
        <v>568</v>
      </c>
      <c r="D45" s="4" t="s">
        <v>568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294">
        <v>0</v>
      </c>
    </row>
    <row r="46" spans="1:15" x14ac:dyDescent="0.25">
      <c r="A46" s="247" t="s">
        <v>70</v>
      </c>
      <c r="B46" s="4" t="s">
        <v>50</v>
      </c>
      <c r="C46" s="4" t="s">
        <v>45</v>
      </c>
      <c r="D46" s="5" t="s">
        <v>111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294">
        <v>0</v>
      </c>
    </row>
    <row r="47" spans="1:15" x14ac:dyDescent="0.25">
      <c r="A47" s="247" t="s">
        <v>49</v>
      </c>
      <c r="B47" s="4" t="s">
        <v>50</v>
      </c>
      <c r="C47" s="4" t="s">
        <v>45</v>
      </c>
      <c r="D47" s="5" t="s">
        <v>111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8</v>
      </c>
      <c r="N47" s="5">
        <v>8</v>
      </c>
      <c r="O47" s="294">
        <v>8</v>
      </c>
    </row>
    <row r="48" spans="1:15" x14ac:dyDescent="0.25">
      <c r="A48" s="247" t="s">
        <v>58</v>
      </c>
      <c r="B48" s="4" t="s">
        <v>27</v>
      </c>
      <c r="C48" s="4" t="s">
        <v>568</v>
      </c>
      <c r="D48" s="4" t="s">
        <v>568</v>
      </c>
      <c r="E48" s="5">
        <v>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294">
        <v>0</v>
      </c>
    </row>
    <row r="49" spans="1:15" x14ac:dyDescent="0.25">
      <c r="A49" s="247" t="s">
        <v>66</v>
      </c>
      <c r="B49" s="4" t="s">
        <v>31</v>
      </c>
      <c r="C49" s="4" t="s">
        <v>35</v>
      </c>
      <c r="D49" s="5" t="s">
        <v>111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294">
        <v>0</v>
      </c>
    </row>
  </sheetData>
  <sortState xmlns:xlrd2="http://schemas.microsoft.com/office/spreadsheetml/2017/richdata2" ref="A2:L49">
    <sortCondition ref="A1:A49"/>
  </sortState>
  <conditionalFormatting sqref="A49">
    <cfRule type="containsText" dxfId="340" priority="1" operator="containsText" text="Not Met">
      <formula>NOT(ISERROR(SEARCH("Not Met",A49)))</formula>
    </cfRule>
    <cfRule type="containsText" dxfId="339" priority="2" operator="containsText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2026-03-24T07:17:26Z</dcterms:modified>
</cp:coreProperties>
</file>